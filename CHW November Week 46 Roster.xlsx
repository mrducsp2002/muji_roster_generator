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mujiaus.sharepoint.com/sites/archive-2025-01-03T021039Z/Shared Documents/01 Operations Department/08 Chatswood/01 Roster Management/Roster 2025/11. NOVEMBER/"/>
    </mc:Choice>
  </mc:AlternateContent>
  <xr:revisionPtr revIDLastSave="206" documentId="8_{B5A92AEB-BE55-4409-96DB-FDC9C8F69AE9}" xr6:coauthVersionLast="47" xr6:coauthVersionMax="47" xr10:uidLastSave="{005D3901-E8FB-455F-8195-B58F36D588B9}"/>
  <bookViews>
    <workbookView xWindow="-110" yWindow="-110" windowWidth="19420" windowHeight="10300" firstSheet="4" activeTab="4" xr2:uid="{00000000-000D-0000-FFFF-FFFF00000000}"/>
  </bookViews>
  <sheets>
    <sheet name="paste report" sheetId="1" r:id="rId1"/>
    <sheet name="Info" sheetId="3" r:id="rId2"/>
    <sheet name="Team" sheetId="4" r:id="rId3"/>
    <sheet name="Weekly" sheetId="2" r:id="rId4"/>
    <sheet name="Mon" sheetId="5" r:id="rId5"/>
    <sheet name="Tue" sheetId="7" r:id="rId6"/>
    <sheet name="Wed" sheetId="8" r:id="rId7"/>
    <sheet name="Thu" sheetId="9" r:id="rId8"/>
    <sheet name="Fri" sheetId="10" r:id="rId9"/>
    <sheet name="Sat" sheetId="11" r:id="rId10"/>
    <sheet name="Sun" sheetId="12" r:id="rId11"/>
  </sheets>
  <definedNames>
    <definedName name="_xlnm._FilterDatabase" localSheetId="8" hidden="1">Fri!$B$16:$BT$103</definedName>
    <definedName name="_xlnm._FilterDatabase" localSheetId="4" hidden="1">Mon!$B$16:$BT$103</definedName>
    <definedName name="_xlnm._FilterDatabase" localSheetId="9" hidden="1">Sat!$B$16:$BT$16</definedName>
    <definedName name="_xlnm._FilterDatabase" localSheetId="10" hidden="1">Sun!$B$16:$BS$16</definedName>
    <definedName name="_xlnm._FilterDatabase" localSheetId="7" hidden="1">Thu!$B$16:$BT$103</definedName>
    <definedName name="_xlnm._FilterDatabase" localSheetId="5" hidden="1">Tue!$B$16:$BT$103</definedName>
    <definedName name="_xlnm._FilterDatabase" localSheetId="6" hidden="1">Wed!$B$16:$BT$16</definedName>
    <definedName name="_xlnm.Print_Area" localSheetId="10">Sun!$C$5:$BK$103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7" i="5" l="1"/>
  <c r="AU55" i="5"/>
  <c r="AT55" i="5"/>
  <c r="AS55" i="5"/>
  <c r="AV55" i="5"/>
  <c r="AP49" i="5"/>
  <c r="AQ49" i="5"/>
  <c r="AR49" i="5"/>
  <c r="AS49" i="5"/>
  <c r="AT49" i="5"/>
  <c r="AU49" i="5"/>
  <c r="AV50" i="5"/>
  <c r="AW50" i="5"/>
  <c r="AX50" i="5"/>
  <c r="AY50" i="5"/>
  <c r="AU50" i="5"/>
  <c r="AT50" i="5"/>
  <c r="AM43" i="5"/>
  <c r="AF23" i="5"/>
  <c r="AG23" i="5"/>
  <c r="X49" i="5"/>
  <c r="AH59" i="5"/>
  <c r="AG59" i="5"/>
  <c r="AH50" i="5"/>
  <c r="AG50" i="5"/>
  <c r="AF50" i="5"/>
  <c r="AA49" i="5"/>
  <c r="Z49" i="5"/>
  <c r="Y49" i="5"/>
  <c r="AA33" i="5"/>
  <c r="Z33" i="5"/>
  <c r="Y33" i="5"/>
  <c r="D99" i="10"/>
  <c r="D100" i="10"/>
  <c r="D101" i="10"/>
  <c r="D102" i="10"/>
  <c r="D103" i="10"/>
  <c r="D101" i="8"/>
  <c r="D102" i="8"/>
  <c r="D103" i="8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B9" i="2"/>
  <c r="B17" i="9" s="1"/>
  <c r="C9" i="2"/>
  <c r="C17" i="5" s="1"/>
  <c r="D9" i="2"/>
  <c r="G9" i="2"/>
  <c r="F17" i="5" s="1"/>
  <c r="H9" i="2"/>
  <c r="G17" i="5" s="1"/>
  <c r="J9" i="2"/>
  <c r="F17" i="7" s="1"/>
  <c r="K9" i="2"/>
  <c r="G17" i="7" s="1"/>
  <c r="M9" i="2"/>
  <c r="F17" i="8" s="1"/>
  <c r="N9" i="2"/>
  <c r="G17" i="8" s="1"/>
  <c r="P9" i="2"/>
  <c r="F17" i="9" s="1"/>
  <c r="Q9" i="2"/>
  <c r="G17" i="9" s="1"/>
  <c r="S9" i="2"/>
  <c r="F17" i="10" s="1"/>
  <c r="T9" i="2"/>
  <c r="G17" i="10" s="1"/>
  <c r="V9" i="2"/>
  <c r="F17" i="11" s="1"/>
  <c r="W9" i="2"/>
  <c r="G17" i="11" s="1"/>
  <c r="Y9" i="2"/>
  <c r="F17" i="12" s="1"/>
  <c r="Z9" i="2"/>
  <c r="G17" i="12" s="1"/>
  <c r="BT11" i="12"/>
  <c r="BT10" i="12"/>
  <c r="BT9" i="12"/>
  <c r="BT8" i="12"/>
  <c r="BT7" i="12"/>
  <c r="N16" i="2"/>
  <c r="G24" i="8" s="1"/>
  <c r="B17" i="7" l="1"/>
  <c r="B17" i="5"/>
  <c r="B17" i="8"/>
  <c r="E17" i="8" s="1"/>
  <c r="C17" i="9"/>
  <c r="C17" i="12"/>
  <c r="C17" i="11"/>
  <c r="C17" i="10"/>
  <c r="C17" i="8"/>
  <c r="C17" i="7"/>
  <c r="B17" i="12"/>
  <c r="B17" i="11"/>
  <c r="B17" i="10"/>
  <c r="U9" i="2"/>
  <c r="O9" i="2"/>
  <c r="X9" i="2"/>
  <c r="L9" i="2"/>
  <c r="AA9" i="2"/>
  <c r="I9" i="2"/>
  <c r="R9" i="2"/>
  <c r="B63" i="2"/>
  <c r="C63" i="2"/>
  <c r="D63" i="2"/>
  <c r="G63" i="2"/>
  <c r="F71" i="5" s="1"/>
  <c r="H63" i="2"/>
  <c r="G71" i="5" s="1"/>
  <c r="J63" i="2"/>
  <c r="F71" i="7" s="1"/>
  <c r="K63" i="2"/>
  <c r="G71" i="7" s="1"/>
  <c r="M63" i="2"/>
  <c r="F71" i="8" s="1"/>
  <c r="N63" i="2"/>
  <c r="P63" i="2"/>
  <c r="F71" i="9" s="1"/>
  <c r="Q63" i="2"/>
  <c r="S63" i="2"/>
  <c r="F71" i="10" s="1"/>
  <c r="T63" i="2"/>
  <c r="G71" i="10" s="1"/>
  <c r="V63" i="2"/>
  <c r="F71" i="11" s="1"/>
  <c r="W63" i="2"/>
  <c r="G71" i="11" s="1"/>
  <c r="Y63" i="2"/>
  <c r="F71" i="12" s="1"/>
  <c r="Z63" i="2"/>
  <c r="G71" i="12" s="1"/>
  <c r="B64" i="2"/>
  <c r="C64" i="2"/>
  <c r="D64" i="2"/>
  <c r="G64" i="2"/>
  <c r="F72" i="5" s="1"/>
  <c r="H64" i="2"/>
  <c r="G72" i="5" s="1"/>
  <c r="J64" i="2"/>
  <c r="F72" i="7" s="1"/>
  <c r="K64" i="2"/>
  <c r="G72" i="7" s="1"/>
  <c r="M64" i="2"/>
  <c r="F72" i="8" s="1"/>
  <c r="N64" i="2"/>
  <c r="G72" i="8" s="1"/>
  <c r="P64" i="2"/>
  <c r="F72" i="9" s="1"/>
  <c r="Q64" i="2"/>
  <c r="S64" i="2"/>
  <c r="F72" i="10" s="1"/>
  <c r="T64" i="2"/>
  <c r="G72" i="10" s="1"/>
  <c r="V64" i="2"/>
  <c r="F72" i="11" s="1"/>
  <c r="W64" i="2"/>
  <c r="G72" i="11" s="1"/>
  <c r="Y64" i="2"/>
  <c r="F72" i="12" s="1"/>
  <c r="Z64" i="2"/>
  <c r="G72" i="12" s="1"/>
  <c r="B65" i="2"/>
  <c r="C65" i="2"/>
  <c r="D65" i="2"/>
  <c r="G65" i="2"/>
  <c r="F73" i="5" s="1"/>
  <c r="H65" i="2"/>
  <c r="G73" i="5" s="1"/>
  <c r="J65" i="2"/>
  <c r="F73" i="7" s="1"/>
  <c r="K65" i="2"/>
  <c r="G73" i="7" s="1"/>
  <c r="M65" i="2"/>
  <c r="F73" i="8" s="1"/>
  <c r="N65" i="2"/>
  <c r="P65" i="2"/>
  <c r="F73" i="9" s="1"/>
  <c r="Q65" i="2"/>
  <c r="S65" i="2"/>
  <c r="F73" i="10" s="1"/>
  <c r="T65" i="2"/>
  <c r="G73" i="10" s="1"/>
  <c r="V65" i="2"/>
  <c r="F73" i="11" s="1"/>
  <c r="W65" i="2"/>
  <c r="G73" i="11" s="1"/>
  <c r="Y65" i="2"/>
  <c r="F73" i="12" s="1"/>
  <c r="Z65" i="2"/>
  <c r="G73" i="12" s="1"/>
  <c r="B66" i="2"/>
  <c r="C66" i="2"/>
  <c r="D66" i="2"/>
  <c r="G66" i="2"/>
  <c r="F74" i="5" s="1"/>
  <c r="H66" i="2"/>
  <c r="G74" i="5" s="1"/>
  <c r="J66" i="2"/>
  <c r="F74" i="7" s="1"/>
  <c r="K66" i="2"/>
  <c r="G74" i="7" s="1"/>
  <c r="M66" i="2"/>
  <c r="F74" i="8" s="1"/>
  <c r="N66" i="2"/>
  <c r="G74" i="8" s="1"/>
  <c r="P66" i="2"/>
  <c r="F74" i="9" s="1"/>
  <c r="Q66" i="2"/>
  <c r="S66" i="2"/>
  <c r="F74" i="10" s="1"/>
  <c r="T66" i="2"/>
  <c r="G74" i="10" s="1"/>
  <c r="V66" i="2"/>
  <c r="F74" i="11" s="1"/>
  <c r="W66" i="2"/>
  <c r="G74" i="11" s="1"/>
  <c r="Y66" i="2"/>
  <c r="F74" i="12" s="1"/>
  <c r="Z66" i="2"/>
  <c r="G74" i="12" s="1"/>
  <c r="B67" i="2"/>
  <c r="C67" i="2"/>
  <c r="D67" i="2"/>
  <c r="G67" i="2"/>
  <c r="H67" i="2"/>
  <c r="J67" i="2"/>
  <c r="F75" i="7" s="1"/>
  <c r="K67" i="2"/>
  <c r="G75" i="7" s="1"/>
  <c r="M67" i="2"/>
  <c r="F75" i="8" s="1"/>
  <c r="N67" i="2"/>
  <c r="P67" i="2"/>
  <c r="F75" i="9" s="1"/>
  <c r="Q67" i="2"/>
  <c r="G75" i="9" s="1"/>
  <c r="S67" i="2"/>
  <c r="F75" i="10" s="1"/>
  <c r="T67" i="2"/>
  <c r="G75" i="10" s="1"/>
  <c r="V67" i="2"/>
  <c r="F75" i="11" s="1"/>
  <c r="W67" i="2"/>
  <c r="G75" i="11" s="1"/>
  <c r="Y67" i="2"/>
  <c r="F75" i="12" s="1"/>
  <c r="Z67" i="2"/>
  <c r="G75" i="12" s="1"/>
  <c r="B68" i="2"/>
  <c r="C68" i="2"/>
  <c r="D68" i="2"/>
  <c r="G68" i="2"/>
  <c r="F76" i="5" s="1"/>
  <c r="H68" i="2"/>
  <c r="G76" i="5" s="1"/>
  <c r="J68" i="2"/>
  <c r="F76" i="7" s="1"/>
  <c r="K68" i="2"/>
  <c r="G76" i="7" s="1"/>
  <c r="M68" i="2"/>
  <c r="F76" i="8" s="1"/>
  <c r="N68" i="2"/>
  <c r="G76" i="8" s="1"/>
  <c r="P68" i="2"/>
  <c r="F76" i="9" s="1"/>
  <c r="Q68" i="2"/>
  <c r="G76" i="9" s="1"/>
  <c r="S68" i="2"/>
  <c r="F76" i="10" s="1"/>
  <c r="T68" i="2"/>
  <c r="G76" i="10" s="1"/>
  <c r="V68" i="2"/>
  <c r="F76" i="11" s="1"/>
  <c r="W68" i="2"/>
  <c r="G76" i="11" s="1"/>
  <c r="Y68" i="2"/>
  <c r="F76" i="12" s="1"/>
  <c r="Z68" i="2"/>
  <c r="G76" i="12" s="1"/>
  <c r="B69" i="2"/>
  <c r="C69" i="2"/>
  <c r="D69" i="2"/>
  <c r="G69" i="2"/>
  <c r="F77" i="5" s="1"/>
  <c r="H69" i="2"/>
  <c r="J69" i="2"/>
  <c r="F77" i="7" s="1"/>
  <c r="K69" i="2"/>
  <c r="G77" i="7" s="1"/>
  <c r="BQ77" i="7" s="1"/>
  <c r="M69" i="2"/>
  <c r="F77" i="8" s="1"/>
  <c r="N69" i="2"/>
  <c r="P69" i="2"/>
  <c r="F77" i="9" s="1"/>
  <c r="Q69" i="2"/>
  <c r="S69" i="2"/>
  <c r="F77" i="10" s="1"/>
  <c r="T69" i="2"/>
  <c r="G77" i="10" s="1"/>
  <c r="V69" i="2"/>
  <c r="F77" i="11" s="1"/>
  <c r="W69" i="2"/>
  <c r="G77" i="11" s="1"/>
  <c r="Y69" i="2"/>
  <c r="Z69" i="2"/>
  <c r="G77" i="12" s="1"/>
  <c r="B70" i="2"/>
  <c r="C70" i="2"/>
  <c r="D70" i="2"/>
  <c r="G70" i="2"/>
  <c r="F78" i="5" s="1"/>
  <c r="H70" i="2"/>
  <c r="G78" i="5" s="1"/>
  <c r="J70" i="2"/>
  <c r="F78" i="7" s="1"/>
  <c r="K70" i="2"/>
  <c r="M70" i="2"/>
  <c r="F78" i="8" s="1"/>
  <c r="N70" i="2"/>
  <c r="G78" i="8" s="1"/>
  <c r="P70" i="2"/>
  <c r="F78" i="9" s="1"/>
  <c r="Q70" i="2"/>
  <c r="G78" i="9" s="1"/>
  <c r="S70" i="2"/>
  <c r="F78" i="10" s="1"/>
  <c r="T70" i="2"/>
  <c r="V70" i="2"/>
  <c r="F78" i="11" s="1"/>
  <c r="W70" i="2"/>
  <c r="Y70" i="2"/>
  <c r="F78" i="12" s="1"/>
  <c r="Z70" i="2"/>
  <c r="G78" i="12" s="1"/>
  <c r="B71" i="2"/>
  <c r="C71" i="2"/>
  <c r="D71" i="2"/>
  <c r="G71" i="2"/>
  <c r="F79" i="5" s="1"/>
  <c r="H71" i="2"/>
  <c r="G79" i="5" s="1"/>
  <c r="J71" i="2"/>
  <c r="F79" i="7" s="1"/>
  <c r="K71" i="2"/>
  <c r="G79" i="7" s="1"/>
  <c r="M71" i="2"/>
  <c r="F79" i="8" s="1"/>
  <c r="N71" i="2"/>
  <c r="G79" i="8" s="1"/>
  <c r="P71" i="2"/>
  <c r="F79" i="9" s="1"/>
  <c r="Q71" i="2"/>
  <c r="G79" i="9" s="1"/>
  <c r="S71" i="2"/>
  <c r="F79" i="10" s="1"/>
  <c r="T71" i="2"/>
  <c r="G79" i="10" s="1"/>
  <c r="V71" i="2"/>
  <c r="F79" i="11" s="1"/>
  <c r="W71" i="2"/>
  <c r="G79" i="11" s="1"/>
  <c r="Y71" i="2"/>
  <c r="Z71" i="2"/>
  <c r="G79" i="12" s="1"/>
  <c r="B72" i="2"/>
  <c r="C72" i="2"/>
  <c r="D72" i="2"/>
  <c r="G72" i="2"/>
  <c r="F80" i="5" s="1"/>
  <c r="H72" i="2"/>
  <c r="G80" i="5" s="1"/>
  <c r="I72" i="2"/>
  <c r="J72" i="2"/>
  <c r="K72" i="2"/>
  <c r="G80" i="7" s="1"/>
  <c r="M72" i="2"/>
  <c r="F80" i="8" s="1"/>
  <c r="N72" i="2"/>
  <c r="P72" i="2"/>
  <c r="F80" i="9" s="1"/>
  <c r="Q72" i="2"/>
  <c r="G80" i="9" s="1"/>
  <c r="S72" i="2"/>
  <c r="F80" i="10" s="1"/>
  <c r="T72" i="2"/>
  <c r="G80" i="10" s="1"/>
  <c r="V72" i="2"/>
  <c r="F80" i="11" s="1"/>
  <c r="W72" i="2"/>
  <c r="G80" i="11" s="1"/>
  <c r="Y72" i="2"/>
  <c r="Z72" i="2"/>
  <c r="G80" i="12" s="1"/>
  <c r="B73" i="2"/>
  <c r="C73" i="2"/>
  <c r="D73" i="2"/>
  <c r="G73" i="2"/>
  <c r="F81" i="5" s="1"/>
  <c r="H73" i="2"/>
  <c r="G81" i="5" s="1"/>
  <c r="J73" i="2"/>
  <c r="F81" i="7" s="1"/>
  <c r="K73" i="2"/>
  <c r="M73" i="2"/>
  <c r="F81" i="8" s="1"/>
  <c r="N73" i="2"/>
  <c r="G81" i="8" s="1"/>
  <c r="P73" i="2"/>
  <c r="F81" i="9" s="1"/>
  <c r="Q73" i="2"/>
  <c r="G81" i="9" s="1"/>
  <c r="S73" i="2"/>
  <c r="T73" i="2"/>
  <c r="G81" i="10" s="1"/>
  <c r="V73" i="2"/>
  <c r="F81" i="11" s="1"/>
  <c r="W73" i="2"/>
  <c r="Y73" i="2"/>
  <c r="F81" i="12" s="1"/>
  <c r="Z73" i="2"/>
  <c r="AA73" i="2" s="1"/>
  <c r="B74" i="2"/>
  <c r="C74" i="2"/>
  <c r="D74" i="2"/>
  <c r="G74" i="2"/>
  <c r="F82" i="5" s="1"/>
  <c r="H74" i="2"/>
  <c r="G82" i="5" s="1"/>
  <c r="J74" i="2"/>
  <c r="K74" i="2"/>
  <c r="G82" i="7" s="1"/>
  <c r="M74" i="2"/>
  <c r="N74" i="2"/>
  <c r="G82" i="8" s="1"/>
  <c r="P74" i="2"/>
  <c r="F82" i="9" s="1"/>
  <c r="Q74" i="2"/>
  <c r="S74" i="2"/>
  <c r="T74" i="2"/>
  <c r="V74" i="2"/>
  <c r="W74" i="2"/>
  <c r="X74" i="2" s="1"/>
  <c r="Y74" i="2"/>
  <c r="Z74" i="2"/>
  <c r="G82" i="12" s="1"/>
  <c r="B75" i="2"/>
  <c r="C75" i="2"/>
  <c r="D75" i="2"/>
  <c r="G75" i="2"/>
  <c r="F83" i="5" s="1"/>
  <c r="H75" i="2"/>
  <c r="G83" i="5" s="1"/>
  <c r="J75" i="2"/>
  <c r="K75" i="2"/>
  <c r="M75" i="2"/>
  <c r="F83" i="8" s="1"/>
  <c r="N75" i="2"/>
  <c r="G83" i="8" s="1"/>
  <c r="P75" i="2"/>
  <c r="F83" i="9" s="1"/>
  <c r="Q75" i="2"/>
  <c r="G83" i="9" s="1"/>
  <c r="S75" i="2"/>
  <c r="F83" i="10" s="1"/>
  <c r="T75" i="2"/>
  <c r="G83" i="10" s="1"/>
  <c r="V75" i="2"/>
  <c r="F83" i="11" s="1"/>
  <c r="W75" i="2"/>
  <c r="G83" i="11" s="1"/>
  <c r="Y75" i="2"/>
  <c r="Z75" i="2"/>
  <c r="G83" i="12" s="1"/>
  <c r="B76" i="2"/>
  <c r="C76" i="2"/>
  <c r="D76" i="2"/>
  <c r="G76" i="2"/>
  <c r="F84" i="5" s="1"/>
  <c r="H76" i="2"/>
  <c r="G84" i="5" s="1"/>
  <c r="J76" i="2"/>
  <c r="K76" i="2"/>
  <c r="G84" i="7" s="1"/>
  <c r="M76" i="2"/>
  <c r="F84" i="8" s="1"/>
  <c r="N76" i="2"/>
  <c r="G84" i="8" s="1"/>
  <c r="P76" i="2"/>
  <c r="F84" i="9" s="1"/>
  <c r="Q76" i="2"/>
  <c r="S76" i="2"/>
  <c r="T76" i="2"/>
  <c r="G84" i="10" s="1"/>
  <c r="V76" i="2"/>
  <c r="F84" i="11" s="1"/>
  <c r="W76" i="2"/>
  <c r="G84" i="11" s="1"/>
  <c r="Y76" i="2"/>
  <c r="Z76" i="2"/>
  <c r="B77" i="2"/>
  <c r="C77" i="2"/>
  <c r="D77" i="2"/>
  <c r="G77" i="2"/>
  <c r="F85" i="5" s="1"/>
  <c r="H77" i="2"/>
  <c r="G85" i="5" s="1"/>
  <c r="J77" i="2"/>
  <c r="F85" i="7" s="1"/>
  <c r="K77" i="2"/>
  <c r="M77" i="2"/>
  <c r="F85" i="8" s="1"/>
  <c r="N77" i="2"/>
  <c r="G85" i="8" s="1"/>
  <c r="P77" i="2"/>
  <c r="F85" i="9" s="1"/>
  <c r="Q77" i="2"/>
  <c r="G85" i="9" s="1"/>
  <c r="S77" i="2"/>
  <c r="F85" i="10" s="1"/>
  <c r="T77" i="2"/>
  <c r="G85" i="10" s="1"/>
  <c r="V77" i="2"/>
  <c r="W77" i="2"/>
  <c r="G85" i="11" s="1"/>
  <c r="Y77" i="2"/>
  <c r="F85" i="12" s="1"/>
  <c r="Z77" i="2"/>
  <c r="G85" i="12" s="1"/>
  <c r="B78" i="2"/>
  <c r="C78" i="2"/>
  <c r="D78" i="2"/>
  <c r="G78" i="2"/>
  <c r="F86" i="5" s="1"/>
  <c r="H78" i="2"/>
  <c r="G86" i="5" s="1"/>
  <c r="J78" i="2"/>
  <c r="K78" i="2"/>
  <c r="G86" i="7" s="1"/>
  <c r="M78" i="2"/>
  <c r="F86" i="8" s="1"/>
  <c r="N78" i="2"/>
  <c r="G86" i="8" s="1"/>
  <c r="P78" i="2"/>
  <c r="F86" i="9" s="1"/>
  <c r="Q78" i="2"/>
  <c r="S78" i="2"/>
  <c r="T78" i="2"/>
  <c r="G86" i="10" s="1"/>
  <c r="V78" i="2"/>
  <c r="F86" i="11" s="1"/>
  <c r="W78" i="2"/>
  <c r="G86" i="11" s="1"/>
  <c r="Y78" i="2"/>
  <c r="F86" i="12" s="1"/>
  <c r="Z78" i="2"/>
  <c r="G86" i="12" s="1"/>
  <c r="B79" i="2"/>
  <c r="C79" i="2"/>
  <c r="D79" i="2"/>
  <c r="G79" i="2"/>
  <c r="F87" i="5" s="1"/>
  <c r="H79" i="2"/>
  <c r="G87" i="5" s="1"/>
  <c r="J79" i="2"/>
  <c r="F87" i="7" s="1"/>
  <c r="K79" i="2"/>
  <c r="G87" i="7" s="1"/>
  <c r="M79" i="2"/>
  <c r="F87" i="8" s="1"/>
  <c r="N79" i="2"/>
  <c r="G87" i="8" s="1"/>
  <c r="P79" i="2"/>
  <c r="F87" i="9" s="1"/>
  <c r="Q79" i="2"/>
  <c r="G87" i="9" s="1"/>
  <c r="S79" i="2"/>
  <c r="F87" i="10" s="1"/>
  <c r="T79" i="2"/>
  <c r="G87" i="10" s="1"/>
  <c r="V79" i="2"/>
  <c r="W79" i="2"/>
  <c r="Y79" i="2"/>
  <c r="F87" i="12" s="1"/>
  <c r="Z79" i="2"/>
  <c r="G87" i="12" s="1"/>
  <c r="B80" i="2"/>
  <c r="C80" i="2"/>
  <c r="D80" i="2"/>
  <c r="G80" i="2"/>
  <c r="F88" i="5" s="1"/>
  <c r="H80" i="2"/>
  <c r="G88" i="5" s="1"/>
  <c r="J80" i="2"/>
  <c r="K80" i="2"/>
  <c r="G88" i="7" s="1"/>
  <c r="M80" i="2"/>
  <c r="F88" i="8" s="1"/>
  <c r="N80" i="2"/>
  <c r="G88" i="8" s="1"/>
  <c r="P80" i="2"/>
  <c r="F88" i="9" s="1"/>
  <c r="Q80" i="2"/>
  <c r="G88" i="9" s="1"/>
  <c r="S80" i="2"/>
  <c r="T80" i="2"/>
  <c r="V80" i="2"/>
  <c r="W80" i="2"/>
  <c r="G88" i="11" s="1"/>
  <c r="Y80" i="2"/>
  <c r="Z80" i="2"/>
  <c r="G88" i="12" s="1"/>
  <c r="AA80" i="2"/>
  <c r="B81" i="2"/>
  <c r="C81" i="2"/>
  <c r="D81" i="2"/>
  <c r="G81" i="2"/>
  <c r="F89" i="5" s="1"/>
  <c r="H81" i="2"/>
  <c r="G89" i="5" s="1"/>
  <c r="J81" i="2"/>
  <c r="F89" i="7" s="1"/>
  <c r="K81" i="2"/>
  <c r="M81" i="2"/>
  <c r="F89" i="8" s="1"/>
  <c r="N81" i="2"/>
  <c r="G89" i="8" s="1"/>
  <c r="P81" i="2"/>
  <c r="Q81" i="2"/>
  <c r="G89" i="9" s="1"/>
  <c r="S81" i="2"/>
  <c r="F89" i="10" s="1"/>
  <c r="T81" i="2"/>
  <c r="V81" i="2"/>
  <c r="W81" i="2"/>
  <c r="G89" i="11" s="1"/>
  <c r="Y81" i="2"/>
  <c r="F89" i="12" s="1"/>
  <c r="Z81" i="2"/>
  <c r="G89" i="12" s="1"/>
  <c r="B82" i="2"/>
  <c r="C82" i="2"/>
  <c r="D82" i="2"/>
  <c r="G82" i="2"/>
  <c r="F90" i="5" s="1"/>
  <c r="H82" i="2"/>
  <c r="G90" i="5" s="1"/>
  <c r="BM90" i="5" s="1"/>
  <c r="J82" i="2"/>
  <c r="K82" i="2"/>
  <c r="G90" i="7" s="1"/>
  <c r="M82" i="2"/>
  <c r="F90" i="8" s="1"/>
  <c r="N82" i="2"/>
  <c r="G90" i="8" s="1"/>
  <c r="P82" i="2"/>
  <c r="F90" i="9" s="1"/>
  <c r="Q82" i="2"/>
  <c r="G90" i="9" s="1"/>
  <c r="S82" i="2"/>
  <c r="T82" i="2"/>
  <c r="G90" i="10" s="1"/>
  <c r="V82" i="2"/>
  <c r="F90" i="11" s="1"/>
  <c r="W82" i="2"/>
  <c r="G90" i="11" s="1"/>
  <c r="Y82" i="2"/>
  <c r="F90" i="12" s="1"/>
  <c r="Z82" i="2"/>
  <c r="G90" i="12" s="1"/>
  <c r="B83" i="2"/>
  <c r="C83" i="2"/>
  <c r="D83" i="2"/>
  <c r="G83" i="2"/>
  <c r="F91" i="5" s="1"/>
  <c r="H83" i="2"/>
  <c r="G91" i="5" s="1"/>
  <c r="J83" i="2"/>
  <c r="F91" i="7" s="1"/>
  <c r="N91" i="7" s="1"/>
  <c r="K83" i="2"/>
  <c r="G91" i="7" s="1"/>
  <c r="BA91" i="7" s="1"/>
  <c r="M83" i="2"/>
  <c r="F91" i="8" s="1"/>
  <c r="N83" i="2"/>
  <c r="G91" i="8" s="1"/>
  <c r="P83" i="2"/>
  <c r="Q83" i="2"/>
  <c r="G91" i="9" s="1"/>
  <c r="S83" i="2"/>
  <c r="T83" i="2"/>
  <c r="U83" i="2" s="1"/>
  <c r="V83" i="2"/>
  <c r="F91" i="11" s="1"/>
  <c r="W83" i="2"/>
  <c r="G91" i="11" s="1"/>
  <c r="Y83" i="2"/>
  <c r="F91" i="12" s="1"/>
  <c r="Z83" i="2"/>
  <c r="B84" i="2"/>
  <c r="C84" i="2"/>
  <c r="D84" i="2"/>
  <c r="G84" i="2"/>
  <c r="F92" i="5" s="1"/>
  <c r="H84" i="2"/>
  <c r="G92" i="5" s="1"/>
  <c r="J84" i="2"/>
  <c r="K84" i="2"/>
  <c r="G92" i="7" s="1"/>
  <c r="M84" i="2"/>
  <c r="F92" i="8" s="1"/>
  <c r="N84" i="2"/>
  <c r="G92" i="8" s="1"/>
  <c r="P84" i="2"/>
  <c r="F92" i="9" s="1"/>
  <c r="Q84" i="2"/>
  <c r="S84" i="2"/>
  <c r="F92" i="10" s="1"/>
  <c r="T84" i="2"/>
  <c r="G92" i="10" s="1"/>
  <c r="V84" i="2"/>
  <c r="F92" i="11" s="1"/>
  <c r="W84" i="2"/>
  <c r="G92" i="11" s="1"/>
  <c r="Y84" i="2"/>
  <c r="F92" i="12" s="1"/>
  <c r="Z84" i="2"/>
  <c r="G92" i="12" s="1"/>
  <c r="B85" i="2"/>
  <c r="C85" i="2"/>
  <c r="D85" i="2"/>
  <c r="G85" i="2"/>
  <c r="F93" i="5" s="1"/>
  <c r="H85" i="2"/>
  <c r="G93" i="5" s="1"/>
  <c r="J85" i="2"/>
  <c r="F93" i="7" s="1"/>
  <c r="K85" i="2"/>
  <c r="M85" i="2"/>
  <c r="F93" i="8" s="1"/>
  <c r="N85" i="2"/>
  <c r="P85" i="2"/>
  <c r="F93" i="9" s="1"/>
  <c r="Q85" i="2"/>
  <c r="G93" i="9" s="1"/>
  <c r="S85" i="2"/>
  <c r="F93" i="10" s="1"/>
  <c r="T85" i="2"/>
  <c r="G93" i="10" s="1"/>
  <c r="V85" i="2"/>
  <c r="F93" i="11" s="1"/>
  <c r="W85" i="2"/>
  <c r="Y85" i="2"/>
  <c r="F93" i="12" s="1"/>
  <c r="Z85" i="2"/>
  <c r="B86" i="2"/>
  <c r="E86" i="2" s="1"/>
  <c r="C86" i="2"/>
  <c r="D86" i="2"/>
  <c r="G86" i="2"/>
  <c r="F94" i="5" s="1"/>
  <c r="H86" i="2"/>
  <c r="G94" i="5" s="1"/>
  <c r="J86" i="2"/>
  <c r="F94" i="7" s="1"/>
  <c r="K86" i="2"/>
  <c r="G94" i="7" s="1"/>
  <c r="M86" i="2"/>
  <c r="F94" i="8" s="1"/>
  <c r="N86" i="2"/>
  <c r="G94" i="8" s="1"/>
  <c r="P86" i="2"/>
  <c r="Q86" i="2"/>
  <c r="G94" i="9" s="1"/>
  <c r="S86" i="2"/>
  <c r="F94" i="10" s="1"/>
  <c r="T86" i="2"/>
  <c r="G94" i="10" s="1"/>
  <c r="V86" i="2"/>
  <c r="F94" i="11" s="1"/>
  <c r="W86" i="2"/>
  <c r="G94" i="11" s="1"/>
  <c r="Y86" i="2"/>
  <c r="F94" i="12" s="1"/>
  <c r="Z86" i="2"/>
  <c r="G94" i="12" s="1"/>
  <c r="B87" i="2"/>
  <c r="C87" i="2"/>
  <c r="D87" i="2"/>
  <c r="G87" i="2"/>
  <c r="F95" i="5" s="1"/>
  <c r="H87" i="2"/>
  <c r="G95" i="5" s="1"/>
  <c r="J87" i="2"/>
  <c r="K87" i="2"/>
  <c r="G95" i="7" s="1"/>
  <c r="M87" i="2"/>
  <c r="N87" i="2"/>
  <c r="G95" i="8" s="1"/>
  <c r="P87" i="2"/>
  <c r="Q87" i="2"/>
  <c r="G95" i="9" s="1"/>
  <c r="S87" i="2"/>
  <c r="F95" i="10" s="1"/>
  <c r="T87" i="2"/>
  <c r="G95" i="10" s="1"/>
  <c r="V87" i="2"/>
  <c r="F95" i="11" s="1"/>
  <c r="W87" i="2"/>
  <c r="G95" i="11" s="1"/>
  <c r="Y87" i="2"/>
  <c r="F95" i="12" s="1"/>
  <c r="Z87" i="2"/>
  <c r="G95" i="12" s="1"/>
  <c r="B88" i="2"/>
  <c r="C88" i="2"/>
  <c r="D88" i="2"/>
  <c r="G88" i="2"/>
  <c r="F96" i="5" s="1"/>
  <c r="H88" i="2"/>
  <c r="G96" i="5" s="1"/>
  <c r="J88" i="2"/>
  <c r="K88" i="2"/>
  <c r="G96" i="7" s="1"/>
  <c r="M88" i="2"/>
  <c r="F96" i="8" s="1"/>
  <c r="N88" i="2"/>
  <c r="G96" i="8" s="1"/>
  <c r="P88" i="2"/>
  <c r="F96" i="9" s="1"/>
  <c r="Q88" i="2"/>
  <c r="G96" i="9" s="1"/>
  <c r="S88" i="2"/>
  <c r="F96" i="10" s="1"/>
  <c r="T88" i="2"/>
  <c r="G96" i="10" s="1"/>
  <c r="V88" i="2"/>
  <c r="F96" i="11" s="1"/>
  <c r="W88" i="2"/>
  <c r="G96" i="11" s="1"/>
  <c r="Y88" i="2"/>
  <c r="F96" i="12" s="1"/>
  <c r="Z88" i="2"/>
  <c r="G96" i="12" s="1"/>
  <c r="B89" i="2"/>
  <c r="C89" i="2"/>
  <c r="D89" i="2"/>
  <c r="G89" i="2"/>
  <c r="F97" i="5" s="1"/>
  <c r="H89" i="2"/>
  <c r="G97" i="5" s="1"/>
  <c r="J89" i="2"/>
  <c r="F97" i="7" s="1"/>
  <c r="K89" i="2"/>
  <c r="G97" i="7" s="1"/>
  <c r="M89" i="2"/>
  <c r="F97" i="8" s="1"/>
  <c r="N89" i="2"/>
  <c r="G97" i="8" s="1"/>
  <c r="P89" i="2"/>
  <c r="Q89" i="2"/>
  <c r="G97" i="9" s="1"/>
  <c r="S89" i="2"/>
  <c r="F97" i="10" s="1"/>
  <c r="T89" i="2"/>
  <c r="U89" i="2" s="1"/>
  <c r="V89" i="2"/>
  <c r="F97" i="11" s="1"/>
  <c r="W89" i="2"/>
  <c r="G97" i="11" s="1"/>
  <c r="Y89" i="2"/>
  <c r="F97" i="12" s="1"/>
  <c r="Z89" i="2"/>
  <c r="B90" i="2"/>
  <c r="C90" i="2"/>
  <c r="D90" i="2"/>
  <c r="G90" i="2"/>
  <c r="F98" i="5" s="1"/>
  <c r="H90" i="2"/>
  <c r="G98" i="5" s="1"/>
  <c r="J90" i="2"/>
  <c r="F98" i="7" s="1"/>
  <c r="K90" i="2"/>
  <c r="G98" i="7" s="1"/>
  <c r="M90" i="2"/>
  <c r="F98" i="8" s="1"/>
  <c r="N90" i="2"/>
  <c r="P90" i="2"/>
  <c r="F98" i="9" s="1"/>
  <c r="Q90" i="2"/>
  <c r="S90" i="2"/>
  <c r="F98" i="10" s="1"/>
  <c r="T90" i="2"/>
  <c r="G98" i="10" s="1"/>
  <c r="V90" i="2"/>
  <c r="F98" i="11" s="1"/>
  <c r="W90" i="2"/>
  <c r="G98" i="11" s="1"/>
  <c r="Y90" i="2"/>
  <c r="F98" i="12" s="1"/>
  <c r="Z90" i="2"/>
  <c r="G98" i="12" s="1"/>
  <c r="B91" i="2"/>
  <c r="C91" i="2"/>
  <c r="D91" i="2"/>
  <c r="G91" i="2"/>
  <c r="F99" i="5" s="1"/>
  <c r="H91" i="2"/>
  <c r="G99" i="5" s="1"/>
  <c r="J91" i="2"/>
  <c r="F99" i="7" s="1"/>
  <c r="K91" i="2"/>
  <c r="G99" i="7" s="1"/>
  <c r="L91" i="2"/>
  <c r="M91" i="2"/>
  <c r="F99" i="8" s="1"/>
  <c r="N91" i="2"/>
  <c r="G99" i="8" s="1"/>
  <c r="P91" i="2"/>
  <c r="F99" i="9" s="1"/>
  <c r="Q91" i="2"/>
  <c r="G99" i="9" s="1"/>
  <c r="S91" i="2"/>
  <c r="F99" i="10" s="1"/>
  <c r="T91" i="2"/>
  <c r="G99" i="10" s="1"/>
  <c r="V91" i="2"/>
  <c r="F99" i="11" s="1"/>
  <c r="W91" i="2"/>
  <c r="Y91" i="2"/>
  <c r="F99" i="12" s="1"/>
  <c r="Z91" i="2"/>
  <c r="G99" i="12" s="1"/>
  <c r="B92" i="2"/>
  <c r="C92" i="2"/>
  <c r="D92" i="2"/>
  <c r="G92" i="2"/>
  <c r="F100" i="5" s="1"/>
  <c r="H92" i="2"/>
  <c r="G100" i="5" s="1"/>
  <c r="J92" i="2"/>
  <c r="F100" i="7" s="1"/>
  <c r="K92" i="2"/>
  <c r="G100" i="7" s="1"/>
  <c r="M92" i="2"/>
  <c r="F100" i="8" s="1"/>
  <c r="N92" i="2"/>
  <c r="G100" i="8" s="1"/>
  <c r="P92" i="2"/>
  <c r="F100" i="9" s="1"/>
  <c r="Q92" i="2"/>
  <c r="G100" i="9" s="1"/>
  <c r="S92" i="2"/>
  <c r="F100" i="10" s="1"/>
  <c r="T92" i="2"/>
  <c r="V92" i="2"/>
  <c r="F100" i="11" s="1"/>
  <c r="W92" i="2"/>
  <c r="Y92" i="2"/>
  <c r="F100" i="12" s="1"/>
  <c r="Z92" i="2"/>
  <c r="G100" i="12" s="1"/>
  <c r="AA92" i="2"/>
  <c r="B93" i="2"/>
  <c r="E93" i="2"/>
  <c r="C93" i="2"/>
  <c r="D93" i="2"/>
  <c r="G93" i="2"/>
  <c r="F101" i="5" s="1"/>
  <c r="H93" i="2"/>
  <c r="G101" i="5" s="1"/>
  <c r="J93" i="2"/>
  <c r="K93" i="2"/>
  <c r="G101" i="7" s="1"/>
  <c r="M93" i="2"/>
  <c r="F101" i="8" s="1"/>
  <c r="N93" i="2"/>
  <c r="P93" i="2"/>
  <c r="Q93" i="2"/>
  <c r="G101" i="9" s="1"/>
  <c r="S93" i="2"/>
  <c r="F101" i="10" s="1"/>
  <c r="T93" i="2"/>
  <c r="G101" i="10" s="1"/>
  <c r="V93" i="2"/>
  <c r="F101" i="11" s="1"/>
  <c r="W93" i="2"/>
  <c r="G101" i="11" s="1"/>
  <c r="Y93" i="2"/>
  <c r="F101" i="12" s="1"/>
  <c r="Z93" i="2"/>
  <c r="G101" i="12" s="1"/>
  <c r="B94" i="2"/>
  <c r="C94" i="2"/>
  <c r="D94" i="2"/>
  <c r="G94" i="2"/>
  <c r="F102" i="5" s="1"/>
  <c r="H94" i="2"/>
  <c r="G102" i="5" s="1"/>
  <c r="J94" i="2"/>
  <c r="K94" i="2"/>
  <c r="G102" i="7" s="1"/>
  <c r="M94" i="2"/>
  <c r="F102" i="8" s="1"/>
  <c r="N94" i="2"/>
  <c r="G102" i="8" s="1"/>
  <c r="P94" i="2"/>
  <c r="F102" i="9" s="1"/>
  <c r="Q94" i="2"/>
  <c r="G102" i="9" s="1"/>
  <c r="S94" i="2"/>
  <c r="F102" i="10" s="1"/>
  <c r="T94" i="2"/>
  <c r="G102" i="10" s="1"/>
  <c r="V94" i="2"/>
  <c r="F102" i="11" s="1"/>
  <c r="W94" i="2"/>
  <c r="Y94" i="2"/>
  <c r="F102" i="12" s="1"/>
  <c r="Z94" i="2"/>
  <c r="G102" i="12" s="1"/>
  <c r="B95" i="2"/>
  <c r="C95" i="2"/>
  <c r="D95" i="2"/>
  <c r="G95" i="2"/>
  <c r="F103" i="5" s="1"/>
  <c r="H95" i="2"/>
  <c r="G103" i="5" s="1"/>
  <c r="J95" i="2"/>
  <c r="K95" i="2"/>
  <c r="G103" i="7" s="1"/>
  <c r="M95" i="2"/>
  <c r="F103" i="8" s="1"/>
  <c r="N95" i="2"/>
  <c r="G103" i="8" s="1"/>
  <c r="P95" i="2"/>
  <c r="F103" i="9" s="1"/>
  <c r="Q95" i="2"/>
  <c r="G103" i="9" s="1"/>
  <c r="R95" i="2"/>
  <c r="S95" i="2"/>
  <c r="F103" i="10" s="1"/>
  <c r="T95" i="2"/>
  <c r="G103" i="10" s="1"/>
  <c r="V95" i="2"/>
  <c r="F103" i="11" s="1"/>
  <c r="W95" i="2"/>
  <c r="G103" i="11" s="1"/>
  <c r="Y95" i="2"/>
  <c r="F103" i="12" s="1"/>
  <c r="Z95" i="2"/>
  <c r="G103" i="12" s="1"/>
  <c r="B96" i="2"/>
  <c r="C96" i="2"/>
  <c r="D96" i="2"/>
  <c r="G96" i="2"/>
  <c r="H96" i="2"/>
  <c r="J96" i="2"/>
  <c r="K96" i="2"/>
  <c r="M96" i="2"/>
  <c r="N96" i="2"/>
  <c r="O96" i="2" s="1"/>
  <c r="P96" i="2"/>
  <c r="Q96" i="2"/>
  <c r="S96" i="2"/>
  <c r="T96" i="2"/>
  <c r="V96" i="2"/>
  <c r="W96" i="2"/>
  <c r="Y96" i="2"/>
  <c r="Z96" i="2"/>
  <c r="B97" i="2"/>
  <c r="C97" i="2"/>
  <c r="D97" i="2"/>
  <c r="G97" i="2"/>
  <c r="H97" i="2"/>
  <c r="J97" i="2"/>
  <c r="K97" i="2"/>
  <c r="M97" i="2"/>
  <c r="N97" i="2"/>
  <c r="O97" i="2" s="1"/>
  <c r="P97" i="2"/>
  <c r="Q97" i="2"/>
  <c r="S97" i="2"/>
  <c r="T97" i="2"/>
  <c r="U97" i="2" s="1"/>
  <c r="V97" i="2"/>
  <c r="W97" i="2"/>
  <c r="X97" i="2" s="1"/>
  <c r="Y97" i="2"/>
  <c r="Z97" i="2"/>
  <c r="H47" i="2"/>
  <c r="G67" i="5" s="1"/>
  <c r="H46" i="2"/>
  <c r="G54" i="5" s="1"/>
  <c r="H59" i="2"/>
  <c r="G43" i="5" s="1"/>
  <c r="B52" i="2"/>
  <c r="C52" i="2"/>
  <c r="D52" i="2"/>
  <c r="G52" i="2"/>
  <c r="F42" i="5" s="1"/>
  <c r="H52" i="2"/>
  <c r="J52" i="2"/>
  <c r="F60" i="7" s="1"/>
  <c r="K52" i="2"/>
  <c r="G60" i="7" s="1"/>
  <c r="M52" i="2"/>
  <c r="F60" i="8" s="1"/>
  <c r="N52" i="2"/>
  <c r="G60" i="8" s="1"/>
  <c r="P52" i="2"/>
  <c r="Q52" i="2"/>
  <c r="G60" i="9" s="1"/>
  <c r="S52" i="2"/>
  <c r="F60" i="10" s="1"/>
  <c r="T52" i="2"/>
  <c r="G60" i="10" s="1"/>
  <c r="V52" i="2"/>
  <c r="F60" i="11" s="1"/>
  <c r="W52" i="2"/>
  <c r="G60" i="11" s="1"/>
  <c r="Y52" i="2"/>
  <c r="F60" i="12" s="1"/>
  <c r="Z52" i="2"/>
  <c r="G60" i="12" s="1"/>
  <c r="B53" i="2"/>
  <c r="C53" i="2"/>
  <c r="D53" i="2"/>
  <c r="G53" i="2"/>
  <c r="F61" i="5" s="1"/>
  <c r="H53" i="2"/>
  <c r="J53" i="2"/>
  <c r="F61" i="7" s="1"/>
  <c r="K53" i="2"/>
  <c r="G61" i="7" s="1"/>
  <c r="M53" i="2"/>
  <c r="F61" i="8" s="1"/>
  <c r="N53" i="2"/>
  <c r="G61" i="8" s="1"/>
  <c r="P53" i="2"/>
  <c r="F61" i="9" s="1"/>
  <c r="Q53" i="2"/>
  <c r="S53" i="2"/>
  <c r="F61" i="10" s="1"/>
  <c r="T53" i="2"/>
  <c r="V53" i="2"/>
  <c r="F61" i="11" s="1"/>
  <c r="W53" i="2"/>
  <c r="G61" i="11" s="1"/>
  <c r="Y53" i="2"/>
  <c r="F61" i="12" s="1"/>
  <c r="Z53" i="2"/>
  <c r="G61" i="12" s="1"/>
  <c r="B54" i="2"/>
  <c r="C54" i="2"/>
  <c r="D54" i="2"/>
  <c r="G54" i="2"/>
  <c r="H54" i="2"/>
  <c r="J54" i="2"/>
  <c r="F62" i="7" s="1"/>
  <c r="K54" i="2"/>
  <c r="G62" i="7" s="1"/>
  <c r="M54" i="2"/>
  <c r="F62" i="8" s="1"/>
  <c r="N54" i="2"/>
  <c r="P54" i="2"/>
  <c r="F62" i="9" s="1"/>
  <c r="Q54" i="2"/>
  <c r="S54" i="2"/>
  <c r="F62" i="10" s="1"/>
  <c r="T54" i="2"/>
  <c r="G62" i="10" s="1"/>
  <c r="V54" i="2"/>
  <c r="F62" i="11" s="1"/>
  <c r="W54" i="2"/>
  <c r="G62" i="11" s="1"/>
  <c r="Y54" i="2"/>
  <c r="F62" i="12" s="1"/>
  <c r="Z54" i="2"/>
  <c r="G62" i="12" s="1"/>
  <c r="B55" i="2"/>
  <c r="C55" i="2"/>
  <c r="D55" i="2"/>
  <c r="G55" i="2"/>
  <c r="F63" i="5" s="1"/>
  <c r="H55" i="2"/>
  <c r="G63" i="5" s="1"/>
  <c r="J55" i="2"/>
  <c r="F63" i="7" s="1"/>
  <c r="K55" i="2"/>
  <c r="G63" i="7" s="1"/>
  <c r="M55" i="2"/>
  <c r="F63" i="8" s="1"/>
  <c r="N55" i="2"/>
  <c r="G63" i="8" s="1"/>
  <c r="P55" i="2"/>
  <c r="F63" i="9" s="1"/>
  <c r="Q55" i="2"/>
  <c r="G63" i="9" s="1"/>
  <c r="S55" i="2"/>
  <c r="F63" i="10" s="1"/>
  <c r="T55" i="2"/>
  <c r="G63" i="10" s="1"/>
  <c r="V55" i="2"/>
  <c r="F63" i="11" s="1"/>
  <c r="W55" i="2"/>
  <c r="G63" i="11" s="1"/>
  <c r="Y55" i="2"/>
  <c r="F63" i="12" s="1"/>
  <c r="Z55" i="2"/>
  <c r="G63" i="12" s="1"/>
  <c r="B56" i="2"/>
  <c r="C56" i="2"/>
  <c r="D56" i="2"/>
  <c r="G56" i="2"/>
  <c r="F59" i="5" s="1"/>
  <c r="H56" i="2"/>
  <c r="G59" i="5" s="1"/>
  <c r="J56" i="2"/>
  <c r="F64" i="7" s="1"/>
  <c r="K56" i="2"/>
  <c r="G64" i="7" s="1"/>
  <c r="M56" i="2"/>
  <c r="F64" i="8" s="1"/>
  <c r="N56" i="2"/>
  <c r="G64" i="8" s="1"/>
  <c r="P56" i="2"/>
  <c r="F64" i="9" s="1"/>
  <c r="Q56" i="2"/>
  <c r="G64" i="9" s="1"/>
  <c r="S56" i="2"/>
  <c r="F64" i="10" s="1"/>
  <c r="T56" i="2"/>
  <c r="G64" i="10" s="1"/>
  <c r="V56" i="2"/>
  <c r="F64" i="11" s="1"/>
  <c r="W56" i="2"/>
  <c r="G64" i="11" s="1"/>
  <c r="Y56" i="2"/>
  <c r="F64" i="12" s="1"/>
  <c r="Z56" i="2"/>
  <c r="G64" i="12" s="1"/>
  <c r="B57" i="2"/>
  <c r="C57" i="2"/>
  <c r="D57" i="2"/>
  <c r="G57" i="2"/>
  <c r="F65" i="5" s="1"/>
  <c r="H57" i="2"/>
  <c r="G65" i="5" s="1"/>
  <c r="J57" i="2"/>
  <c r="F65" i="7" s="1"/>
  <c r="K57" i="2"/>
  <c r="G65" i="7" s="1"/>
  <c r="M57" i="2"/>
  <c r="F65" i="8" s="1"/>
  <c r="N57" i="2"/>
  <c r="G65" i="8" s="1"/>
  <c r="P57" i="2"/>
  <c r="F65" i="9" s="1"/>
  <c r="Q57" i="2"/>
  <c r="G65" i="9" s="1"/>
  <c r="S57" i="2"/>
  <c r="F65" i="10" s="1"/>
  <c r="T57" i="2"/>
  <c r="G65" i="10" s="1"/>
  <c r="V57" i="2"/>
  <c r="F65" i="11" s="1"/>
  <c r="W57" i="2"/>
  <c r="G65" i="11" s="1"/>
  <c r="Y57" i="2"/>
  <c r="F65" i="12" s="1"/>
  <c r="Z57" i="2"/>
  <c r="G65" i="12" s="1"/>
  <c r="B58" i="2"/>
  <c r="C58" i="2"/>
  <c r="D58" i="2"/>
  <c r="G58" i="2"/>
  <c r="F66" i="5" s="1"/>
  <c r="H58" i="2"/>
  <c r="G66" i="5" s="1"/>
  <c r="J58" i="2"/>
  <c r="F66" i="7" s="1"/>
  <c r="K58" i="2"/>
  <c r="G66" i="7" s="1"/>
  <c r="M58" i="2"/>
  <c r="F66" i="8" s="1"/>
  <c r="N58" i="2"/>
  <c r="G66" i="8" s="1"/>
  <c r="P58" i="2"/>
  <c r="F66" i="9" s="1"/>
  <c r="Q58" i="2"/>
  <c r="S58" i="2"/>
  <c r="F66" i="10" s="1"/>
  <c r="T58" i="2"/>
  <c r="G66" i="10" s="1"/>
  <c r="V58" i="2"/>
  <c r="F66" i="11" s="1"/>
  <c r="W58" i="2"/>
  <c r="G66" i="11" s="1"/>
  <c r="Y58" i="2"/>
  <c r="F66" i="12" s="1"/>
  <c r="Z58" i="2"/>
  <c r="G66" i="12" s="1"/>
  <c r="B59" i="2"/>
  <c r="C59" i="2"/>
  <c r="D59" i="2"/>
  <c r="G59" i="2"/>
  <c r="F43" i="5" s="1"/>
  <c r="J59" i="2"/>
  <c r="F67" i="7" s="1"/>
  <c r="K59" i="2"/>
  <c r="G67" i="7" s="1"/>
  <c r="M59" i="2"/>
  <c r="F67" i="8" s="1"/>
  <c r="N59" i="2"/>
  <c r="G67" i="8" s="1"/>
  <c r="P59" i="2"/>
  <c r="F67" i="9" s="1"/>
  <c r="Q59" i="2"/>
  <c r="G67" i="9" s="1"/>
  <c r="S59" i="2"/>
  <c r="F67" i="10" s="1"/>
  <c r="T59" i="2"/>
  <c r="G67" i="10" s="1"/>
  <c r="V59" i="2"/>
  <c r="F67" i="11" s="1"/>
  <c r="W59" i="2"/>
  <c r="G67" i="11" s="1"/>
  <c r="Y59" i="2"/>
  <c r="F67" i="12" s="1"/>
  <c r="Z59" i="2"/>
  <c r="G67" i="12" s="1"/>
  <c r="B60" i="2"/>
  <c r="C60" i="2"/>
  <c r="D60" i="2"/>
  <c r="G60" i="2"/>
  <c r="F68" i="5" s="1"/>
  <c r="H60" i="2"/>
  <c r="G68" i="5" s="1"/>
  <c r="J60" i="2"/>
  <c r="F68" i="7" s="1"/>
  <c r="K60" i="2"/>
  <c r="G68" i="7" s="1"/>
  <c r="M60" i="2"/>
  <c r="F68" i="8" s="1"/>
  <c r="N60" i="2"/>
  <c r="G68" i="8" s="1"/>
  <c r="P60" i="2"/>
  <c r="F68" i="9" s="1"/>
  <c r="Q60" i="2"/>
  <c r="G68" i="9" s="1"/>
  <c r="S60" i="2"/>
  <c r="F68" i="10" s="1"/>
  <c r="T60" i="2"/>
  <c r="G68" i="10" s="1"/>
  <c r="V60" i="2"/>
  <c r="F68" i="11" s="1"/>
  <c r="W60" i="2"/>
  <c r="G68" i="11" s="1"/>
  <c r="Y60" i="2"/>
  <c r="F68" i="12" s="1"/>
  <c r="Z60" i="2"/>
  <c r="G68" i="12" s="1"/>
  <c r="B61" i="2"/>
  <c r="C61" i="2"/>
  <c r="D61" i="2"/>
  <c r="G61" i="2"/>
  <c r="F49" i="5" s="1"/>
  <c r="H61" i="2"/>
  <c r="G49" i="5" s="1"/>
  <c r="J61" i="2"/>
  <c r="F69" i="7" s="1"/>
  <c r="K61" i="2"/>
  <c r="G69" i="7" s="1"/>
  <c r="M61" i="2"/>
  <c r="F69" i="8" s="1"/>
  <c r="N61" i="2"/>
  <c r="G69" i="8" s="1"/>
  <c r="P61" i="2"/>
  <c r="F69" i="9" s="1"/>
  <c r="Q61" i="2"/>
  <c r="G69" i="9" s="1"/>
  <c r="S61" i="2"/>
  <c r="F69" i="10" s="1"/>
  <c r="T61" i="2"/>
  <c r="G69" i="10" s="1"/>
  <c r="V61" i="2"/>
  <c r="F69" i="11" s="1"/>
  <c r="W61" i="2"/>
  <c r="G69" i="11" s="1"/>
  <c r="Y61" i="2"/>
  <c r="F69" i="12" s="1"/>
  <c r="Z61" i="2"/>
  <c r="G69" i="12" s="1"/>
  <c r="B62" i="2"/>
  <c r="C62" i="2"/>
  <c r="D62" i="2"/>
  <c r="G62" i="2"/>
  <c r="F70" i="5" s="1"/>
  <c r="H62" i="2"/>
  <c r="G70" i="5" s="1"/>
  <c r="J62" i="2"/>
  <c r="F70" i="7" s="1"/>
  <c r="K62" i="2"/>
  <c r="G70" i="7" s="1"/>
  <c r="M62" i="2"/>
  <c r="F70" i="8" s="1"/>
  <c r="N62" i="2"/>
  <c r="G70" i="8" s="1"/>
  <c r="P62" i="2"/>
  <c r="F70" i="9" s="1"/>
  <c r="Q62" i="2"/>
  <c r="G70" i="9" s="1"/>
  <c r="S62" i="2"/>
  <c r="F70" i="10" s="1"/>
  <c r="T62" i="2"/>
  <c r="G70" i="10" s="1"/>
  <c r="V62" i="2"/>
  <c r="F70" i="11" s="1"/>
  <c r="W62" i="2"/>
  <c r="G70" i="11" s="1"/>
  <c r="Y62" i="2"/>
  <c r="F70" i="12" s="1"/>
  <c r="Z62" i="2"/>
  <c r="G70" i="12" s="1"/>
  <c r="X78" i="2"/>
  <c r="R73" i="2"/>
  <c r="B44" i="2"/>
  <c r="C44" i="2"/>
  <c r="D44" i="2"/>
  <c r="G44" i="2"/>
  <c r="F52" i="5" s="1"/>
  <c r="H44" i="2"/>
  <c r="J44" i="2"/>
  <c r="F52" i="7" s="1"/>
  <c r="K44" i="2"/>
  <c r="G52" i="7" s="1"/>
  <c r="M44" i="2"/>
  <c r="F52" i="8" s="1"/>
  <c r="N44" i="2"/>
  <c r="G52" i="8" s="1"/>
  <c r="P44" i="2"/>
  <c r="F52" i="9" s="1"/>
  <c r="Q44" i="2"/>
  <c r="S44" i="2"/>
  <c r="F52" i="10" s="1"/>
  <c r="T44" i="2"/>
  <c r="G52" i="10" s="1"/>
  <c r="V44" i="2"/>
  <c r="F52" i="11" s="1"/>
  <c r="W44" i="2"/>
  <c r="G52" i="11" s="1"/>
  <c r="Y44" i="2"/>
  <c r="F52" i="12" s="1"/>
  <c r="Z44" i="2"/>
  <c r="G52" i="12" s="1"/>
  <c r="B45" i="2"/>
  <c r="C45" i="2"/>
  <c r="D45" i="2"/>
  <c r="G45" i="2"/>
  <c r="F64" i="5" s="1"/>
  <c r="H45" i="2"/>
  <c r="G64" i="5" s="1"/>
  <c r="J45" i="2"/>
  <c r="F53" i="7" s="1"/>
  <c r="K45" i="2"/>
  <c r="G53" i="7" s="1"/>
  <c r="M45" i="2"/>
  <c r="F53" i="8" s="1"/>
  <c r="N45" i="2"/>
  <c r="G53" i="8" s="1"/>
  <c r="P45" i="2"/>
  <c r="F53" i="9" s="1"/>
  <c r="Q45" i="2"/>
  <c r="G53" i="9" s="1"/>
  <c r="S45" i="2"/>
  <c r="F53" i="10" s="1"/>
  <c r="T45" i="2"/>
  <c r="G53" i="10" s="1"/>
  <c r="V45" i="2"/>
  <c r="F53" i="11" s="1"/>
  <c r="W45" i="2"/>
  <c r="G53" i="11" s="1"/>
  <c r="Y45" i="2"/>
  <c r="F53" i="12" s="1"/>
  <c r="Z45" i="2"/>
  <c r="G53" i="12" s="1"/>
  <c r="B46" i="2"/>
  <c r="C46" i="2"/>
  <c r="D46" i="2"/>
  <c r="G46" i="2"/>
  <c r="F54" i="5" s="1"/>
  <c r="J46" i="2"/>
  <c r="F54" i="7" s="1"/>
  <c r="K46" i="2"/>
  <c r="G54" i="7" s="1"/>
  <c r="M46" i="2"/>
  <c r="F54" i="8" s="1"/>
  <c r="N46" i="2"/>
  <c r="G54" i="8" s="1"/>
  <c r="P46" i="2"/>
  <c r="F54" i="9" s="1"/>
  <c r="Q46" i="2"/>
  <c r="S46" i="2"/>
  <c r="F54" i="10" s="1"/>
  <c r="T46" i="2"/>
  <c r="G54" i="10" s="1"/>
  <c r="V46" i="2"/>
  <c r="F54" i="11" s="1"/>
  <c r="W46" i="2"/>
  <c r="G54" i="11" s="1"/>
  <c r="Y46" i="2"/>
  <c r="F54" i="12" s="1"/>
  <c r="Z46" i="2"/>
  <c r="G54" i="12" s="1"/>
  <c r="B47" i="2"/>
  <c r="C47" i="2"/>
  <c r="D47" i="2"/>
  <c r="G47" i="2"/>
  <c r="F67" i="5" s="1"/>
  <c r="J47" i="2"/>
  <c r="F55" i="7" s="1"/>
  <c r="K47" i="2"/>
  <c r="G55" i="7" s="1"/>
  <c r="M47" i="2"/>
  <c r="F55" i="8" s="1"/>
  <c r="N47" i="2"/>
  <c r="G55" i="8" s="1"/>
  <c r="P47" i="2"/>
  <c r="F55" i="9" s="1"/>
  <c r="Q47" i="2"/>
  <c r="G55" i="9" s="1"/>
  <c r="S47" i="2"/>
  <c r="F55" i="10" s="1"/>
  <c r="T47" i="2"/>
  <c r="G55" i="10" s="1"/>
  <c r="V47" i="2"/>
  <c r="F55" i="11" s="1"/>
  <c r="W47" i="2"/>
  <c r="G55" i="11" s="1"/>
  <c r="Y47" i="2"/>
  <c r="F55" i="12" s="1"/>
  <c r="Z47" i="2"/>
  <c r="G55" i="12" s="1"/>
  <c r="B48" i="2"/>
  <c r="C48" i="2"/>
  <c r="D48" i="2"/>
  <c r="G48" i="2"/>
  <c r="F56" i="5" s="1"/>
  <c r="H48" i="2"/>
  <c r="G56" i="5" s="1"/>
  <c r="J48" i="2"/>
  <c r="F56" i="7" s="1"/>
  <c r="K48" i="2"/>
  <c r="G56" i="7" s="1"/>
  <c r="M48" i="2"/>
  <c r="F56" i="8" s="1"/>
  <c r="N48" i="2"/>
  <c r="P48" i="2"/>
  <c r="F56" i="9" s="1"/>
  <c r="Q48" i="2"/>
  <c r="S48" i="2"/>
  <c r="F56" i="10" s="1"/>
  <c r="T48" i="2"/>
  <c r="G56" i="10" s="1"/>
  <c r="V48" i="2"/>
  <c r="F56" i="11" s="1"/>
  <c r="W48" i="2"/>
  <c r="G56" i="11" s="1"/>
  <c r="Y48" i="2"/>
  <c r="F56" i="12" s="1"/>
  <c r="Z48" i="2"/>
  <c r="G56" i="12" s="1"/>
  <c r="B49" i="2"/>
  <c r="C49" i="2"/>
  <c r="D49" i="2"/>
  <c r="G49" i="2"/>
  <c r="F57" i="5" s="1"/>
  <c r="H49" i="2"/>
  <c r="G57" i="5" s="1"/>
  <c r="J49" i="2"/>
  <c r="F57" i="7" s="1"/>
  <c r="K49" i="2"/>
  <c r="G57" i="7" s="1"/>
  <c r="M49" i="2"/>
  <c r="F57" i="8" s="1"/>
  <c r="N49" i="2"/>
  <c r="G57" i="8" s="1"/>
  <c r="P49" i="2"/>
  <c r="F57" i="9" s="1"/>
  <c r="Q49" i="2"/>
  <c r="S49" i="2"/>
  <c r="F57" i="10" s="1"/>
  <c r="T49" i="2"/>
  <c r="G57" i="10" s="1"/>
  <c r="V49" i="2"/>
  <c r="F57" i="11" s="1"/>
  <c r="W49" i="2"/>
  <c r="G57" i="11" s="1"/>
  <c r="Y49" i="2"/>
  <c r="F57" i="12" s="1"/>
  <c r="Z49" i="2"/>
  <c r="G57" i="12" s="1"/>
  <c r="B50" i="2"/>
  <c r="C50" i="2"/>
  <c r="D50" i="2"/>
  <c r="G50" i="2"/>
  <c r="F58" i="5" s="1"/>
  <c r="H50" i="2"/>
  <c r="G58" i="5" s="1"/>
  <c r="J50" i="2"/>
  <c r="F58" i="7" s="1"/>
  <c r="K50" i="2"/>
  <c r="G58" i="7" s="1"/>
  <c r="M50" i="2"/>
  <c r="F58" i="8" s="1"/>
  <c r="N50" i="2"/>
  <c r="P50" i="2"/>
  <c r="F58" i="9" s="1"/>
  <c r="Q50" i="2"/>
  <c r="S50" i="2"/>
  <c r="F58" i="10" s="1"/>
  <c r="T50" i="2"/>
  <c r="G58" i="10" s="1"/>
  <c r="V50" i="2"/>
  <c r="F58" i="11" s="1"/>
  <c r="W50" i="2"/>
  <c r="G58" i="11" s="1"/>
  <c r="Y50" i="2"/>
  <c r="F58" i="12" s="1"/>
  <c r="Z50" i="2"/>
  <c r="G58" i="12" s="1"/>
  <c r="B51" i="2"/>
  <c r="C51" i="2"/>
  <c r="D51" i="2"/>
  <c r="G51" i="2"/>
  <c r="F40" i="5" s="1"/>
  <c r="H51" i="2"/>
  <c r="J51" i="2"/>
  <c r="F59" i="7" s="1"/>
  <c r="K51" i="2"/>
  <c r="G59" i="7" s="1"/>
  <c r="M51" i="2"/>
  <c r="F59" i="8" s="1"/>
  <c r="N51" i="2"/>
  <c r="G59" i="8" s="1"/>
  <c r="P51" i="2"/>
  <c r="F59" i="9" s="1"/>
  <c r="Q51" i="2"/>
  <c r="S51" i="2"/>
  <c r="F59" i="10" s="1"/>
  <c r="T51" i="2"/>
  <c r="G59" i="10" s="1"/>
  <c r="V51" i="2"/>
  <c r="F59" i="11" s="1"/>
  <c r="W51" i="2"/>
  <c r="G59" i="11" s="1"/>
  <c r="Y51" i="2"/>
  <c r="F59" i="12" s="1"/>
  <c r="Z51" i="2"/>
  <c r="G59" i="12" s="1"/>
  <c r="B37" i="2"/>
  <c r="C37" i="2"/>
  <c r="D37" i="2"/>
  <c r="G37" i="2"/>
  <c r="F45" i="5" s="1"/>
  <c r="H37" i="2"/>
  <c r="G45" i="5" s="1"/>
  <c r="J37" i="2"/>
  <c r="F45" i="7" s="1"/>
  <c r="K37" i="2"/>
  <c r="G45" i="7" s="1"/>
  <c r="M37" i="2"/>
  <c r="F45" i="8" s="1"/>
  <c r="N37" i="2"/>
  <c r="G45" i="8" s="1"/>
  <c r="P37" i="2"/>
  <c r="F45" i="9" s="1"/>
  <c r="Q37" i="2"/>
  <c r="G45" i="9" s="1"/>
  <c r="S37" i="2"/>
  <c r="F45" i="10" s="1"/>
  <c r="T37" i="2"/>
  <c r="G45" i="10" s="1"/>
  <c r="V37" i="2"/>
  <c r="F45" i="11" s="1"/>
  <c r="W37" i="2"/>
  <c r="G45" i="11" s="1"/>
  <c r="Y37" i="2"/>
  <c r="F45" i="12" s="1"/>
  <c r="Z37" i="2"/>
  <c r="G45" i="12" s="1"/>
  <c r="B38" i="2"/>
  <c r="C38" i="2"/>
  <c r="D38" i="2"/>
  <c r="G38" i="2"/>
  <c r="F46" i="5" s="1"/>
  <c r="H38" i="2"/>
  <c r="G46" i="5" s="1"/>
  <c r="J38" i="2"/>
  <c r="F46" i="7" s="1"/>
  <c r="K38" i="2"/>
  <c r="G46" i="7" s="1"/>
  <c r="M38" i="2"/>
  <c r="F46" i="8" s="1"/>
  <c r="N38" i="2"/>
  <c r="G46" i="8" s="1"/>
  <c r="P38" i="2"/>
  <c r="F46" i="9" s="1"/>
  <c r="Q38" i="2"/>
  <c r="S38" i="2"/>
  <c r="F46" i="10" s="1"/>
  <c r="T38" i="2"/>
  <c r="G46" i="10" s="1"/>
  <c r="V38" i="2"/>
  <c r="F46" i="11" s="1"/>
  <c r="W38" i="2"/>
  <c r="G46" i="11" s="1"/>
  <c r="Y38" i="2"/>
  <c r="F46" i="12" s="1"/>
  <c r="Z38" i="2"/>
  <c r="G46" i="12" s="1"/>
  <c r="B39" i="2"/>
  <c r="C39" i="2"/>
  <c r="D39" i="2"/>
  <c r="G39" i="2"/>
  <c r="F47" i="5" s="1"/>
  <c r="H39" i="2"/>
  <c r="G47" i="5" s="1"/>
  <c r="J39" i="2"/>
  <c r="F47" i="7" s="1"/>
  <c r="K39" i="2"/>
  <c r="G47" i="7" s="1"/>
  <c r="M39" i="2"/>
  <c r="F47" i="8" s="1"/>
  <c r="N39" i="2"/>
  <c r="G47" i="8" s="1"/>
  <c r="P39" i="2"/>
  <c r="F47" i="9" s="1"/>
  <c r="Q39" i="2"/>
  <c r="G47" i="9" s="1"/>
  <c r="S39" i="2"/>
  <c r="F47" i="10" s="1"/>
  <c r="T39" i="2"/>
  <c r="G47" i="10" s="1"/>
  <c r="V39" i="2"/>
  <c r="F47" i="11" s="1"/>
  <c r="W39" i="2"/>
  <c r="G47" i="11" s="1"/>
  <c r="Y39" i="2"/>
  <c r="F47" i="12" s="1"/>
  <c r="Z39" i="2"/>
  <c r="G47" i="12" s="1"/>
  <c r="B40" i="2"/>
  <c r="C40" i="2"/>
  <c r="D40" i="2"/>
  <c r="G40" i="2"/>
  <c r="F48" i="5" s="1"/>
  <c r="H40" i="2"/>
  <c r="G48" i="5" s="1"/>
  <c r="J40" i="2"/>
  <c r="F48" i="7" s="1"/>
  <c r="K40" i="2"/>
  <c r="G48" i="7" s="1"/>
  <c r="M40" i="2"/>
  <c r="F48" i="8" s="1"/>
  <c r="N40" i="2"/>
  <c r="G48" i="8" s="1"/>
  <c r="P40" i="2"/>
  <c r="F48" i="9" s="1"/>
  <c r="Q40" i="2"/>
  <c r="G48" i="9" s="1"/>
  <c r="S40" i="2"/>
  <c r="F48" i="10" s="1"/>
  <c r="T40" i="2"/>
  <c r="G48" i="10" s="1"/>
  <c r="V40" i="2"/>
  <c r="F48" i="11" s="1"/>
  <c r="W40" i="2"/>
  <c r="G48" i="11" s="1"/>
  <c r="Y40" i="2"/>
  <c r="F48" i="12" s="1"/>
  <c r="Z40" i="2"/>
  <c r="G48" i="12" s="1"/>
  <c r="B41" i="2"/>
  <c r="C41" i="2"/>
  <c r="D41" i="2"/>
  <c r="G41" i="2"/>
  <c r="F32" i="5" s="1"/>
  <c r="H41" i="2"/>
  <c r="G32" i="5" s="1"/>
  <c r="J41" i="2"/>
  <c r="F49" i="7" s="1"/>
  <c r="K41" i="2"/>
  <c r="G49" i="7" s="1"/>
  <c r="M41" i="2"/>
  <c r="F49" i="8" s="1"/>
  <c r="N41" i="2"/>
  <c r="G49" i="8" s="1"/>
  <c r="P41" i="2"/>
  <c r="F49" i="9" s="1"/>
  <c r="Q41" i="2"/>
  <c r="G49" i="9" s="1"/>
  <c r="S41" i="2"/>
  <c r="F49" i="10" s="1"/>
  <c r="T41" i="2"/>
  <c r="G49" i="10" s="1"/>
  <c r="V41" i="2"/>
  <c r="F49" i="11" s="1"/>
  <c r="W41" i="2"/>
  <c r="G49" i="11" s="1"/>
  <c r="Y41" i="2"/>
  <c r="F49" i="12" s="1"/>
  <c r="Z41" i="2"/>
  <c r="G49" i="12" s="1"/>
  <c r="B42" i="2"/>
  <c r="C42" i="2"/>
  <c r="D42" i="2"/>
  <c r="G42" i="2"/>
  <c r="F33" i="5" s="1"/>
  <c r="H42" i="2"/>
  <c r="G33" i="5" s="1"/>
  <c r="J42" i="2"/>
  <c r="F50" i="7" s="1"/>
  <c r="K42" i="2"/>
  <c r="G50" i="7" s="1"/>
  <c r="M42" i="2"/>
  <c r="F50" i="8" s="1"/>
  <c r="N42" i="2"/>
  <c r="G50" i="8" s="1"/>
  <c r="P42" i="2"/>
  <c r="F50" i="9" s="1"/>
  <c r="Q42" i="2"/>
  <c r="S42" i="2"/>
  <c r="F50" i="10" s="1"/>
  <c r="T42" i="2"/>
  <c r="G50" i="10" s="1"/>
  <c r="V42" i="2"/>
  <c r="F50" i="11" s="1"/>
  <c r="W42" i="2"/>
  <c r="G50" i="11" s="1"/>
  <c r="Y42" i="2"/>
  <c r="F50" i="12" s="1"/>
  <c r="Z42" i="2"/>
  <c r="G50" i="12" s="1"/>
  <c r="B43" i="2"/>
  <c r="C43" i="2"/>
  <c r="D43" i="2"/>
  <c r="G43" i="2"/>
  <c r="F51" i="5" s="1"/>
  <c r="H43" i="2"/>
  <c r="G51" i="5" s="1"/>
  <c r="J43" i="2"/>
  <c r="F51" i="7" s="1"/>
  <c r="K43" i="2"/>
  <c r="G51" i="7" s="1"/>
  <c r="M43" i="2"/>
  <c r="F51" i="8" s="1"/>
  <c r="N43" i="2"/>
  <c r="G51" i="8" s="1"/>
  <c r="P43" i="2"/>
  <c r="F51" i="9" s="1"/>
  <c r="Q43" i="2"/>
  <c r="G51" i="9" s="1"/>
  <c r="S43" i="2"/>
  <c r="F51" i="10" s="1"/>
  <c r="T43" i="2"/>
  <c r="G51" i="10" s="1"/>
  <c r="V43" i="2"/>
  <c r="F51" i="11" s="1"/>
  <c r="W43" i="2"/>
  <c r="G51" i="11" s="1"/>
  <c r="Y43" i="2"/>
  <c r="F51" i="12" s="1"/>
  <c r="Z43" i="2"/>
  <c r="G51" i="12" s="1"/>
  <c r="P90" i="5"/>
  <c r="G11" i="2"/>
  <c r="F19" i="5" s="1"/>
  <c r="H11" i="2"/>
  <c r="G19" i="5" s="1"/>
  <c r="J11" i="2"/>
  <c r="F19" i="7" s="1"/>
  <c r="K11" i="2"/>
  <c r="G19" i="7" s="1"/>
  <c r="M11" i="2"/>
  <c r="F19" i="8" s="1"/>
  <c r="N11" i="2"/>
  <c r="G19" i="8" s="1"/>
  <c r="P11" i="2"/>
  <c r="F19" i="9" s="1"/>
  <c r="Q11" i="2"/>
  <c r="G19" i="9" s="1"/>
  <c r="S11" i="2"/>
  <c r="F19" i="10" s="1"/>
  <c r="T11" i="2"/>
  <c r="G19" i="10" s="1"/>
  <c r="V11" i="2"/>
  <c r="F19" i="11" s="1"/>
  <c r="W11" i="2"/>
  <c r="G19" i="11" s="1"/>
  <c r="Y11" i="2"/>
  <c r="F19" i="12" s="1"/>
  <c r="Z11" i="2"/>
  <c r="G19" i="12" s="1"/>
  <c r="G12" i="2"/>
  <c r="F20" i="5" s="1"/>
  <c r="H12" i="2"/>
  <c r="G20" i="5" s="1"/>
  <c r="J12" i="2"/>
  <c r="F20" i="7" s="1"/>
  <c r="K12" i="2"/>
  <c r="G20" i="7" s="1"/>
  <c r="M12" i="2"/>
  <c r="F20" i="8" s="1"/>
  <c r="N12" i="2"/>
  <c r="G20" i="8" s="1"/>
  <c r="P12" i="2"/>
  <c r="F20" i="9" s="1"/>
  <c r="Q12" i="2"/>
  <c r="G20" i="9" s="1"/>
  <c r="S12" i="2"/>
  <c r="F20" i="10" s="1"/>
  <c r="T12" i="2"/>
  <c r="G20" i="10" s="1"/>
  <c r="V12" i="2"/>
  <c r="F20" i="11" s="1"/>
  <c r="W12" i="2"/>
  <c r="G20" i="11" s="1"/>
  <c r="Y12" i="2"/>
  <c r="F20" i="12" s="1"/>
  <c r="Z12" i="2"/>
  <c r="G20" i="12" s="1"/>
  <c r="G13" i="2"/>
  <c r="F21" i="5" s="1"/>
  <c r="H13" i="2"/>
  <c r="G21" i="5" s="1"/>
  <c r="J13" i="2"/>
  <c r="F21" i="7" s="1"/>
  <c r="K13" i="2"/>
  <c r="G21" i="7" s="1"/>
  <c r="M13" i="2"/>
  <c r="F21" i="8" s="1"/>
  <c r="N13" i="2"/>
  <c r="G21" i="8" s="1"/>
  <c r="P13" i="2"/>
  <c r="F21" i="9" s="1"/>
  <c r="Q13" i="2"/>
  <c r="G21" i="9" s="1"/>
  <c r="S13" i="2"/>
  <c r="F21" i="10" s="1"/>
  <c r="T13" i="2"/>
  <c r="G21" i="10" s="1"/>
  <c r="V13" i="2"/>
  <c r="F21" i="11" s="1"/>
  <c r="W13" i="2"/>
  <c r="G21" i="11" s="1"/>
  <c r="Y13" i="2"/>
  <c r="F21" i="12" s="1"/>
  <c r="Z13" i="2"/>
  <c r="G21" i="12" s="1"/>
  <c r="G14" i="2"/>
  <c r="F22" i="5" s="1"/>
  <c r="H14" i="2"/>
  <c r="J14" i="2"/>
  <c r="F22" i="7" s="1"/>
  <c r="K14" i="2"/>
  <c r="G22" i="7" s="1"/>
  <c r="M14" i="2"/>
  <c r="F22" i="8" s="1"/>
  <c r="N14" i="2"/>
  <c r="P14" i="2"/>
  <c r="F22" i="9" s="1"/>
  <c r="Q14" i="2"/>
  <c r="S14" i="2"/>
  <c r="F22" i="10" s="1"/>
  <c r="T14" i="2"/>
  <c r="G22" i="10" s="1"/>
  <c r="V14" i="2"/>
  <c r="F22" i="11" s="1"/>
  <c r="W14" i="2"/>
  <c r="G22" i="11" s="1"/>
  <c r="Y14" i="2"/>
  <c r="F22" i="12" s="1"/>
  <c r="Z14" i="2"/>
  <c r="G22" i="12" s="1"/>
  <c r="G15" i="2"/>
  <c r="F50" i="5" s="1"/>
  <c r="H15" i="2"/>
  <c r="G50" i="5" s="1"/>
  <c r="J15" i="2"/>
  <c r="F23" i="7" s="1"/>
  <c r="K15" i="2"/>
  <c r="G23" i="7" s="1"/>
  <c r="M15" i="2"/>
  <c r="F23" i="8" s="1"/>
  <c r="N15" i="2"/>
  <c r="G23" i="8" s="1"/>
  <c r="P15" i="2"/>
  <c r="F23" i="9" s="1"/>
  <c r="Q15" i="2"/>
  <c r="S15" i="2"/>
  <c r="F23" i="10" s="1"/>
  <c r="T15" i="2"/>
  <c r="G23" i="10" s="1"/>
  <c r="V15" i="2"/>
  <c r="F23" i="11" s="1"/>
  <c r="W15" i="2"/>
  <c r="G23" i="11" s="1"/>
  <c r="Y15" i="2"/>
  <c r="F23" i="12" s="1"/>
  <c r="Z15" i="2"/>
  <c r="G23" i="12" s="1"/>
  <c r="G16" i="2"/>
  <c r="F24" i="5" s="1"/>
  <c r="H16" i="2"/>
  <c r="G24" i="5" s="1"/>
  <c r="J16" i="2"/>
  <c r="F24" i="7" s="1"/>
  <c r="K16" i="2"/>
  <c r="G24" i="7" s="1"/>
  <c r="M16" i="2"/>
  <c r="P16" i="2"/>
  <c r="F24" i="9" s="1"/>
  <c r="Q16" i="2"/>
  <c r="S16" i="2"/>
  <c r="F24" i="10" s="1"/>
  <c r="T16" i="2"/>
  <c r="G24" i="10" s="1"/>
  <c r="V16" i="2"/>
  <c r="F24" i="11" s="1"/>
  <c r="W16" i="2"/>
  <c r="G24" i="11" s="1"/>
  <c r="Y16" i="2"/>
  <c r="F24" i="12" s="1"/>
  <c r="Z16" i="2"/>
  <c r="G24" i="12" s="1"/>
  <c r="G17" i="2"/>
  <c r="F25" i="5" s="1"/>
  <c r="H17" i="2"/>
  <c r="G25" i="5" s="1"/>
  <c r="J17" i="2"/>
  <c r="F25" i="7" s="1"/>
  <c r="K17" i="2"/>
  <c r="G25" i="7" s="1"/>
  <c r="M17" i="2"/>
  <c r="F25" i="8" s="1"/>
  <c r="N17" i="2"/>
  <c r="G25" i="8" s="1"/>
  <c r="P17" i="2"/>
  <c r="F25" i="9" s="1"/>
  <c r="Q17" i="2"/>
  <c r="S17" i="2"/>
  <c r="F25" i="10" s="1"/>
  <c r="T17" i="2"/>
  <c r="G25" i="10" s="1"/>
  <c r="V17" i="2"/>
  <c r="F25" i="11" s="1"/>
  <c r="W17" i="2"/>
  <c r="G25" i="11" s="1"/>
  <c r="Y17" i="2"/>
  <c r="F25" i="12" s="1"/>
  <c r="Z17" i="2"/>
  <c r="G25" i="12" s="1"/>
  <c r="G18" i="2"/>
  <c r="F26" i="5" s="1"/>
  <c r="H18" i="2"/>
  <c r="G26" i="5" s="1"/>
  <c r="J18" i="2"/>
  <c r="F26" i="7" s="1"/>
  <c r="K18" i="2"/>
  <c r="G26" i="7" s="1"/>
  <c r="M18" i="2"/>
  <c r="F26" i="8" s="1"/>
  <c r="N18" i="2"/>
  <c r="G26" i="8" s="1"/>
  <c r="P18" i="2"/>
  <c r="F26" i="9" s="1"/>
  <c r="Q18" i="2"/>
  <c r="G26" i="9" s="1"/>
  <c r="S18" i="2"/>
  <c r="F26" i="10" s="1"/>
  <c r="T18" i="2"/>
  <c r="G26" i="10" s="1"/>
  <c r="V18" i="2"/>
  <c r="F26" i="11" s="1"/>
  <c r="W18" i="2"/>
  <c r="G26" i="11" s="1"/>
  <c r="Y18" i="2"/>
  <c r="F26" i="12" s="1"/>
  <c r="Z18" i="2"/>
  <c r="G26" i="12" s="1"/>
  <c r="G19" i="2"/>
  <c r="F27" i="5" s="1"/>
  <c r="H19" i="2"/>
  <c r="G27" i="5" s="1"/>
  <c r="J19" i="2"/>
  <c r="F27" i="7" s="1"/>
  <c r="K19" i="2"/>
  <c r="G27" i="7" s="1"/>
  <c r="M19" i="2"/>
  <c r="F27" i="8" s="1"/>
  <c r="N19" i="2"/>
  <c r="G27" i="8" s="1"/>
  <c r="P19" i="2"/>
  <c r="F27" i="9" s="1"/>
  <c r="Q19" i="2"/>
  <c r="S19" i="2"/>
  <c r="F27" i="10" s="1"/>
  <c r="T19" i="2"/>
  <c r="G27" i="10" s="1"/>
  <c r="V19" i="2"/>
  <c r="F27" i="11" s="1"/>
  <c r="W19" i="2"/>
  <c r="G27" i="11" s="1"/>
  <c r="Y19" i="2"/>
  <c r="F27" i="12" s="1"/>
  <c r="Z19" i="2"/>
  <c r="G27" i="12" s="1"/>
  <c r="G20" i="2"/>
  <c r="F28" i="5" s="1"/>
  <c r="H20" i="2"/>
  <c r="G28" i="5" s="1"/>
  <c r="J20" i="2"/>
  <c r="F28" i="7" s="1"/>
  <c r="K20" i="2"/>
  <c r="G28" i="7" s="1"/>
  <c r="M20" i="2"/>
  <c r="F28" i="8" s="1"/>
  <c r="N20" i="2"/>
  <c r="G28" i="8" s="1"/>
  <c r="P20" i="2"/>
  <c r="F28" i="9" s="1"/>
  <c r="Q20" i="2"/>
  <c r="G28" i="9" s="1"/>
  <c r="S20" i="2"/>
  <c r="F28" i="10" s="1"/>
  <c r="T20" i="2"/>
  <c r="G28" i="10" s="1"/>
  <c r="V20" i="2"/>
  <c r="F28" i="11" s="1"/>
  <c r="W20" i="2"/>
  <c r="G28" i="11" s="1"/>
  <c r="Y20" i="2"/>
  <c r="F28" i="12" s="1"/>
  <c r="Z20" i="2"/>
  <c r="G28" i="12" s="1"/>
  <c r="G21" i="2"/>
  <c r="F29" i="5" s="1"/>
  <c r="H21" i="2"/>
  <c r="G29" i="5" s="1"/>
  <c r="J21" i="2"/>
  <c r="F29" i="7" s="1"/>
  <c r="K21" i="2"/>
  <c r="G29" i="7" s="1"/>
  <c r="M21" i="2"/>
  <c r="F29" i="8" s="1"/>
  <c r="N21" i="2"/>
  <c r="G29" i="8" s="1"/>
  <c r="P21" i="2"/>
  <c r="F29" i="9" s="1"/>
  <c r="Q21" i="2"/>
  <c r="G29" i="9" s="1"/>
  <c r="S21" i="2"/>
  <c r="F29" i="10" s="1"/>
  <c r="T21" i="2"/>
  <c r="G29" i="10" s="1"/>
  <c r="V21" i="2"/>
  <c r="F29" i="11" s="1"/>
  <c r="W21" i="2"/>
  <c r="G29" i="11" s="1"/>
  <c r="Y21" i="2"/>
  <c r="F29" i="12" s="1"/>
  <c r="Z21" i="2"/>
  <c r="G29" i="12" s="1"/>
  <c r="G22" i="2"/>
  <c r="F30" i="5" s="1"/>
  <c r="H22" i="2"/>
  <c r="G30" i="5" s="1"/>
  <c r="J22" i="2"/>
  <c r="F30" i="7" s="1"/>
  <c r="K22" i="2"/>
  <c r="G30" i="7" s="1"/>
  <c r="M22" i="2"/>
  <c r="F30" i="8" s="1"/>
  <c r="N22" i="2"/>
  <c r="G30" i="8" s="1"/>
  <c r="P22" i="2"/>
  <c r="F30" i="9" s="1"/>
  <c r="Q22" i="2"/>
  <c r="G30" i="9" s="1"/>
  <c r="S22" i="2"/>
  <c r="F30" i="10" s="1"/>
  <c r="T22" i="2"/>
  <c r="G30" i="10" s="1"/>
  <c r="V22" i="2"/>
  <c r="F30" i="11" s="1"/>
  <c r="W22" i="2"/>
  <c r="G30" i="11" s="1"/>
  <c r="Y22" i="2"/>
  <c r="F30" i="12" s="1"/>
  <c r="Z22" i="2"/>
  <c r="G30" i="12" s="1"/>
  <c r="G23" i="2"/>
  <c r="F31" i="5" s="1"/>
  <c r="H23" i="2"/>
  <c r="G31" i="5" s="1"/>
  <c r="J23" i="2"/>
  <c r="F31" i="7" s="1"/>
  <c r="K23" i="2"/>
  <c r="G31" i="7" s="1"/>
  <c r="M23" i="2"/>
  <c r="F31" i="8" s="1"/>
  <c r="N23" i="2"/>
  <c r="G31" i="8" s="1"/>
  <c r="P23" i="2"/>
  <c r="F31" i="9" s="1"/>
  <c r="Q23" i="2"/>
  <c r="S23" i="2"/>
  <c r="F31" i="10" s="1"/>
  <c r="T23" i="2"/>
  <c r="G31" i="10" s="1"/>
  <c r="V23" i="2"/>
  <c r="F31" i="11" s="1"/>
  <c r="W23" i="2"/>
  <c r="G31" i="11" s="1"/>
  <c r="Y23" i="2"/>
  <c r="F31" i="12" s="1"/>
  <c r="Z23" i="2"/>
  <c r="G31" i="12" s="1"/>
  <c r="G24" i="2"/>
  <c r="F53" i="5" s="1"/>
  <c r="H24" i="2"/>
  <c r="G53" i="5" s="1"/>
  <c r="J24" i="2"/>
  <c r="F32" i="7" s="1"/>
  <c r="K24" i="2"/>
  <c r="G32" i="7" s="1"/>
  <c r="M24" i="2"/>
  <c r="F32" i="8" s="1"/>
  <c r="N24" i="2"/>
  <c r="G32" i="8" s="1"/>
  <c r="P24" i="2"/>
  <c r="F32" i="9" s="1"/>
  <c r="Q24" i="2"/>
  <c r="G32" i="9" s="1"/>
  <c r="S24" i="2"/>
  <c r="F32" i="10" s="1"/>
  <c r="T24" i="2"/>
  <c r="G32" i="10" s="1"/>
  <c r="V24" i="2"/>
  <c r="F32" i="11" s="1"/>
  <c r="W24" i="2"/>
  <c r="G32" i="11" s="1"/>
  <c r="Y24" i="2"/>
  <c r="F32" i="12" s="1"/>
  <c r="Z24" i="2"/>
  <c r="G32" i="12" s="1"/>
  <c r="G25" i="2"/>
  <c r="F69" i="5" s="1"/>
  <c r="H25" i="2"/>
  <c r="G69" i="5" s="1"/>
  <c r="J25" i="2"/>
  <c r="F33" i="7" s="1"/>
  <c r="K25" i="2"/>
  <c r="G33" i="7" s="1"/>
  <c r="M25" i="2"/>
  <c r="F33" i="8" s="1"/>
  <c r="N25" i="2"/>
  <c r="G33" i="8" s="1"/>
  <c r="P25" i="2"/>
  <c r="F33" i="9" s="1"/>
  <c r="Q25" i="2"/>
  <c r="S25" i="2"/>
  <c r="F33" i="10" s="1"/>
  <c r="T25" i="2"/>
  <c r="G33" i="10" s="1"/>
  <c r="V25" i="2"/>
  <c r="F33" i="11" s="1"/>
  <c r="W25" i="2"/>
  <c r="G33" i="11" s="1"/>
  <c r="Y25" i="2"/>
  <c r="F33" i="12" s="1"/>
  <c r="Z25" i="2"/>
  <c r="G33" i="12" s="1"/>
  <c r="G26" i="2"/>
  <c r="F34" i="5" s="1"/>
  <c r="H26" i="2"/>
  <c r="G34" i="5" s="1"/>
  <c r="J26" i="2"/>
  <c r="F34" i="7" s="1"/>
  <c r="K26" i="2"/>
  <c r="G34" i="7" s="1"/>
  <c r="M26" i="2"/>
  <c r="F34" i="8" s="1"/>
  <c r="N26" i="2"/>
  <c r="G34" i="8" s="1"/>
  <c r="P26" i="2"/>
  <c r="F34" i="9" s="1"/>
  <c r="Q26" i="2"/>
  <c r="G34" i="9" s="1"/>
  <c r="S26" i="2"/>
  <c r="F34" i="10" s="1"/>
  <c r="T26" i="2"/>
  <c r="G34" i="10" s="1"/>
  <c r="V26" i="2"/>
  <c r="F34" i="11" s="1"/>
  <c r="W26" i="2"/>
  <c r="G34" i="11" s="1"/>
  <c r="Y26" i="2"/>
  <c r="F34" i="12" s="1"/>
  <c r="Z26" i="2"/>
  <c r="G34" i="12" s="1"/>
  <c r="G27" i="2"/>
  <c r="F35" i="5" s="1"/>
  <c r="H27" i="2"/>
  <c r="G35" i="5" s="1"/>
  <c r="J27" i="2"/>
  <c r="F35" i="7" s="1"/>
  <c r="K27" i="2"/>
  <c r="G35" i="7" s="1"/>
  <c r="M27" i="2"/>
  <c r="F35" i="8" s="1"/>
  <c r="N27" i="2"/>
  <c r="G35" i="8" s="1"/>
  <c r="P27" i="2"/>
  <c r="Q27" i="2"/>
  <c r="G35" i="9" s="1"/>
  <c r="S27" i="2"/>
  <c r="F35" i="10" s="1"/>
  <c r="T27" i="2"/>
  <c r="G35" i="10" s="1"/>
  <c r="V27" i="2"/>
  <c r="F35" i="11" s="1"/>
  <c r="W27" i="2"/>
  <c r="G35" i="11" s="1"/>
  <c r="Y27" i="2"/>
  <c r="F35" i="12" s="1"/>
  <c r="Z27" i="2"/>
  <c r="G35" i="12" s="1"/>
  <c r="G28" i="2"/>
  <c r="F36" i="5" s="1"/>
  <c r="H28" i="2"/>
  <c r="G36" i="5" s="1"/>
  <c r="J28" i="2"/>
  <c r="F36" i="7" s="1"/>
  <c r="K28" i="2"/>
  <c r="G36" i="7" s="1"/>
  <c r="M28" i="2"/>
  <c r="F36" i="8" s="1"/>
  <c r="N28" i="2"/>
  <c r="G36" i="8" s="1"/>
  <c r="P28" i="2"/>
  <c r="F36" i="9" s="1"/>
  <c r="Q28" i="2"/>
  <c r="G36" i="9" s="1"/>
  <c r="S28" i="2"/>
  <c r="F36" i="10" s="1"/>
  <c r="T28" i="2"/>
  <c r="G36" i="10" s="1"/>
  <c r="V28" i="2"/>
  <c r="F36" i="11" s="1"/>
  <c r="W28" i="2"/>
  <c r="G36" i="11" s="1"/>
  <c r="Y28" i="2"/>
  <c r="F36" i="12" s="1"/>
  <c r="Z28" i="2"/>
  <c r="G36" i="12" s="1"/>
  <c r="G29" i="2"/>
  <c r="F37" i="5" s="1"/>
  <c r="H29" i="2"/>
  <c r="G37" i="5" s="1"/>
  <c r="J29" i="2"/>
  <c r="F37" i="7" s="1"/>
  <c r="K29" i="2"/>
  <c r="G37" i="7" s="1"/>
  <c r="M29" i="2"/>
  <c r="F37" i="8" s="1"/>
  <c r="N29" i="2"/>
  <c r="G37" i="8" s="1"/>
  <c r="P29" i="2"/>
  <c r="F37" i="9" s="1"/>
  <c r="Q29" i="2"/>
  <c r="G37" i="9" s="1"/>
  <c r="S29" i="2"/>
  <c r="F37" i="10" s="1"/>
  <c r="T29" i="2"/>
  <c r="G37" i="10" s="1"/>
  <c r="V29" i="2"/>
  <c r="F37" i="11" s="1"/>
  <c r="W29" i="2"/>
  <c r="G37" i="11" s="1"/>
  <c r="Y29" i="2"/>
  <c r="F37" i="12" s="1"/>
  <c r="Z29" i="2"/>
  <c r="G37" i="12" s="1"/>
  <c r="G30" i="2"/>
  <c r="H30" i="2"/>
  <c r="J30" i="2"/>
  <c r="F38" i="7" s="1"/>
  <c r="K30" i="2"/>
  <c r="G38" i="7" s="1"/>
  <c r="M30" i="2"/>
  <c r="F38" i="8" s="1"/>
  <c r="N30" i="2"/>
  <c r="G38" i="8" s="1"/>
  <c r="P30" i="2"/>
  <c r="F38" i="9" s="1"/>
  <c r="Q30" i="2"/>
  <c r="S30" i="2"/>
  <c r="F38" i="10" s="1"/>
  <c r="T30" i="2"/>
  <c r="G38" i="10" s="1"/>
  <c r="V30" i="2"/>
  <c r="F38" i="11" s="1"/>
  <c r="W30" i="2"/>
  <c r="G38" i="11" s="1"/>
  <c r="Y30" i="2"/>
  <c r="F38" i="12" s="1"/>
  <c r="Z30" i="2"/>
  <c r="G38" i="12" s="1"/>
  <c r="G31" i="2"/>
  <c r="F39" i="5" s="1"/>
  <c r="H31" i="2"/>
  <c r="G39" i="5" s="1"/>
  <c r="J31" i="2"/>
  <c r="F39" i="7" s="1"/>
  <c r="K31" i="2"/>
  <c r="G39" i="7" s="1"/>
  <c r="M31" i="2"/>
  <c r="F39" i="8" s="1"/>
  <c r="N31" i="2"/>
  <c r="G39" i="8" s="1"/>
  <c r="P31" i="2"/>
  <c r="F39" i="9" s="1"/>
  <c r="Q31" i="2"/>
  <c r="S31" i="2"/>
  <c r="F39" i="10" s="1"/>
  <c r="T31" i="2"/>
  <c r="G39" i="10" s="1"/>
  <c r="V31" i="2"/>
  <c r="F39" i="11" s="1"/>
  <c r="W31" i="2"/>
  <c r="G39" i="11" s="1"/>
  <c r="Y31" i="2"/>
  <c r="F39" i="12" s="1"/>
  <c r="Z31" i="2"/>
  <c r="G39" i="12" s="1"/>
  <c r="G32" i="2"/>
  <c r="F55" i="5" s="1"/>
  <c r="H32" i="2"/>
  <c r="G55" i="5" s="1"/>
  <c r="J32" i="2"/>
  <c r="F40" i="7" s="1"/>
  <c r="K32" i="2"/>
  <c r="G40" i="7" s="1"/>
  <c r="M32" i="2"/>
  <c r="F40" i="8" s="1"/>
  <c r="N32" i="2"/>
  <c r="G40" i="8" s="1"/>
  <c r="P32" i="2"/>
  <c r="F40" i="9" s="1"/>
  <c r="Q32" i="2"/>
  <c r="G40" i="9" s="1"/>
  <c r="S32" i="2"/>
  <c r="F40" i="10" s="1"/>
  <c r="T32" i="2"/>
  <c r="G40" i="10" s="1"/>
  <c r="V32" i="2"/>
  <c r="F40" i="11" s="1"/>
  <c r="W32" i="2"/>
  <c r="G40" i="11" s="1"/>
  <c r="Y32" i="2"/>
  <c r="F40" i="12" s="1"/>
  <c r="Z32" i="2"/>
  <c r="G40" i="12" s="1"/>
  <c r="G33" i="2"/>
  <c r="F41" i="5" s="1"/>
  <c r="H33" i="2"/>
  <c r="G41" i="5" s="1"/>
  <c r="J33" i="2"/>
  <c r="F41" i="7" s="1"/>
  <c r="K33" i="2"/>
  <c r="G41" i="7" s="1"/>
  <c r="M33" i="2"/>
  <c r="F41" i="8" s="1"/>
  <c r="N33" i="2"/>
  <c r="G41" i="8" s="1"/>
  <c r="P33" i="2"/>
  <c r="F41" i="9" s="1"/>
  <c r="Q33" i="2"/>
  <c r="G41" i="9" s="1"/>
  <c r="S33" i="2"/>
  <c r="F41" i="10" s="1"/>
  <c r="T33" i="2"/>
  <c r="G41" i="10" s="1"/>
  <c r="V33" i="2"/>
  <c r="F41" i="11" s="1"/>
  <c r="W33" i="2"/>
  <c r="G41" i="11" s="1"/>
  <c r="Y33" i="2"/>
  <c r="F41" i="12" s="1"/>
  <c r="Z33" i="2"/>
  <c r="G41" i="12" s="1"/>
  <c r="G34" i="2"/>
  <c r="F23" i="5" s="1"/>
  <c r="H34" i="2"/>
  <c r="G23" i="5" s="1"/>
  <c r="J34" i="2"/>
  <c r="F42" i="7" s="1"/>
  <c r="K34" i="2"/>
  <c r="G42" i="7" s="1"/>
  <c r="M34" i="2"/>
  <c r="F42" i="8" s="1"/>
  <c r="N34" i="2"/>
  <c r="G42" i="8" s="1"/>
  <c r="P34" i="2"/>
  <c r="F42" i="9" s="1"/>
  <c r="Q34" i="2"/>
  <c r="G42" i="9" s="1"/>
  <c r="S34" i="2"/>
  <c r="F42" i="10" s="1"/>
  <c r="T34" i="2"/>
  <c r="G42" i="10" s="1"/>
  <c r="V34" i="2"/>
  <c r="F42" i="11" s="1"/>
  <c r="W34" i="2"/>
  <c r="G42" i="11" s="1"/>
  <c r="Y34" i="2"/>
  <c r="F42" i="12" s="1"/>
  <c r="Z34" i="2"/>
  <c r="G42" i="12" s="1"/>
  <c r="G35" i="2"/>
  <c r="F60" i="5" s="1"/>
  <c r="H35" i="2"/>
  <c r="G60" i="5" s="1"/>
  <c r="J35" i="2"/>
  <c r="F43" i="7" s="1"/>
  <c r="K35" i="2"/>
  <c r="G43" i="7" s="1"/>
  <c r="M35" i="2"/>
  <c r="F43" i="8" s="1"/>
  <c r="N35" i="2"/>
  <c r="G43" i="8" s="1"/>
  <c r="P35" i="2"/>
  <c r="F43" i="9" s="1"/>
  <c r="Q35" i="2"/>
  <c r="S35" i="2"/>
  <c r="F43" i="10" s="1"/>
  <c r="T35" i="2"/>
  <c r="G43" i="10" s="1"/>
  <c r="V35" i="2"/>
  <c r="F43" i="11" s="1"/>
  <c r="W35" i="2"/>
  <c r="G43" i="11" s="1"/>
  <c r="Y35" i="2"/>
  <c r="F43" i="12" s="1"/>
  <c r="Z35" i="2"/>
  <c r="G43" i="12" s="1"/>
  <c r="G36" i="2"/>
  <c r="F44" i="5" s="1"/>
  <c r="H36" i="2"/>
  <c r="G44" i="5" s="1"/>
  <c r="J36" i="2"/>
  <c r="F44" i="7" s="1"/>
  <c r="K36" i="2"/>
  <c r="G44" i="7" s="1"/>
  <c r="M36" i="2"/>
  <c r="F44" i="8" s="1"/>
  <c r="N36" i="2"/>
  <c r="G44" i="8" s="1"/>
  <c r="P36" i="2"/>
  <c r="F44" i="9" s="1"/>
  <c r="Q36" i="2"/>
  <c r="S36" i="2"/>
  <c r="F44" i="10" s="1"/>
  <c r="T36" i="2"/>
  <c r="G44" i="10" s="1"/>
  <c r="V36" i="2"/>
  <c r="F44" i="11" s="1"/>
  <c r="W36" i="2"/>
  <c r="G44" i="11" s="1"/>
  <c r="Y36" i="2"/>
  <c r="F44" i="12" s="1"/>
  <c r="Z36" i="2"/>
  <c r="G44" i="12" s="1"/>
  <c r="Z10" i="2"/>
  <c r="G18" i="12" s="1"/>
  <c r="Y10" i="2"/>
  <c r="F18" i="12" s="1"/>
  <c r="W10" i="2"/>
  <c r="G18" i="11" s="1"/>
  <c r="V10" i="2"/>
  <c r="F18" i="11" s="1"/>
  <c r="T10" i="2"/>
  <c r="G18" i="10" s="1"/>
  <c r="S10" i="2"/>
  <c r="F18" i="10" s="1"/>
  <c r="Q10" i="2"/>
  <c r="G18" i="9" s="1"/>
  <c r="P10" i="2"/>
  <c r="F18" i="9" s="1"/>
  <c r="N10" i="2"/>
  <c r="G18" i="8" s="1"/>
  <c r="M10" i="2"/>
  <c r="F18" i="8" s="1"/>
  <c r="K10" i="2"/>
  <c r="G18" i="7" s="1"/>
  <c r="J10" i="2"/>
  <c r="F18" i="7" s="1"/>
  <c r="H10" i="2"/>
  <c r="G18" i="5" s="1"/>
  <c r="G10" i="2"/>
  <c r="F18" i="5" s="1"/>
  <c r="Y2" i="2"/>
  <c r="C5" i="12" s="1"/>
  <c r="V2" i="2"/>
  <c r="C5" i="11" s="1"/>
  <c r="S2" i="2"/>
  <c r="C5" i="10" s="1"/>
  <c r="P2" i="2"/>
  <c r="C5" i="9" s="1"/>
  <c r="M2" i="2"/>
  <c r="C5" i="8" s="1"/>
  <c r="J2" i="2"/>
  <c r="C5" i="7" s="1"/>
  <c r="G2" i="2"/>
  <c r="C5" i="5" s="1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AC80" i="5" l="1"/>
  <c r="AU77" i="7"/>
  <c r="AX95" i="5"/>
  <c r="AB90" i="5"/>
  <c r="AA88" i="2"/>
  <c r="U71" i="2"/>
  <c r="AZ90" i="5"/>
  <c r="X71" i="2"/>
  <c r="X77" i="2"/>
  <c r="O76" i="2"/>
  <c r="I74" i="2"/>
  <c r="L75" i="2"/>
  <c r="AS90" i="5"/>
  <c r="I83" i="2"/>
  <c r="U80" i="2"/>
  <c r="O79" i="2"/>
  <c r="BF90" i="5"/>
  <c r="AA78" i="2"/>
  <c r="R79" i="2"/>
  <c r="U96" i="2"/>
  <c r="R88" i="2"/>
  <c r="X81" i="2"/>
  <c r="L74" i="2"/>
  <c r="X79" i="7"/>
  <c r="I76" i="2"/>
  <c r="O73" i="2"/>
  <c r="AC90" i="5"/>
  <c r="AA86" i="2"/>
  <c r="AG90" i="5"/>
  <c r="L88" i="2"/>
  <c r="BG90" i="5"/>
  <c r="X96" i="2"/>
  <c r="R82" i="2"/>
  <c r="X84" i="2"/>
  <c r="R96" i="2"/>
  <c r="I95" i="2"/>
  <c r="L82" i="2"/>
  <c r="X86" i="2"/>
  <c r="X90" i="2"/>
  <c r="AA97" i="2"/>
  <c r="I97" i="2"/>
  <c r="AA82" i="2"/>
  <c r="R77" i="2"/>
  <c r="U68" i="2"/>
  <c r="AT79" i="7"/>
  <c r="R72" i="2"/>
  <c r="U94" i="2"/>
  <c r="BJ90" i="5"/>
  <c r="P87" i="7"/>
  <c r="BL79" i="7"/>
  <c r="X83" i="2"/>
  <c r="AA91" i="2"/>
  <c r="U86" i="2"/>
  <c r="R97" i="2"/>
  <c r="X80" i="2"/>
  <c r="U70" i="2"/>
  <c r="R94" i="2"/>
  <c r="I85" i="2"/>
  <c r="R92" i="2"/>
  <c r="I87" i="2"/>
  <c r="X72" i="2"/>
  <c r="U88" i="2"/>
  <c r="AA71" i="2"/>
  <c r="BQ79" i="7"/>
  <c r="D98" i="7"/>
  <c r="D98" i="11"/>
  <c r="D94" i="8"/>
  <c r="D98" i="12"/>
  <c r="D92" i="10"/>
  <c r="D74" i="9"/>
  <c r="C97" i="5"/>
  <c r="C97" i="12"/>
  <c r="C97" i="10"/>
  <c r="C97" i="9"/>
  <c r="C97" i="11"/>
  <c r="C97" i="7"/>
  <c r="C97" i="8"/>
  <c r="B84" i="11"/>
  <c r="E84" i="11" s="1"/>
  <c r="B84" i="8"/>
  <c r="E84" i="8" s="1"/>
  <c r="B84" i="10"/>
  <c r="E84" i="10" s="1"/>
  <c r="B84" i="5"/>
  <c r="E84" i="5" s="1"/>
  <c r="B84" i="9"/>
  <c r="E84" i="9" s="1"/>
  <c r="B84" i="12"/>
  <c r="E84" i="12" s="1"/>
  <c r="B84" i="7"/>
  <c r="E84" i="7" s="1"/>
  <c r="F82" i="10"/>
  <c r="B82" i="11"/>
  <c r="E82" i="11" s="1"/>
  <c r="B82" i="8"/>
  <c r="E82" i="8" s="1"/>
  <c r="B82" i="10"/>
  <c r="E82" i="10" s="1"/>
  <c r="B82" i="7"/>
  <c r="E82" i="7" s="1"/>
  <c r="B82" i="9"/>
  <c r="E82" i="9" s="1"/>
  <c r="B82" i="12"/>
  <c r="E82" i="12" s="1"/>
  <c r="B82" i="5"/>
  <c r="E82" i="5" s="1"/>
  <c r="B80" i="11"/>
  <c r="E80" i="11" s="1"/>
  <c r="B80" i="8"/>
  <c r="E80" i="8" s="1"/>
  <c r="B80" i="10"/>
  <c r="E80" i="10" s="1"/>
  <c r="B80" i="9"/>
  <c r="E80" i="9" s="1"/>
  <c r="B80" i="5"/>
  <c r="E80" i="5" s="1"/>
  <c r="B80" i="12"/>
  <c r="E80" i="12" s="1"/>
  <c r="B80" i="7"/>
  <c r="E80" i="7" s="1"/>
  <c r="C103" i="5"/>
  <c r="C103" i="12"/>
  <c r="C103" i="7"/>
  <c r="C103" i="10"/>
  <c r="C103" i="11"/>
  <c r="C103" i="8"/>
  <c r="C103" i="9"/>
  <c r="C99" i="9"/>
  <c r="C99" i="12"/>
  <c r="C99" i="11"/>
  <c r="C99" i="7"/>
  <c r="C99" i="8"/>
  <c r="C99" i="10"/>
  <c r="C99" i="5"/>
  <c r="BJ96" i="10"/>
  <c r="G97" i="10"/>
  <c r="B97" i="12"/>
  <c r="E97" i="12" s="1"/>
  <c r="B97" i="5"/>
  <c r="E97" i="5" s="1"/>
  <c r="B97" i="10"/>
  <c r="E97" i="10" s="1"/>
  <c r="B97" i="9"/>
  <c r="E97" i="9" s="1"/>
  <c r="B97" i="11"/>
  <c r="E97" i="11" s="1"/>
  <c r="B97" i="7"/>
  <c r="E97" i="7" s="1"/>
  <c r="B97" i="8"/>
  <c r="E97" i="8" s="1"/>
  <c r="G91" i="10"/>
  <c r="C91" i="5"/>
  <c r="C91" i="12"/>
  <c r="C91" i="10"/>
  <c r="C91" i="11"/>
  <c r="C91" i="9"/>
  <c r="C91" i="7"/>
  <c r="C91" i="8"/>
  <c r="B99" i="12"/>
  <c r="E99" i="12" s="1"/>
  <c r="B99" i="7"/>
  <c r="E99" i="7" s="1"/>
  <c r="B99" i="8"/>
  <c r="E99" i="8" s="1"/>
  <c r="B99" i="9"/>
  <c r="B99" i="11"/>
  <c r="E99" i="11" s="1"/>
  <c r="B99" i="10"/>
  <c r="E99" i="10" s="1"/>
  <c r="B99" i="5"/>
  <c r="E99" i="5" s="1"/>
  <c r="B93" i="12"/>
  <c r="E93" i="12" s="1"/>
  <c r="B93" i="8"/>
  <c r="E93" i="8" s="1"/>
  <c r="B93" i="7"/>
  <c r="E93" i="7" s="1"/>
  <c r="B93" i="9"/>
  <c r="E93" i="9" s="1"/>
  <c r="B93" i="5"/>
  <c r="E93" i="5" s="1"/>
  <c r="B93" i="11"/>
  <c r="E93" i="11" s="1"/>
  <c r="B93" i="10"/>
  <c r="E93" i="10" s="1"/>
  <c r="F96" i="7"/>
  <c r="BG96" i="7" s="1"/>
  <c r="G89" i="10"/>
  <c r="D84" i="11"/>
  <c r="D80" i="8"/>
  <c r="D78" i="10"/>
  <c r="D84" i="12"/>
  <c r="D60" i="9"/>
  <c r="D84" i="7"/>
  <c r="T80" i="11"/>
  <c r="G81" i="11"/>
  <c r="X81" i="11" s="1"/>
  <c r="AA79" i="2"/>
  <c r="O93" i="2"/>
  <c r="G101" i="8"/>
  <c r="C83" i="12"/>
  <c r="C83" i="7"/>
  <c r="C83" i="8"/>
  <c r="C83" i="5"/>
  <c r="C83" i="11"/>
  <c r="C83" i="9"/>
  <c r="C83" i="10"/>
  <c r="I75" i="2"/>
  <c r="D101" i="12"/>
  <c r="D77" i="9"/>
  <c r="D97" i="8"/>
  <c r="D101" i="11"/>
  <c r="D95" i="10"/>
  <c r="D101" i="7"/>
  <c r="B85" i="12"/>
  <c r="E85" i="12" s="1"/>
  <c r="B85" i="5"/>
  <c r="E85" i="5" s="1"/>
  <c r="B85" i="10"/>
  <c r="E85" i="10" s="1"/>
  <c r="B85" i="7"/>
  <c r="E85" i="7" s="1"/>
  <c r="B85" i="11"/>
  <c r="E85" i="11" s="1"/>
  <c r="B85" i="8"/>
  <c r="E85" i="8" s="1"/>
  <c r="B85" i="9"/>
  <c r="E85" i="9" s="1"/>
  <c r="O85" i="2"/>
  <c r="G93" i="8"/>
  <c r="C92" i="11"/>
  <c r="C92" i="8"/>
  <c r="C92" i="10"/>
  <c r="C92" i="7"/>
  <c r="C92" i="9"/>
  <c r="C92" i="12"/>
  <c r="C92" i="5"/>
  <c r="R81" i="2"/>
  <c r="F89" i="9"/>
  <c r="L80" i="2"/>
  <c r="AV80" i="10"/>
  <c r="F81" i="10"/>
  <c r="BN81" i="10" s="1"/>
  <c r="AH90" i="5"/>
  <c r="P100" i="7"/>
  <c r="F101" i="7"/>
  <c r="AW101" i="7" s="1"/>
  <c r="B98" i="11"/>
  <c r="E98" i="11" s="1"/>
  <c r="B98" i="8"/>
  <c r="E98" i="8" s="1"/>
  <c r="B98" i="10"/>
  <c r="E98" i="10" s="1"/>
  <c r="B98" i="7"/>
  <c r="E98" i="7" s="1"/>
  <c r="B98" i="5"/>
  <c r="E98" i="5" s="1"/>
  <c r="B98" i="12"/>
  <c r="E98" i="12" s="1"/>
  <c r="B98" i="9"/>
  <c r="E98" i="9" s="1"/>
  <c r="O87" i="2"/>
  <c r="F95" i="8"/>
  <c r="BE87" i="7"/>
  <c r="F88" i="7"/>
  <c r="AO88" i="7" s="1"/>
  <c r="F82" i="7"/>
  <c r="BQ82" i="7" s="1"/>
  <c r="F80" i="12"/>
  <c r="BC80" i="12" s="1"/>
  <c r="D72" i="10"/>
  <c r="D78" i="7"/>
  <c r="D74" i="8"/>
  <c r="D54" i="9"/>
  <c r="D78" i="11"/>
  <c r="D78" i="12"/>
  <c r="L76" i="2"/>
  <c r="V96" i="12"/>
  <c r="G97" i="12"/>
  <c r="B96" i="7"/>
  <c r="E96" i="7" s="1"/>
  <c r="B96" i="11"/>
  <c r="E96" i="11" s="1"/>
  <c r="B96" i="8"/>
  <c r="E96" i="8" s="1"/>
  <c r="B96" i="10"/>
  <c r="E96" i="10" s="1"/>
  <c r="B96" i="5"/>
  <c r="E96" i="5" s="1"/>
  <c r="B96" i="9"/>
  <c r="E96" i="9" s="1"/>
  <c r="B96" i="12"/>
  <c r="E96" i="12" s="1"/>
  <c r="D85" i="7"/>
  <c r="D85" i="12"/>
  <c r="D79" i="10"/>
  <c r="D85" i="11"/>
  <c r="D61" i="9"/>
  <c r="D81" i="8"/>
  <c r="C79" i="5"/>
  <c r="C79" i="12"/>
  <c r="C79" i="7"/>
  <c r="C79" i="10"/>
  <c r="C79" i="11"/>
  <c r="C79" i="9"/>
  <c r="C79" i="8"/>
  <c r="BC76" i="7"/>
  <c r="AD90" i="5"/>
  <c r="L78" i="2"/>
  <c r="R80" i="2"/>
  <c r="O64" i="2"/>
  <c r="R90" i="2"/>
  <c r="G98" i="9"/>
  <c r="X94" i="7"/>
  <c r="F95" i="7"/>
  <c r="B94" i="11"/>
  <c r="E94" i="11" s="1"/>
  <c r="B94" i="8"/>
  <c r="E94" i="8" s="1"/>
  <c r="B94" i="7"/>
  <c r="E94" i="7" s="1"/>
  <c r="B94" i="10"/>
  <c r="E94" i="10" s="1"/>
  <c r="B94" i="5"/>
  <c r="E94" i="5" s="1"/>
  <c r="B94" i="9"/>
  <c r="E94" i="9" s="1"/>
  <c r="B94" i="12"/>
  <c r="E94" i="12" s="1"/>
  <c r="R84" i="2"/>
  <c r="G92" i="9"/>
  <c r="F90" i="10"/>
  <c r="Y90" i="10" s="1"/>
  <c r="B90" i="11"/>
  <c r="E90" i="11" s="1"/>
  <c r="B90" i="8"/>
  <c r="E90" i="8" s="1"/>
  <c r="B90" i="9"/>
  <c r="E90" i="9" s="1"/>
  <c r="B90" i="10"/>
  <c r="E90" i="10" s="1"/>
  <c r="B90" i="7"/>
  <c r="E90" i="7" s="1"/>
  <c r="B90" i="5"/>
  <c r="E90" i="5" s="1"/>
  <c r="B90" i="12"/>
  <c r="E90" i="12" s="1"/>
  <c r="AX88" i="7"/>
  <c r="G89" i="7"/>
  <c r="F88" i="11"/>
  <c r="Y88" i="11" s="1"/>
  <c r="C86" i="11"/>
  <c r="C86" i="8"/>
  <c r="C86" i="10"/>
  <c r="C86" i="12"/>
  <c r="C86" i="7"/>
  <c r="C86" i="5"/>
  <c r="C86" i="9"/>
  <c r="F82" i="11"/>
  <c r="AA82" i="11" s="1"/>
  <c r="R71" i="2"/>
  <c r="B79" i="12"/>
  <c r="E79" i="12" s="1"/>
  <c r="B79" i="5"/>
  <c r="E79" i="5" s="1"/>
  <c r="B79" i="7"/>
  <c r="E79" i="7" s="1"/>
  <c r="B79" i="9"/>
  <c r="E79" i="9" s="1"/>
  <c r="B79" i="10"/>
  <c r="E79" i="10" s="1"/>
  <c r="B79" i="11"/>
  <c r="E79" i="11" s="1"/>
  <c r="B79" i="8"/>
  <c r="E79" i="8" s="1"/>
  <c r="BM92" i="11"/>
  <c r="G93" i="11"/>
  <c r="L93" i="11" s="1"/>
  <c r="D92" i="11"/>
  <c r="D88" i="8"/>
  <c r="D92" i="7"/>
  <c r="D68" i="9"/>
  <c r="D92" i="12"/>
  <c r="D86" i="10"/>
  <c r="D90" i="11"/>
  <c r="D86" i="8"/>
  <c r="D66" i="9"/>
  <c r="D84" i="10"/>
  <c r="D90" i="7"/>
  <c r="D90" i="12"/>
  <c r="BD87" i="10"/>
  <c r="F88" i="10"/>
  <c r="X88" i="10" s="1"/>
  <c r="E80" i="2"/>
  <c r="B88" i="11"/>
  <c r="E88" i="11" s="1"/>
  <c r="B88" i="8"/>
  <c r="E88" i="8" s="1"/>
  <c r="B88" i="10"/>
  <c r="E88" i="10" s="1"/>
  <c r="B88" i="5"/>
  <c r="E88" i="5" s="1"/>
  <c r="B88" i="9"/>
  <c r="E88" i="9" s="1"/>
  <c r="B88" i="7"/>
  <c r="E88" i="7" s="1"/>
  <c r="B88" i="12"/>
  <c r="E88" i="12" s="1"/>
  <c r="R78" i="2"/>
  <c r="G86" i="9"/>
  <c r="AL83" i="10"/>
  <c r="F84" i="10"/>
  <c r="M84" i="10" s="1"/>
  <c r="B101" i="12"/>
  <c r="E101" i="12" s="1"/>
  <c r="B101" i="9"/>
  <c r="E101" i="9" s="1"/>
  <c r="B101" i="7"/>
  <c r="E101" i="7" s="1"/>
  <c r="B101" i="10"/>
  <c r="E101" i="10" s="1"/>
  <c r="B101" i="5"/>
  <c r="E101" i="5" s="1"/>
  <c r="B101" i="11"/>
  <c r="E101" i="11" s="1"/>
  <c r="B101" i="8"/>
  <c r="E101" i="8" s="1"/>
  <c r="C93" i="9"/>
  <c r="C93" i="12"/>
  <c r="C93" i="11"/>
  <c r="C93" i="8"/>
  <c r="C93" i="10"/>
  <c r="C93" i="7"/>
  <c r="C93" i="5"/>
  <c r="F102" i="7"/>
  <c r="AB102" i="7" s="1"/>
  <c r="U87" i="2"/>
  <c r="B95" i="12"/>
  <c r="E95" i="12" s="1"/>
  <c r="B95" i="5"/>
  <c r="E95" i="5" s="1"/>
  <c r="B95" i="10"/>
  <c r="E95" i="10" s="1"/>
  <c r="B95" i="11"/>
  <c r="E95" i="11" s="1"/>
  <c r="B95" i="9"/>
  <c r="E95" i="9" s="1"/>
  <c r="B95" i="7"/>
  <c r="E95" i="7" s="1"/>
  <c r="B95" i="8"/>
  <c r="E95" i="8" s="1"/>
  <c r="BP91" i="7"/>
  <c r="F92" i="7"/>
  <c r="N92" i="7" s="1"/>
  <c r="F89" i="11"/>
  <c r="R89" i="11" s="1"/>
  <c r="BG87" i="7"/>
  <c r="O92" i="2"/>
  <c r="O82" i="2"/>
  <c r="R93" i="2"/>
  <c r="F101" i="9"/>
  <c r="B89" i="12"/>
  <c r="E89" i="12" s="1"/>
  <c r="B89" i="9"/>
  <c r="E89" i="9" s="1"/>
  <c r="B89" i="7"/>
  <c r="E89" i="7" s="1"/>
  <c r="B89" i="10"/>
  <c r="E89" i="10" s="1"/>
  <c r="B89" i="11"/>
  <c r="E89" i="11" s="1"/>
  <c r="B89" i="5"/>
  <c r="E89" i="5" s="1"/>
  <c r="B89" i="8"/>
  <c r="E89" i="8" s="1"/>
  <c r="BP86" i="11"/>
  <c r="G87" i="11"/>
  <c r="D86" i="11"/>
  <c r="D82" i="8"/>
  <c r="D62" i="9"/>
  <c r="D86" i="12"/>
  <c r="D80" i="10"/>
  <c r="D86" i="7"/>
  <c r="D82" i="11"/>
  <c r="D82" i="12"/>
  <c r="D82" i="7"/>
  <c r="D76" i="10"/>
  <c r="D78" i="8"/>
  <c r="D58" i="9"/>
  <c r="O72" i="2"/>
  <c r="G80" i="8"/>
  <c r="BI87" i="7"/>
  <c r="X73" i="2"/>
  <c r="D103" i="12"/>
  <c r="D97" i="10"/>
  <c r="D99" i="8"/>
  <c r="D79" i="9"/>
  <c r="D103" i="11"/>
  <c r="D103" i="7"/>
  <c r="AB86" i="11"/>
  <c r="F87" i="11"/>
  <c r="X87" i="11" s="1"/>
  <c r="C85" i="7"/>
  <c r="C85" i="5"/>
  <c r="C85" i="12"/>
  <c r="C85" i="10"/>
  <c r="C85" i="9"/>
  <c r="C85" i="11"/>
  <c r="C85" i="8"/>
  <c r="O74" i="2"/>
  <c r="F82" i="8"/>
  <c r="Q87" i="7"/>
  <c r="O94" i="2"/>
  <c r="R85" i="2"/>
  <c r="R87" i="2"/>
  <c r="F95" i="9"/>
  <c r="D91" i="12"/>
  <c r="D67" i="9"/>
  <c r="D85" i="10"/>
  <c r="D91" i="11"/>
  <c r="D87" i="8"/>
  <c r="D91" i="7"/>
  <c r="F86" i="7"/>
  <c r="AP86" i="7" s="1"/>
  <c r="B83" i="12"/>
  <c r="E83" i="12" s="1"/>
  <c r="B83" i="7"/>
  <c r="E83" i="7" s="1"/>
  <c r="B83" i="10"/>
  <c r="E83" i="10" s="1"/>
  <c r="B83" i="9"/>
  <c r="E83" i="9" s="1"/>
  <c r="B83" i="8"/>
  <c r="E83" i="8" s="1"/>
  <c r="B83" i="5"/>
  <c r="E83" i="5" s="1"/>
  <c r="B83" i="11"/>
  <c r="E83" i="11" s="1"/>
  <c r="B81" i="12"/>
  <c r="E81" i="12" s="1"/>
  <c r="B81" i="7"/>
  <c r="E81" i="7" s="1"/>
  <c r="B81" i="9"/>
  <c r="E81" i="9" s="1"/>
  <c r="B81" i="8"/>
  <c r="E81" i="8" s="1"/>
  <c r="B81" i="10"/>
  <c r="E81" i="10" s="1"/>
  <c r="B81" i="5"/>
  <c r="E81" i="5" s="1"/>
  <c r="B81" i="11"/>
  <c r="E81" i="11" s="1"/>
  <c r="L77" i="2"/>
  <c r="C102" i="9"/>
  <c r="C102" i="11"/>
  <c r="C102" i="8"/>
  <c r="C102" i="5"/>
  <c r="C102" i="10"/>
  <c r="C102" i="7"/>
  <c r="C102" i="12"/>
  <c r="D93" i="12"/>
  <c r="D93" i="11"/>
  <c r="D89" i="8"/>
  <c r="D69" i="9"/>
  <c r="D93" i="7"/>
  <c r="D87" i="10"/>
  <c r="BL83" i="12"/>
  <c r="G84" i="12"/>
  <c r="AA74" i="2"/>
  <c r="G82" i="11"/>
  <c r="K90" i="5"/>
  <c r="O80" i="2"/>
  <c r="U82" i="2"/>
  <c r="O91" i="2"/>
  <c r="L87" i="2"/>
  <c r="R75" i="2"/>
  <c r="O88" i="2"/>
  <c r="D100" i="8"/>
  <c r="D80" i="9"/>
  <c r="D98" i="10"/>
  <c r="D100" i="7"/>
  <c r="D76" i="9"/>
  <c r="D100" i="11"/>
  <c r="D96" i="8"/>
  <c r="D100" i="12"/>
  <c r="D94" i="10"/>
  <c r="BM98" i="11"/>
  <c r="G99" i="11"/>
  <c r="AA99" i="11" s="1"/>
  <c r="R86" i="2"/>
  <c r="F94" i="9"/>
  <c r="BN92" i="12"/>
  <c r="G93" i="12"/>
  <c r="D87" i="7"/>
  <c r="D63" i="9"/>
  <c r="D87" i="12"/>
  <c r="D87" i="11"/>
  <c r="D83" i="8"/>
  <c r="D81" i="10"/>
  <c r="B86" i="11"/>
  <c r="E86" i="11" s="1"/>
  <c r="B86" i="8"/>
  <c r="E86" i="8" s="1"/>
  <c r="B86" i="10"/>
  <c r="E86" i="10" s="1"/>
  <c r="B86" i="12"/>
  <c r="E86" i="12" s="1"/>
  <c r="B86" i="7"/>
  <c r="E86" i="7" s="1"/>
  <c r="B86" i="5"/>
  <c r="E86" i="5" s="1"/>
  <c r="B86" i="9"/>
  <c r="E86" i="9" s="1"/>
  <c r="U76" i="2"/>
  <c r="D83" i="12"/>
  <c r="D83" i="7"/>
  <c r="D83" i="11"/>
  <c r="D77" i="10"/>
  <c r="D79" i="8"/>
  <c r="D59" i="9"/>
  <c r="U74" i="2"/>
  <c r="D81" i="12"/>
  <c r="D81" i="7"/>
  <c r="D81" i="11"/>
  <c r="D75" i="10"/>
  <c r="D77" i="8"/>
  <c r="D57" i="9"/>
  <c r="U72" i="2"/>
  <c r="D79" i="12"/>
  <c r="D73" i="10"/>
  <c r="D75" i="8"/>
  <c r="D79" i="7"/>
  <c r="D79" i="11"/>
  <c r="D55" i="9"/>
  <c r="AF79" i="7"/>
  <c r="D102" i="11"/>
  <c r="D98" i="8"/>
  <c r="D78" i="9"/>
  <c r="D102" i="7"/>
  <c r="D96" i="10"/>
  <c r="D102" i="12"/>
  <c r="D94" i="11"/>
  <c r="D90" i="8"/>
  <c r="D94" i="7"/>
  <c r="D94" i="12"/>
  <c r="D88" i="10"/>
  <c r="D70" i="9"/>
  <c r="F83" i="7"/>
  <c r="H83" i="7" s="1"/>
  <c r="C95" i="12"/>
  <c r="C95" i="8"/>
  <c r="C95" i="7"/>
  <c r="C95" i="5"/>
  <c r="C95" i="9"/>
  <c r="C95" i="11"/>
  <c r="C95" i="10"/>
  <c r="D64" i="9"/>
  <c r="D88" i="11"/>
  <c r="D84" i="8"/>
  <c r="D88" i="12"/>
  <c r="D82" i="10"/>
  <c r="D88" i="7"/>
  <c r="R76" i="2"/>
  <c r="G84" i="9"/>
  <c r="R74" i="2"/>
  <c r="G82" i="9"/>
  <c r="G81" i="12"/>
  <c r="BH81" i="12" s="1"/>
  <c r="O71" i="2"/>
  <c r="L90" i="2"/>
  <c r="I73" i="2"/>
  <c r="B103" i="12"/>
  <c r="E103" i="12" s="1"/>
  <c r="B103" i="5"/>
  <c r="E103" i="5" s="1"/>
  <c r="B103" i="7"/>
  <c r="E103" i="7" s="1"/>
  <c r="B103" i="9"/>
  <c r="E103" i="9" s="1"/>
  <c r="B103" i="10"/>
  <c r="E103" i="10" s="1"/>
  <c r="B103" i="11"/>
  <c r="E103" i="11" s="1"/>
  <c r="B103" i="8"/>
  <c r="E103" i="8" s="1"/>
  <c r="F91" i="10"/>
  <c r="B91" i="12"/>
  <c r="E91" i="12" s="1"/>
  <c r="B91" i="5"/>
  <c r="E91" i="5" s="1"/>
  <c r="B91" i="9"/>
  <c r="E91" i="9" s="1"/>
  <c r="B91" i="10"/>
  <c r="E91" i="10" s="1"/>
  <c r="B91" i="11"/>
  <c r="E91" i="11" s="1"/>
  <c r="B91" i="8"/>
  <c r="E91" i="8" s="1"/>
  <c r="B91" i="7"/>
  <c r="E91" i="7" s="1"/>
  <c r="C89" i="12"/>
  <c r="C89" i="8"/>
  <c r="C89" i="9"/>
  <c r="C89" i="7"/>
  <c r="C89" i="11"/>
  <c r="C89" i="10"/>
  <c r="C89" i="5"/>
  <c r="F83" i="12"/>
  <c r="S83" i="12" s="1"/>
  <c r="R91" i="2"/>
  <c r="AG84" i="11"/>
  <c r="F85" i="11"/>
  <c r="D80" i="11"/>
  <c r="D74" i="10"/>
  <c r="D80" i="12"/>
  <c r="D76" i="8"/>
  <c r="D56" i="9"/>
  <c r="D80" i="7"/>
  <c r="AG78" i="12"/>
  <c r="F79" i="12"/>
  <c r="R89" i="2"/>
  <c r="F97" i="9"/>
  <c r="R83" i="2"/>
  <c r="F91" i="9"/>
  <c r="F90" i="7"/>
  <c r="I90" i="7" s="1"/>
  <c r="C87" i="9"/>
  <c r="C87" i="12"/>
  <c r="C87" i="11"/>
  <c r="C87" i="5"/>
  <c r="C87" i="8"/>
  <c r="C87" i="7"/>
  <c r="C87" i="10"/>
  <c r="C81" i="9"/>
  <c r="C81" i="12"/>
  <c r="C81" i="7"/>
  <c r="C81" i="11"/>
  <c r="C81" i="8"/>
  <c r="C81" i="10"/>
  <c r="C81" i="5"/>
  <c r="BM101" i="11"/>
  <c r="G102" i="11"/>
  <c r="U102" i="11" s="1"/>
  <c r="G100" i="11"/>
  <c r="AU100" i="11" s="1"/>
  <c r="D75" i="9"/>
  <c r="D99" i="12"/>
  <c r="D99" i="11"/>
  <c r="D95" i="8"/>
  <c r="D99" i="7"/>
  <c r="D93" i="10"/>
  <c r="D97" i="12"/>
  <c r="D91" i="10"/>
  <c r="D93" i="8"/>
  <c r="D73" i="9"/>
  <c r="D97" i="11"/>
  <c r="D97" i="7"/>
  <c r="B87" i="12"/>
  <c r="E87" i="12" s="1"/>
  <c r="B87" i="5"/>
  <c r="E87" i="5" s="1"/>
  <c r="B87" i="8"/>
  <c r="E87" i="8" s="1"/>
  <c r="B87" i="9"/>
  <c r="E87" i="9" s="1"/>
  <c r="B87" i="11"/>
  <c r="E87" i="11" s="1"/>
  <c r="B87" i="7"/>
  <c r="E87" i="7" s="1"/>
  <c r="B87" i="10"/>
  <c r="E87" i="10" s="1"/>
  <c r="BA87" i="7"/>
  <c r="C100" i="11"/>
  <c r="C100" i="8"/>
  <c r="C100" i="10"/>
  <c r="C100" i="9"/>
  <c r="C100" i="5"/>
  <c r="C100" i="12"/>
  <c r="C100" i="7"/>
  <c r="C98" i="7"/>
  <c r="C98" i="11"/>
  <c r="C98" i="8"/>
  <c r="C98" i="10"/>
  <c r="C98" i="12"/>
  <c r="C98" i="5"/>
  <c r="C98" i="9"/>
  <c r="D95" i="12"/>
  <c r="D95" i="7"/>
  <c r="D89" i="10"/>
  <c r="D95" i="11"/>
  <c r="D91" i="8"/>
  <c r="D71" i="9"/>
  <c r="AA87" i="12"/>
  <c r="F88" i="12"/>
  <c r="AL88" i="12" s="1"/>
  <c r="U79" i="7"/>
  <c r="F80" i="7"/>
  <c r="AQ80" i="7" s="1"/>
  <c r="U81" i="2"/>
  <c r="L71" i="2"/>
  <c r="L97" i="2"/>
  <c r="B102" i="11"/>
  <c r="E102" i="11" s="1"/>
  <c r="B102" i="8"/>
  <c r="E102" i="8" s="1"/>
  <c r="B102" i="9"/>
  <c r="E102" i="9" s="1"/>
  <c r="B102" i="10"/>
  <c r="E102" i="10" s="1"/>
  <c r="B102" i="5"/>
  <c r="E102" i="5" s="1"/>
  <c r="B102" i="7"/>
  <c r="E102" i="7" s="1"/>
  <c r="B102" i="12"/>
  <c r="E102" i="12" s="1"/>
  <c r="BQ99" i="10"/>
  <c r="G100" i="10"/>
  <c r="BC100" i="10" s="1"/>
  <c r="B100" i="11"/>
  <c r="E100" i="11" s="1"/>
  <c r="B100" i="8"/>
  <c r="E100" i="8" s="1"/>
  <c r="B100" i="10"/>
  <c r="E100" i="10" s="1"/>
  <c r="B100" i="9"/>
  <c r="E100" i="9" s="1"/>
  <c r="B100" i="7"/>
  <c r="E100" i="7" s="1"/>
  <c r="B100" i="5"/>
  <c r="E100" i="5" s="1"/>
  <c r="B100" i="12"/>
  <c r="E100" i="12" s="1"/>
  <c r="C96" i="9"/>
  <c r="C96" i="7"/>
  <c r="C96" i="11"/>
  <c r="C96" i="8"/>
  <c r="C96" i="5"/>
  <c r="C96" i="10"/>
  <c r="C96" i="12"/>
  <c r="C94" i="11"/>
  <c r="C94" i="8"/>
  <c r="C94" i="7"/>
  <c r="C94" i="10"/>
  <c r="C94" i="5"/>
  <c r="C94" i="12"/>
  <c r="C94" i="9"/>
  <c r="B92" i="11"/>
  <c r="E92" i="11" s="1"/>
  <c r="B92" i="8"/>
  <c r="E92" i="8" s="1"/>
  <c r="B92" i="10"/>
  <c r="E92" i="10" s="1"/>
  <c r="B92" i="7"/>
  <c r="E92" i="7" s="1"/>
  <c r="B92" i="9"/>
  <c r="E92" i="9" s="1"/>
  <c r="B92" i="12"/>
  <c r="E92" i="12" s="1"/>
  <c r="B92" i="5"/>
  <c r="E92" i="5" s="1"/>
  <c r="D89" i="12"/>
  <c r="D65" i="9"/>
  <c r="D89" i="7"/>
  <c r="D83" i="10"/>
  <c r="D89" i="11"/>
  <c r="D85" i="8"/>
  <c r="AM83" i="12"/>
  <c r="F84" i="12"/>
  <c r="F84" i="7"/>
  <c r="Q84" i="7" s="1"/>
  <c r="F82" i="12"/>
  <c r="AD82" i="12" s="1"/>
  <c r="BQ90" i="5"/>
  <c r="AA76" i="2"/>
  <c r="X85" i="2"/>
  <c r="F103" i="7"/>
  <c r="G93" i="7"/>
  <c r="AJ93" i="7" s="1"/>
  <c r="BJ90" i="12"/>
  <c r="G91" i="12"/>
  <c r="C90" i="9"/>
  <c r="C90" i="11"/>
  <c r="C90" i="8"/>
  <c r="C90" i="5"/>
  <c r="C90" i="10"/>
  <c r="C90" i="7"/>
  <c r="C90" i="12"/>
  <c r="I86" i="2"/>
  <c r="O89" i="2"/>
  <c r="O78" i="2"/>
  <c r="U95" i="2"/>
  <c r="C101" i="12"/>
  <c r="C101" i="8"/>
  <c r="C101" i="9"/>
  <c r="C101" i="5"/>
  <c r="C101" i="7"/>
  <c r="C101" i="10"/>
  <c r="C101" i="11"/>
  <c r="O90" i="2"/>
  <c r="G98" i="8"/>
  <c r="D96" i="7"/>
  <c r="D96" i="11"/>
  <c r="D92" i="8"/>
  <c r="D72" i="9"/>
  <c r="D90" i="10"/>
  <c r="D96" i="12"/>
  <c r="O86" i="2"/>
  <c r="AO87" i="10"/>
  <c r="G88" i="10"/>
  <c r="C88" i="11"/>
  <c r="C88" i="8"/>
  <c r="C88" i="10"/>
  <c r="C88" i="9"/>
  <c r="C88" i="5"/>
  <c r="C88" i="7"/>
  <c r="C88" i="12"/>
  <c r="BE85" i="10"/>
  <c r="F86" i="10"/>
  <c r="AJ86" i="10" s="1"/>
  <c r="G85" i="7"/>
  <c r="C84" i="9"/>
  <c r="C84" i="11"/>
  <c r="C84" i="8"/>
  <c r="C84" i="5"/>
  <c r="C84" i="10"/>
  <c r="C84" i="7"/>
  <c r="C84" i="12"/>
  <c r="G83" i="7"/>
  <c r="G82" i="10"/>
  <c r="BQ82" i="10" s="1"/>
  <c r="C82" i="11"/>
  <c r="C82" i="8"/>
  <c r="C82" i="10"/>
  <c r="C82" i="7"/>
  <c r="C82" i="5"/>
  <c r="C82" i="12"/>
  <c r="C82" i="9"/>
  <c r="G81" i="7"/>
  <c r="C80" i="11"/>
  <c r="C80" i="8"/>
  <c r="C80" i="10"/>
  <c r="C80" i="9"/>
  <c r="C80" i="12"/>
  <c r="C80" i="7"/>
  <c r="C80" i="5"/>
  <c r="BE79" i="7"/>
  <c r="H32" i="5"/>
  <c r="BB47" i="5"/>
  <c r="BO23" i="5"/>
  <c r="U53" i="2"/>
  <c r="P57" i="5"/>
  <c r="P45" i="5"/>
  <c r="BG46" i="5"/>
  <c r="C78" i="9"/>
  <c r="C78" i="11"/>
  <c r="C78" i="8"/>
  <c r="C78" i="10"/>
  <c r="C78" i="12"/>
  <c r="C78" i="7"/>
  <c r="C78" i="5"/>
  <c r="V39" i="5"/>
  <c r="G77" i="5"/>
  <c r="B74" i="9"/>
  <c r="E74" i="9" s="1"/>
  <c r="B74" i="11"/>
  <c r="E74" i="11" s="1"/>
  <c r="B74" i="8"/>
  <c r="E74" i="8" s="1"/>
  <c r="B74" i="10"/>
  <c r="E74" i="10" s="1"/>
  <c r="B74" i="5"/>
  <c r="E74" i="5" s="1"/>
  <c r="B74" i="12"/>
  <c r="E74" i="12" s="1"/>
  <c r="B74" i="7"/>
  <c r="E74" i="7" s="1"/>
  <c r="AP47" i="5"/>
  <c r="BM95" i="5"/>
  <c r="G42" i="5"/>
  <c r="N67" i="5"/>
  <c r="I32" i="5"/>
  <c r="AU77" i="11"/>
  <c r="G78" i="11"/>
  <c r="AX78" i="11" s="1"/>
  <c r="B78" i="9"/>
  <c r="E78" i="9" s="1"/>
  <c r="B78" i="11"/>
  <c r="E78" i="11" s="1"/>
  <c r="B78" i="8"/>
  <c r="E78" i="8" s="1"/>
  <c r="B78" i="10"/>
  <c r="E78" i="10" s="1"/>
  <c r="B78" i="12"/>
  <c r="E78" i="12" s="1"/>
  <c r="B78" i="7"/>
  <c r="E78" i="7" s="1"/>
  <c r="B78" i="5"/>
  <c r="E78" i="5" s="1"/>
  <c r="D48" i="9"/>
  <c r="D66" i="10"/>
  <c r="D72" i="7"/>
  <c r="D72" i="11"/>
  <c r="D68" i="8"/>
  <c r="D72" i="12"/>
  <c r="O63" i="2"/>
  <c r="G71" i="8"/>
  <c r="BL45" i="5"/>
  <c r="H23" i="5"/>
  <c r="D52" i="9"/>
  <c r="D70" i="10"/>
  <c r="D76" i="11"/>
  <c r="D72" i="8"/>
  <c r="D76" i="12"/>
  <c r="D76" i="7"/>
  <c r="C73" i="9"/>
  <c r="C73" i="10"/>
  <c r="C73" i="12"/>
  <c r="C73" i="7"/>
  <c r="C73" i="5"/>
  <c r="C73" i="11"/>
  <c r="C73" i="8"/>
  <c r="AZ45" i="5"/>
  <c r="Q45" i="5"/>
  <c r="W77" i="10"/>
  <c r="G78" i="10"/>
  <c r="BM78" i="10" s="1"/>
  <c r="BE76" i="12"/>
  <c r="F77" i="12"/>
  <c r="C77" i="9"/>
  <c r="C77" i="12"/>
  <c r="C77" i="5"/>
  <c r="C77" i="7"/>
  <c r="C77" i="11"/>
  <c r="C77" i="8"/>
  <c r="C77" i="10"/>
  <c r="O67" i="2"/>
  <c r="G75" i="8"/>
  <c r="B73" i="9"/>
  <c r="E73" i="9" s="1"/>
  <c r="B73" i="12"/>
  <c r="E73" i="12" s="1"/>
  <c r="B73" i="7"/>
  <c r="E73" i="7" s="1"/>
  <c r="B73" i="5"/>
  <c r="E73" i="5" s="1"/>
  <c r="B73" i="11"/>
  <c r="E73" i="11" s="1"/>
  <c r="B73" i="8"/>
  <c r="E73" i="8" s="1"/>
  <c r="B73" i="10"/>
  <c r="E73" i="10" s="1"/>
  <c r="AE76" i="7"/>
  <c r="U62" i="2"/>
  <c r="O54" i="2"/>
  <c r="G62" i="8"/>
  <c r="AW60" i="10"/>
  <c r="G61" i="10"/>
  <c r="H61" i="10" s="1"/>
  <c r="BS58" i="5"/>
  <c r="M48" i="5"/>
  <c r="B77" i="9"/>
  <c r="B77" i="7"/>
  <c r="E77" i="7" s="1"/>
  <c r="B77" i="5"/>
  <c r="E77" i="5" s="1"/>
  <c r="B77" i="11"/>
  <c r="E77" i="11" s="1"/>
  <c r="B77" i="8"/>
  <c r="E77" i="8" s="1"/>
  <c r="B77" i="10"/>
  <c r="E77" i="10" s="1"/>
  <c r="B77" i="12"/>
  <c r="E77" i="12" s="1"/>
  <c r="D47" i="9"/>
  <c r="D65" i="10"/>
  <c r="D71" i="11"/>
  <c r="D67" i="8"/>
  <c r="D71" i="12"/>
  <c r="D71" i="7"/>
  <c r="H54" i="5"/>
  <c r="C72" i="9"/>
  <c r="C72" i="7"/>
  <c r="C72" i="11"/>
  <c r="C72" i="8"/>
  <c r="C72" i="10"/>
  <c r="C72" i="5"/>
  <c r="C72" i="12"/>
  <c r="D51" i="9"/>
  <c r="D75" i="12"/>
  <c r="D71" i="8"/>
  <c r="D75" i="7"/>
  <c r="D75" i="11"/>
  <c r="D69" i="10"/>
  <c r="B72" i="9"/>
  <c r="E72" i="9" s="1"/>
  <c r="B72" i="7"/>
  <c r="E72" i="7" s="1"/>
  <c r="B72" i="11"/>
  <c r="E72" i="11" s="1"/>
  <c r="B72" i="8"/>
  <c r="E72" i="8" s="1"/>
  <c r="B72" i="10"/>
  <c r="E72" i="10" s="1"/>
  <c r="B72" i="12"/>
  <c r="E72" i="12" s="1"/>
  <c r="B72" i="5"/>
  <c r="E72" i="5" s="1"/>
  <c r="O50" i="2"/>
  <c r="G58" i="8"/>
  <c r="O70" i="2"/>
  <c r="C76" i="9"/>
  <c r="C76" i="5"/>
  <c r="C76" i="11"/>
  <c r="C76" i="8"/>
  <c r="C76" i="10"/>
  <c r="C76" i="12"/>
  <c r="C76" i="7"/>
  <c r="G38" i="5"/>
  <c r="G75" i="5"/>
  <c r="P80" i="5"/>
  <c r="G40" i="5"/>
  <c r="BO40" i="5" s="1"/>
  <c r="AF90" i="5"/>
  <c r="G62" i="5"/>
  <c r="J44" i="5"/>
  <c r="B76" i="9"/>
  <c r="E76" i="9" s="1"/>
  <c r="B76" i="11"/>
  <c r="E76" i="11" s="1"/>
  <c r="B76" i="8"/>
  <c r="E76" i="8" s="1"/>
  <c r="B76" i="10"/>
  <c r="E76" i="10" s="1"/>
  <c r="B76" i="5"/>
  <c r="E76" i="5" s="1"/>
  <c r="B76" i="12"/>
  <c r="E76" i="12" s="1"/>
  <c r="B76" i="7"/>
  <c r="E76" i="7" s="1"/>
  <c r="F38" i="5"/>
  <c r="F75" i="5"/>
  <c r="O14" i="2"/>
  <c r="G22" i="8"/>
  <c r="W90" i="5"/>
  <c r="F62" i="5"/>
  <c r="S47" i="5"/>
  <c r="AE77" i="7"/>
  <c r="G78" i="7"/>
  <c r="BI78" i="7" s="1"/>
  <c r="D50" i="9"/>
  <c r="D70" i="8"/>
  <c r="D74" i="7"/>
  <c r="D74" i="11"/>
  <c r="D68" i="10"/>
  <c r="D74" i="12"/>
  <c r="O65" i="2"/>
  <c r="G73" i="8"/>
  <c r="O16" i="2"/>
  <c r="F24" i="8"/>
  <c r="M64" i="5"/>
  <c r="O69" i="2"/>
  <c r="G77" i="8"/>
  <c r="C75" i="9"/>
  <c r="C75" i="12"/>
  <c r="C75" i="7"/>
  <c r="C75" i="5"/>
  <c r="C75" i="11"/>
  <c r="C75" i="8"/>
  <c r="C75" i="10"/>
  <c r="BD32" i="5"/>
  <c r="AM76" i="7"/>
  <c r="O60" i="5"/>
  <c r="B75" i="12"/>
  <c r="E75" i="12" s="1"/>
  <c r="B75" i="7"/>
  <c r="E75" i="7" s="1"/>
  <c r="B75" i="5"/>
  <c r="E75" i="5" s="1"/>
  <c r="B75" i="11"/>
  <c r="E75" i="11" s="1"/>
  <c r="B75" i="8"/>
  <c r="E75" i="8" s="1"/>
  <c r="B75" i="10"/>
  <c r="E75" i="10" s="1"/>
  <c r="H26" i="5"/>
  <c r="G61" i="5"/>
  <c r="D49" i="9"/>
  <c r="D73" i="11"/>
  <c r="D73" i="12"/>
  <c r="D67" i="10"/>
  <c r="D73" i="7"/>
  <c r="D69" i="8"/>
  <c r="BK82" i="5"/>
  <c r="G22" i="5"/>
  <c r="AU22" i="5" s="1"/>
  <c r="O48" i="2"/>
  <c r="G56" i="8"/>
  <c r="I87" i="5"/>
  <c r="G52" i="5"/>
  <c r="R52" i="5" s="1"/>
  <c r="S78" i="10"/>
  <c r="D53" i="9"/>
  <c r="D73" i="8"/>
  <c r="D77" i="12"/>
  <c r="D77" i="7"/>
  <c r="D71" i="10"/>
  <c r="D77" i="11"/>
  <c r="C74" i="9"/>
  <c r="C74" i="11"/>
  <c r="C74" i="8"/>
  <c r="C74" i="10"/>
  <c r="C74" i="5"/>
  <c r="C74" i="12"/>
  <c r="C74" i="7"/>
  <c r="B44" i="9"/>
  <c r="E44" i="9" s="1"/>
  <c r="B44" i="12"/>
  <c r="E44" i="12" s="1"/>
  <c r="AG44" i="12" s="1"/>
  <c r="B44" i="11"/>
  <c r="E44" i="11" s="1"/>
  <c r="B44" i="7"/>
  <c r="E44" i="7" s="1"/>
  <c r="B44" i="5"/>
  <c r="E44" i="5" s="1"/>
  <c r="B44" i="8"/>
  <c r="E44" i="8" s="1"/>
  <c r="B44" i="10"/>
  <c r="E44" i="10" s="1"/>
  <c r="C39" i="9"/>
  <c r="C39" i="7"/>
  <c r="C39" i="12"/>
  <c r="C39" i="11"/>
  <c r="C39" i="10"/>
  <c r="C39" i="5"/>
  <c r="C39" i="8"/>
  <c r="D27" i="10"/>
  <c r="D29" i="8"/>
  <c r="D33" i="12"/>
  <c r="D33" i="11"/>
  <c r="D33" i="7"/>
  <c r="B30" i="9"/>
  <c r="E30" i="9" s="1"/>
  <c r="B30" i="12"/>
  <c r="E30" i="12" s="1"/>
  <c r="BF30" i="12" s="1"/>
  <c r="B30" i="11"/>
  <c r="E30" i="11" s="1"/>
  <c r="B30" i="5"/>
  <c r="E30" i="5" s="1"/>
  <c r="O30" i="5" s="1"/>
  <c r="B30" i="8"/>
  <c r="E30" i="8" s="1"/>
  <c r="B30" i="7"/>
  <c r="E30" i="7" s="1"/>
  <c r="N30" i="7" s="1"/>
  <c r="B30" i="10"/>
  <c r="E30" i="10" s="1"/>
  <c r="C25" i="9"/>
  <c r="C25" i="12"/>
  <c r="C25" i="11"/>
  <c r="C25" i="10"/>
  <c r="C25" i="7"/>
  <c r="C25" i="5"/>
  <c r="C25" i="8"/>
  <c r="D19" i="7"/>
  <c r="D19" i="12"/>
  <c r="D19" i="11"/>
  <c r="B48" i="9"/>
  <c r="E48" i="9" s="1"/>
  <c r="B48" i="11"/>
  <c r="E48" i="11" s="1"/>
  <c r="BE48" i="11" s="1"/>
  <c r="B48" i="10"/>
  <c r="E48" i="10" s="1"/>
  <c r="B48" i="8"/>
  <c r="E48" i="8" s="1"/>
  <c r="B48" i="5"/>
  <c r="E48" i="5" s="1"/>
  <c r="B48" i="12"/>
  <c r="E48" i="12" s="1"/>
  <c r="B48" i="7"/>
  <c r="E48" i="7" s="1"/>
  <c r="C58" i="9"/>
  <c r="C58" i="12"/>
  <c r="C58" i="11"/>
  <c r="C58" i="5"/>
  <c r="C58" i="7"/>
  <c r="C58" i="8"/>
  <c r="C58" i="10"/>
  <c r="B53" i="9"/>
  <c r="E53" i="9" s="1"/>
  <c r="B53" i="12"/>
  <c r="E53" i="12" s="1"/>
  <c r="X53" i="12" s="1"/>
  <c r="B53" i="11"/>
  <c r="E53" i="11" s="1"/>
  <c r="AU53" i="11" s="1"/>
  <c r="B53" i="10"/>
  <c r="E53" i="10" s="1"/>
  <c r="N53" i="10" s="1"/>
  <c r="B64" i="5"/>
  <c r="E64" i="5" s="1"/>
  <c r="AJ64" i="5" s="1"/>
  <c r="B53" i="7"/>
  <c r="E53" i="7" s="1"/>
  <c r="B53" i="8"/>
  <c r="E53" i="8" s="1"/>
  <c r="B66" i="9"/>
  <c r="E66" i="9" s="1"/>
  <c r="B66" i="12"/>
  <c r="E66" i="12" s="1"/>
  <c r="AP66" i="12" s="1"/>
  <c r="B66" i="10"/>
  <c r="E66" i="10" s="1"/>
  <c r="B66" i="7"/>
  <c r="E66" i="7" s="1"/>
  <c r="AS66" i="7" s="1"/>
  <c r="B66" i="5"/>
  <c r="E66" i="5" s="1"/>
  <c r="Y66" i="5" s="1"/>
  <c r="B66" i="8"/>
  <c r="E66" i="8" s="1"/>
  <c r="B66" i="11"/>
  <c r="E66" i="11" s="1"/>
  <c r="D36" i="9"/>
  <c r="D60" i="12"/>
  <c r="D60" i="11"/>
  <c r="D60" i="7"/>
  <c r="D54" i="10"/>
  <c r="D56" i="8"/>
  <c r="B26" i="9"/>
  <c r="E26" i="9" s="1"/>
  <c r="B26" i="11"/>
  <c r="E26" i="11" s="1"/>
  <c r="AS26" i="11" s="1"/>
  <c r="B26" i="7"/>
  <c r="E26" i="7" s="1"/>
  <c r="B26" i="8"/>
  <c r="E26" i="8" s="1"/>
  <c r="B26" i="5"/>
  <c r="E26" i="5" s="1"/>
  <c r="B26" i="10"/>
  <c r="E26" i="10" s="1"/>
  <c r="B26" i="12"/>
  <c r="E26" i="12" s="1"/>
  <c r="D22" i="10"/>
  <c r="D24" i="8"/>
  <c r="D28" i="11"/>
  <c r="D28" i="12"/>
  <c r="D28" i="7"/>
  <c r="D22" i="9"/>
  <c r="D46" i="12"/>
  <c r="D46" i="11"/>
  <c r="D40" i="10"/>
  <c r="D46" i="7"/>
  <c r="D42" i="8"/>
  <c r="B58" i="9"/>
  <c r="E58" i="9" s="1"/>
  <c r="B58" i="12"/>
  <c r="E58" i="12" s="1"/>
  <c r="X58" i="12" s="1"/>
  <c r="B58" i="11"/>
  <c r="E58" i="11" s="1"/>
  <c r="B58" i="5"/>
  <c r="E58" i="5" s="1"/>
  <c r="B58" i="7"/>
  <c r="E58" i="7" s="1"/>
  <c r="AD58" i="7" s="1"/>
  <c r="B58" i="8"/>
  <c r="E58" i="8" s="1"/>
  <c r="B58" i="10"/>
  <c r="E58" i="10" s="1"/>
  <c r="D27" i="9"/>
  <c r="D45" i="10"/>
  <c r="D51" i="12"/>
  <c r="D51" i="7"/>
  <c r="D47" i="8"/>
  <c r="D51" i="11"/>
  <c r="D45" i="9"/>
  <c r="D69" i="12"/>
  <c r="D69" i="11"/>
  <c r="D69" i="7"/>
  <c r="D63" i="10"/>
  <c r="D65" i="8"/>
  <c r="D40" i="9"/>
  <c r="D64" i="11"/>
  <c r="D64" i="12"/>
  <c r="D64" i="7"/>
  <c r="D60" i="8"/>
  <c r="D58" i="10"/>
  <c r="C61" i="9"/>
  <c r="C61" i="8"/>
  <c r="C61" i="12"/>
  <c r="C61" i="7"/>
  <c r="C61" i="11"/>
  <c r="C61" i="5"/>
  <c r="C61" i="10"/>
  <c r="C40" i="9"/>
  <c r="C40" i="8"/>
  <c r="C40" i="12"/>
  <c r="C55" i="5"/>
  <c r="C40" i="7"/>
  <c r="C40" i="10"/>
  <c r="C40" i="11"/>
  <c r="D20" i="12"/>
  <c r="D20" i="11"/>
  <c r="D20" i="7"/>
  <c r="B49" i="9"/>
  <c r="E49" i="9" s="1"/>
  <c r="B32" i="5"/>
  <c r="E32" i="5" s="1"/>
  <c r="B49" i="12"/>
  <c r="E49" i="12" s="1"/>
  <c r="B49" i="7"/>
  <c r="E49" i="7" s="1"/>
  <c r="B49" i="10"/>
  <c r="E49" i="10" s="1"/>
  <c r="B49" i="11"/>
  <c r="E49" i="11" s="1"/>
  <c r="B49" i="8"/>
  <c r="E49" i="8" s="1"/>
  <c r="B67" i="9"/>
  <c r="E67" i="9" s="1"/>
  <c r="B67" i="12"/>
  <c r="E67" i="12" s="1"/>
  <c r="B67" i="11"/>
  <c r="E67" i="11" s="1"/>
  <c r="X67" i="11" s="1"/>
  <c r="B67" i="10"/>
  <c r="E67" i="10" s="1"/>
  <c r="AW67" i="10" s="1"/>
  <c r="B67" i="7"/>
  <c r="E67" i="7" s="1"/>
  <c r="AE67" i="7" s="1"/>
  <c r="B43" i="5"/>
  <c r="E43" i="5" s="1"/>
  <c r="B67" i="8"/>
  <c r="E67" i="8" s="1"/>
  <c r="D29" i="11"/>
  <c r="D29" i="7"/>
  <c r="D29" i="12"/>
  <c r="D25" i="8"/>
  <c r="D23" i="10"/>
  <c r="B59" i="9"/>
  <c r="E59" i="9" s="1"/>
  <c r="B59" i="12"/>
  <c r="E59" i="12" s="1"/>
  <c r="B59" i="10"/>
  <c r="E59" i="10" s="1"/>
  <c r="S59" i="10" s="1"/>
  <c r="B59" i="11"/>
  <c r="E59" i="11" s="1"/>
  <c r="B59" i="7"/>
  <c r="E59" i="7" s="1"/>
  <c r="B59" i="8"/>
  <c r="E59" i="8" s="1"/>
  <c r="B40" i="5"/>
  <c r="E40" i="5" s="1"/>
  <c r="B62" i="9"/>
  <c r="E62" i="9" s="1"/>
  <c r="B62" i="11"/>
  <c r="E62" i="11" s="1"/>
  <c r="B62" i="7"/>
  <c r="E62" i="7" s="1"/>
  <c r="BA62" i="7" s="1"/>
  <c r="B62" i="10"/>
  <c r="E62" i="10" s="1"/>
  <c r="B62" i="8"/>
  <c r="E62" i="8" s="1"/>
  <c r="B62" i="5"/>
  <c r="E62" i="5" s="1"/>
  <c r="B62" i="12"/>
  <c r="E62" i="12" s="1"/>
  <c r="AG62" i="12" s="1"/>
  <c r="D38" i="11"/>
  <c r="D38" i="12"/>
  <c r="D32" i="10"/>
  <c r="D34" i="8"/>
  <c r="D38" i="7"/>
  <c r="C48" i="9"/>
  <c r="C48" i="11"/>
  <c r="C48" i="10"/>
  <c r="C48" i="5"/>
  <c r="C48" i="12"/>
  <c r="C48" i="8"/>
  <c r="C48" i="7"/>
  <c r="D33" i="9"/>
  <c r="D57" i="11"/>
  <c r="D57" i="7"/>
  <c r="D57" i="12"/>
  <c r="D53" i="8"/>
  <c r="D51" i="10"/>
  <c r="C53" i="9"/>
  <c r="C53" i="12"/>
  <c r="C53" i="11"/>
  <c r="C53" i="10"/>
  <c r="C64" i="5"/>
  <c r="C53" i="7"/>
  <c r="C53" i="8"/>
  <c r="C66" i="9"/>
  <c r="C66" i="8"/>
  <c r="C66" i="10"/>
  <c r="C66" i="12"/>
  <c r="C66" i="7"/>
  <c r="C66" i="5"/>
  <c r="C66" i="11"/>
  <c r="D18" i="9"/>
  <c r="D36" i="10"/>
  <c r="D38" i="8"/>
  <c r="D42" i="7"/>
  <c r="D42" i="12"/>
  <c r="D42" i="11"/>
  <c r="B39" i="9"/>
  <c r="E39" i="9" s="1"/>
  <c r="B39" i="12"/>
  <c r="E39" i="12" s="1"/>
  <c r="B39" i="11"/>
  <c r="E39" i="11" s="1"/>
  <c r="AW39" i="11" s="1"/>
  <c r="B39" i="10"/>
  <c r="E39" i="10" s="1"/>
  <c r="U39" i="10" s="1"/>
  <c r="B39" i="7"/>
  <c r="E39" i="7" s="1"/>
  <c r="B39" i="5"/>
  <c r="E39" i="5" s="1"/>
  <c r="B39" i="8"/>
  <c r="E39" i="8" s="1"/>
  <c r="C34" i="9"/>
  <c r="C34" i="11"/>
  <c r="C34" i="5"/>
  <c r="C34" i="10"/>
  <c r="C34" i="12"/>
  <c r="C34" i="8"/>
  <c r="C34" i="7"/>
  <c r="B25" i="9"/>
  <c r="E25" i="9" s="1"/>
  <c r="B25" i="12"/>
  <c r="E25" i="12" s="1"/>
  <c r="B25" i="11"/>
  <c r="E25" i="11" s="1"/>
  <c r="B25" i="10"/>
  <c r="E25" i="10" s="1"/>
  <c r="B25" i="7"/>
  <c r="E25" i="7" s="1"/>
  <c r="B25" i="5"/>
  <c r="E25" i="5" s="1"/>
  <c r="B25" i="8"/>
  <c r="E25" i="8" s="1"/>
  <c r="C20" i="9"/>
  <c r="C20" i="11"/>
  <c r="C20" i="10"/>
  <c r="C20" i="12"/>
  <c r="C20" i="7"/>
  <c r="C20" i="5"/>
  <c r="C20" i="8"/>
  <c r="C43" i="9"/>
  <c r="C60" i="5"/>
  <c r="C43" i="8"/>
  <c r="C43" i="11"/>
  <c r="C43" i="7"/>
  <c r="C43" i="10"/>
  <c r="C43" i="12"/>
  <c r="D31" i="10"/>
  <c r="D37" i="12"/>
  <c r="D37" i="7"/>
  <c r="D37" i="11"/>
  <c r="D33" i="8"/>
  <c r="B34" i="9"/>
  <c r="E34" i="9" s="1"/>
  <c r="B34" i="11"/>
  <c r="E34" i="11" s="1"/>
  <c r="AS34" i="11" s="1"/>
  <c r="B34" i="7"/>
  <c r="E34" i="7" s="1"/>
  <c r="S34" i="7" s="1"/>
  <c r="B34" i="10"/>
  <c r="E34" i="10" s="1"/>
  <c r="AV34" i="10" s="1"/>
  <c r="B34" i="8"/>
  <c r="E34" i="8" s="1"/>
  <c r="B34" i="12"/>
  <c r="E34" i="12" s="1"/>
  <c r="B34" i="5"/>
  <c r="E34" i="5" s="1"/>
  <c r="C29" i="9"/>
  <c r="C29" i="8"/>
  <c r="C29" i="5"/>
  <c r="C29" i="11"/>
  <c r="C29" i="10"/>
  <c r="C29" i="12"/>
  <c r="C29" i="7"/>
  <c r="D23" i="12"/>
  <c r="D19" i="8"/>
  <c r="D23" i="11"/>
  <c r="D23" i="7"/>
  <c r="B20" i="9"/>
  <c r="E20" i="9" s="1"/>
  <c r="B20" i="11"/>
  <c r="E20" i="11" s="1"/>
  <c r="B20" i="10"/>
  <c r="E20" i="10" s="1"/>
  <c r="B20" i="8"/>
  <c r="E20" i="8" s="1"/>
  <c r="B20" i="12"/>
  <c r="E20" i="12" s="1"/>
  <c r="B20" i="7"/>
  <c r="E20" i="7" s="1"/>
  <c r="B20" i="5"/>
  <c r="E20" i="5" s="1"/>
  <c r="C47" i="9"/>
  <c r="C47" i="8"/>
  <c r="C47" i="7"/>
  <c r="C47" i="12"/>
  <c r="C47" i="5"/>
  <c r="C47" i="11"/>
  <c r="C47" i="10"/>
  <c r="D32" i="9"/>
  <c r="D50" i="10"/>
  <c r="D52" i="8"/>
  <c r="D56" i="11"/>
  <c r="D56" i="12"/>
  <c r="D56" i="7"/>
  <c r="C52" i="9"/>
  <c r="C52" i="8"/>
  <c r="C52" i="7"/>
  <c r="C52" i="10"/>
  <c r="C52" i="5"/>
  <c r="C52" i="11"/>
  <c r="C52" i="12"/>
  <c r="C70" i="9"/>
  <c r="C70" i="5"/>
  <c r="C70" i="7"/>
  <c r="C70" i="12"/>
  <c r="C70" i="8"/>
  <c r="C70" i="10"/>
  <c r="C70" i="11"/>
  <c r="C65" i="9"/>
  <c r="C65" i="12"/>
  <c r="C65" i="7"/>
  <c r="C65" i="11"/>
  <c r="C65" i="5"/>
  <c r="C65" i="8"/>
  <c r="C65" i="10"/>
  <c r="B61" i="9"/>
  <c r="E61" i="9" s="1"/>
  <c r="B61" i="8"/>
  <c r="E61" i="8" s="1"/>
  <c r="B61" i="11"/>
  <c r="E61" i="11" s="1"/>
  <c r="B61" i="10"/>
  <c r="E61" i="10" s="1"/>
  <c r="B61" i="5"/>
  <c r="E61" i="5" s="1"/>
  <c r="B61" i="7"/>
  <c r="E61" i="7" s="1"/>
  <c r="B61" i="12"/>
  <c r="E61" i="12" s="1"/>
  <c r="B43" i="9"/>
  <c r="E43" i="9" s="1"/>
  <c r="B43" i="10"/>
  <c r="E43" i="10" s="1"/>
  <c r="AM43" i="10" s="1"/>
  <c r="B43" i="8"/>
  <c r="E43" i="8" s="1"/>
  <c r="B43" i="11"/>
  <c r="E43" i="11" s="1"/>
  <c r="U43" i="11" s="1"/>
  <c r="B60" i="5"/>
  <c r="E60" i="5" s="1"/>
  <c r="AX60" i="5" s="1"/>
  <c r="B43" i="7"/>
  <c r="E43" i="7" s="1"/>
  <c r="B43" i="12"/>
  <c r="E43" i="12" s="1"/>
  <c r="C38" i="9"/>
  <c r="C38" i="8"/>
  <c r="C38" i="10"/>
  <c r="C38" i="12"/>
  <c r="C38" i="11"/>
  <c r="C38" i="7"/>
  <c r="D32" i="12"/>
  <c r="D32" i="11"/>
  <c r="D32" i="7"/>
  <c r="D26" i="10"/>
  <c r="D28" i="8"/>
  <c r="B29" i="9"/>
  <c r="E29" i="9" s="1"/>
  <c r="B29" i="10"/>
  <c r="E29" i="10" s="1"/>
  <c r="B29" i="7"/>
  <c r="E29" i="7" s="1"/>
  <c r="B29" i="8"/>
  <c r="E29" i="8" s="1"/>
  <c r="B29" i="11"/>
  <c r="E29" i="11" s="1"/>
  <c r="BG29" i="11" s="1"/>
  <c r="B29" i="5"/>
  <c r="E29" i="5" s="1"/>
  <c r="B29" i="12"/>
  <c r="E29" i="12" s="1"/>
  <c r="C24" i="9"/>
  <c r="C24" i="8"/>
  <c r="C24" i="7"/>
  <c r="C24" i="10"/>
  <c r="C24" i="11"/>
  <c r="C24" i="12"/>
  <c r="C24" i="5"/>
  <c r="D18" i="12"/>
  <c r="D18" i="11"/>
  <c r="D18" i="7"/>
  <c r="D26" i="9"/>
  <c r="D50" i="11"/>
  <c r="D50" i="12"/>
  <c r="D46" i="8"/>
  <c r="D50" i="7"/>
  <c r="D44" i="10"/>
  <c r="B47" i="8"/>
  <c r="E47" i="8" s="1"/>
  <c r="B47" i="7"/>
  <c r="E47" i="7" s="1"/>
  <c r="B47" i="12"/>
  <c r="E47" i="12" s="1"/>
  <c r="B47" i="10"/>
  <c r="E47" i="10" s="1"/>
  <c r="B47" i="5"/>
  <c r="E47" i="5" s="1"/>
  <c r="B47" i="11"/>
  <c r="E47" i="11" s="1"/>
  <c r="C57" i="9"/>
  <c r="C57" i="5"/>
  <c r="C57" i="8"/>
  <c r="C57" i="11"/>
  <c r="C57" i="7"/>
  <c r="C57" i="12"/>
  <c r="C57" i="10"/>
  <c r="B52" i="9"/>
  <c r="E52" i="9" s="1"/>
  <c r="B52" i="12"/>
  <c r="E52" i="12" s="1"/>
  <c r="Z52" i="12" s="1"/>
  <c r="B52" i="10"/>
  <c r="E52" i="10" s="1"/>
  <c r="B52" i="5"/>
  <c r="E52" i="5" s="1"/>
  <c r="B52" i="11"/>
  <c r="E52" i="11" s="1"/>
  <c r="AK52" i="11" s="1"/>
  <c r="B52" i="8"/>
  <c r="E52" i="8" s="1"/>
  <c r="B52" i="7"/>
  <c r="E52" i="7" s="1"/>
  <c r="B70" i="9"/>
  <c r="E70" i="9" s="1"/>
  <c r="B70" i="7"/>
  <c r="E70" i="7" s="1"/>
  <c r="B70" i="5"/>
  <c r="E70" i="5" s="1"/>
  <c r="W70" i="5" s="1"/>
  <c r="B70" i="12"/>
  <c r="E70" i="12" s="1"/>
  <c r="B70" i="10"/>
  <c r="E70" i="10" s="1"/>
  <c r="X70" i="10" s="1"/>
  <c r="B70" i="11"/>
  <c r="E70" i="11" s="1"/>
  <c r="B70" i="8"/>
  <c r="E70" i="8" s="1"/>
  <c r="B65" i="9"/>
  <c r="E65" i="9" s="1"/>
  <c r="B65" i="12"/>
  <c r="E65" i="12" s="1"/>
  <c r="B65" i="7"/>
  <c r="E65" i="7" s="1"/>
  <c r="P65" i="7" s="1"/>
  <c r="B65" i="11"/>
  <c r="E65" i="11" s="1"/>
  <c r="AS65" i="11" s="1"/>
  <c r="B65" i="5"/>
  <c r="E65" i="5" s="1"/>
  <c r="B65" i="8"/>
  <c r="E65" i="8" s="1"/>
  <c r="B65" i="10"/>
  <c r="E65" i="10" s="1"/>
  <c r="D35" i="9"/>
  <c r="D59" i="11"/>
  <c r="D59" i="7"/>
  <c r="D53" i="10"/>
  <c r="D59" i="12"/>
  <c r="D55" i="8"/>
  <c r="B31" i="9"/>
  <c r="E31" i="9" s="1"/>
  <c r="B31" i="12"/>
  <c r="E31" i="12" s="1"/>
  <c r="B31" i="10"/>
  <c r="E31" i="10" s="1"/>
  <c r="B31" i="7"/>
  <c r="E31" i="7" s="1"/>
  <c r="B31" i="11"/>
  <c r="E31" i="11" s="1"/>
  <c r="B31" i="8"/>
  <c r="E31" i="8" s="1"/>
  <c r="B31" i="5"/>
  <c r="E31" i="5" s="1"/>
  <c r="D24" i="7"/>
  <c r="D24" i="11"/>
  <c r="D18" i="10"/>
  <c r="D24" i="12"/>
  <c r="D20" i="8"/>
  <c r="D34" i="12"/>
  <c r="D34" i="11"/>
  <c r="D34" i="7"/>
  <c r="D28" i="10"/>
  <c r="D30" i="8"/>
  <c r="C59" i="9"/>
  <c r="C59" i="8"/>
  <c r="C59" i="7"/>
  <c r="C59" i="10"/>
  <c r="C59" i="11"/>
  <c r="C59" i="12"/>
  <c r="C40" i="5"/>
  <c r="C62" i="9"/>
  <c r="C62" i="11"/>
  <c r="C62" i="10"/>
  <c r="C62" i="5"/>
  <c r="C62" i="12"/>
  <c r="C62" i="7"/>
  <c r="C62" i="8"/>
  <c r="C35" i="9"/>
  <c r="C35" i="5"/>
  <c r="C35" i="12"/>
  <c r="C35" i="8"/>
  <c r="C35" i="10"/>
  <c r="C35" i="7"/>
  <c r="C35" i="11"/>
  <c r="C30" i="9"/>
  <c r="C30" i="12"/>
  <c r="C30" i="11"/>
  <c r="C30" i="8"/>
  <c r="C30" i="10"/>
  <c r="C30" i="7"/>
  <c r="C30" i="5"/>
  <c r="D27" i="12"/>
  <c r="D27" i="11"/>
  <c r="D27" i="7"/>
  <c r="D21" i="10"/>
  <c r="D23" i="8"/>
  <c r="C60" i="9"/>
  <c r="C60" i="12"/>
  <c r="C60" i="11"/>
  <c r="C60" i="7"/>
  <c r="C60" i="10"/>
  <c r="C42" i="5"/>
  <c r="C60" i="8"/>
  <c r="D36" i="11"/>
  <c r="D36" i="12"/>
  <c r="D36" i="7"/>
  <c r="D32" i="8"/>
  <c r="D30" i="10"/>
  <c r="D22" i="11"/>
  <c r="D22" i="12"/>
  <c r="D18" i="8"/>
  <c r="D22" i="7"/>
  <c r="B51" i="9"/>
  <c r="E51" i="9" s="1"/>
  <c r="B51" i="12"/>
  <c r="E51" i="12" s="1"/>
  <c r="B51" i="11"/>
  <c r="E51" i="11" s="1"/>
  <c r="B51" i="5"/>
  <c r="E51" i="5" s="1"/>
  <c r="O51" i="5" s="1"/>
  <c r="B51" i="8"/>
  <c r="E51" i="8" s="1"/>
  <c r="B51" i="7"/>
  <c r="E51" i="7" s="1"/>
  <c r="B51" i="10"/>
  <c r="E51" i="10" s="1"/>
  <c r="BA51" i="10" s="1"/>
  <c r="B42" i="9"/>
  <c r="E42" i="9" s="1"/>
  <c r="B42" i="7"/>
  <c r="E42" i="7" s="1"/>
  <c r="AA42" i="7" s="1"/>
  <c r="B23" i="5"/>
  <c r="E23" i="5" s="1"/>
  <c r="B42" i="12"/>
  <c r="E42" i="12" s="1"/>
  <c r="AG42" i="12" s="1"/>
  <c r="B42" i="10"/>
  <c r="E42" i="10" s="1"/>
  <c r="B42" i="11"/>
  <c r="E42" i="11" s="1"/>
  <c r="S42" i="11" s="1"/>
  <c r="B42" i="8"/>
  <c r="E42" i="8" s="1"/>
  <c r="C37" i="9"/>
  <c r="C37" i="12"/>
  <c r="C37" i="7"/>
  <c r="C37" i="11"/>
  <c r="C37" i="5"/>
  <c r="C37" i="8"/>
  <c r="C37" i="10"/>
  <c r="D31" i="11"/>
  <c r="D31" i="7"/>
  <c r="D25" i="10"/>
  <c r="D27" i="8"/>
  <c r="D31" i="12"/>
  <c r="B28" i="9"/>
  <c r="E28" i="9" s="1"/>
  <c r="B28" i="12"/>
  <c r="E28" i="12" s="1"/>
  <c r="AR28" i="12" s="1"/>
  <c r="B28" i="11"/>
  <c r="E28" i="11" s="1"/>
  <c r="AT28" i="11" s="1"/>
  <c r="B28" i="10"/>
  <c r="E28" i="10" s="1"/>
  <c r="AD28" i="10" s="1"/>
  <c r="B28" i="7"/>
  <c r="E28" i="7" s="1"/>
  <c r="BC28" i="7" s="1"/>
  <c r="B28" i="5"/>
  <c r="E28" i="5" s="1"/>
  <c r="B28" i="8"/>
  <c r="E28" i="8" s="1"/>
  <c r="C23" i="9"/>
  <c r="C23" i="12"/>
  <c r="C23" i="11"/>
  <c r="C23" i="8"/>
  <c r="C23" i="10"/>
  <c r="C50" i="5"/>
  <c r="C23" i="7"/>
  <c r="D25" i="9"/>
  <c r="D49" i="7"/>
  <c r="D43" i="10"/>
  <c r="D45" i="8"/>
  <c r="D49" i="12"/>
  <c r="D49" i="11"/>
  <c r="B46" i="9"/>
  <c r="E46" i="9" s="1"/>
  <c r="B46" i="12"/>
  <c r="E46" i="12" s="1"/>
  <c r="AR46" i="12" s="1"/>
  <c r="B46" i="11"/>
  <c r="E46" i="11" s="1"/>
  <c r="B46" i="10"/>
  <c r="E46" i="10" s="1"/>
  <c r="B46" i="7"/>
  <c r="E46" i="7" s="1"/>
  <c r="AT46" i="7" s="1"/>
  <c r="B46" i="8"/>
  <c r="E46" i="8" s="1"/>
  <c r="B46" i="5"/>
  <c r="E46" i="5" s="1"/>
  <c r="V46" i="5" s="1"/>
  <c r="C56" i="9"/>
  <c r="C56" i="5"/>
  <c r="C56" i="12"/>
  <c r="C56" i="8"/>
  <c r="C56" i="10"/>
  <c r="C56" i="11"/>
  <c r="C56" i="7"/>
  <c r="B69" i="11"/>
  <c r="E69" i="11" s="1"/>
  <c r="AB69" i="11" s="1"/>
  <c r="B69" i="10"/>
  <c r="E69" i="10" s="1"/>
  <c r="AK69" i="10" s="1"/>
  <c r="B69" i="8"/>
  <c r="E69" i="8" s="1"/>
  <c r="B49" i="5"/>
  <c r="E49" i="5" s="1"/>
  <c r="B69" i="12"/>
  <c r="E69" i="12" s="1"/>
  <c r="AS69" i="12" s="1"/>
  <c r="B69" i="7"/>
  <c r="E69" i="7" s="1"/>
  <c r="T69" i="7" s="1"/>
  <c r="B64" i="9"/>
  <c r="E64" i="9" s="1"/>
  <c r="B64" i="10"/>
  <c r="E64" i="10" s="1"/>
  <c r="AG64" i="10" s="1"/>
  <c r="B64" i="8"/>
  <c r="E64" i="8" s="1"/>
  <c r="B64" i="11"/>
  <c r="E64" i="11" s="1"/>
  <c r="AO64" i="11" s="1"/>
  <c r="B59" i="5"/>
  <c r="E59" i="5" s="1"/>
  <c r="B64" i="12"/>
  <c r="E64" i="12" s="1"/>
  <c r="B64" i="7"/>
  <c r="E64" i="7" s="1"/>
  <c r="AY64" i="7" s="1"/>
  <c r="D26" i="7"/>
  <c r="D20" i="10"/>
  <c r="D22" i="8"/>
  <c r="D26" i="12"/>
  <c r="D26" i="11"/>
  <c r="C18" i="9"/>
  <c r="C18" i="12"/>
  <c r="C18" i="11"/>
  <c r="C18" i="10"/>
  <c r="C18" i="7"/>
  <c r="C18" i="5"/>
  <c r="C18" i="8"/>
  <c r="C50" i="9"/>
  <c r="C33" i="5"/>
  <c r="C50" i="8"/>
  <c r="C50" i="7"/>
  <c r="C50" i="11"/>
  <c r="C50" i="10"/>
  <c r="C50" i="12"/>
  <c r="D20" i="9"/>
  <c r="D38" i="10"/>
  <c r="D44" i="12"/>
  <c r="D44" i="11"/>
  <c r="D40" i="8"/>
  <c r="D44" i="7"/>
  <c r="B56" i="5"/>
  <c r="E56" i="5" s="1"/>
  <c r="AH56" i="5" s="1"/>
  <c r="B56" i="12"/>
  <c r="E56" i="12" s="1"/>
  <c r="B56" i="10"/>
  <c r="E56" i="10" s="1"/>
  <c r="AF56" i="10" s="1"/>
  <c r="B56" i="11"/>
  <c r="E56" i="11" s="1"/>
  <c r="BF56" i="11" s="1"/>
  <c r="B56" i="7"/>
  <c r="E56" i="7" s="1"/>
  <c r="B56" i="8"/>
  <c r="E56" i="8" s="1"/>
  <c r="D30" i="9"/>
  <c r="D54" i="7"/>
  <c r="D48" i="10"/>
  <c r="D50" i="8"/>
  <c r="D54" i="12"/>
  <c r="D54" i="11"/>
  <c r="D43" i="9"/>
  <c r="D67" i="12"/>
  <c r="D67" i="11"/>
  <c r="D61" i="10"/>
  <c r="D63" i="8"/>
  <c r="D67" i="7"/>
  <c r="D38" i="9"/>
  <c r="D62" i="12"/>
  <c r="D62" i="11"/>
  <c r="D62" i="7"/>
  <c r="D58" i="8"/>
  <c r="D56" i="10"/>
  <c r="D46" i="9"/>
  <c r="D64" i="10"/>
  <c r="D66" i="8"/>
  <c r="D70" i="7"/>
  <c r="D70" i="11"/>
  <c r="D70" i="12"/>
  <c r="B40" i="9"/>
  <c r="E40" i="9" s="1"/>
  <c r="B40" i="7"/>
  <c r="E40" i="7" s="1"/>
  <c r="AK40" i="7" s="1"/>
  <c r="B40" i="11"/>
  <c r="E40" i="11" s="1"/>
  <c r="AH40" i="11" s="1"/>
  <c r="B40" i="8"/>
  <c r="E40" i="8" s="1"/>
  <c r="B55" i="5"/>
  <c r="E55" i="5" s="1"/>
  <c r="B40" i="10"/>
  <c r="E40" i="10" s="1"/>
  <c r="AT40" i="10" s="1"/>
  <c r="B40" i="12"/>
  <c r="E40" i="12" s="1"/>
  <c r="BF40" i="12" s="1"/>
  <c r="C44" i="9"/>
  <c r="C44" i="7"/>
  <c r="C44" i="12"/>
  <c r="C44" i="11"/>
  <c r="C44" i="5"/>
  <c r="C44" i="8"/>
  <c r="C44" i="10"/>
  <c r="B37" i="9"/>
  <c r="E37" i="9" s="1"/>
  <c r="B37" i="12"/>
  <c r="E37" i="12" s="1"/>
  <c r="B37" i="7"/>
  <c r="E37" i="7" s="1"/>
  <c r="BB37" i="7" s="1"/>
  <c r="B37" i="11"/>
  <c r="E37" i="11" s="1"/>
  <c r="B37" i="5"/>
  <c r="E37" i="5" s="1"/>
  <c r="B37" i="8"/>
  <c r="E37" i="8" s="1"/>
  <c r="B37" i="10"/>
  <c r="E37" i="10" s="1"/>
  <c r="C71" i="9"/>
  <c r="C71" i="5"/>
  <c r="C71" i="8"/>
  <c r="C71" i="11"/>
  <c r="C71" i="12"/>
  <c r="C71" i="7"/>
  <c r="C71" i="10"/>
  <c r="B21" i="9"/>
  <c r="E21" i="9" s="1"/>
  <c r="B21" i="12"/>
  <c r="E21" i="12" s="1"/>
  <c r="AN21" i="12" s="1"/>
  <c r="B21" i="7"/>
  <c r="E21" i="7" s="1"/>
  <c r="B21" i="10"/>
  <c r="E21" i="10" s="1"/>
  <c r="AX21" i="10" s="1"/>
  <c r="B21" i="5"/>
  <c r="E21" i="5" s="1"/>
  <c r="B21" i="11"/>
  <c r="E21" i="11" s="1"/>
  <c r="B21" i="8"/>
  <c r="E21" i="8" s="1"/>
  <c r="D21" i="9"/>
  <c r="D45" i="11"/>
  <c r="D45" i="12"/>
  <c r="D39" i="10"/>
  <c r="D41" i="8"/>
  <c r="D45" i="7"/>
  <c r="D34" i="10"/>
  <c r="D36" i="8"/>
  <c r="D40" i="12"/>
  <c r="D40" i="11"/>
  <c r="D40" i="7"/>
  <c r="B71" i="9"/>
  <c r="E71" i="9" s="1"/>
  <c r="B71" i="10"/>
  <c r="E71" i="10" s="1"/>
  <c r="P71" i="10" s="1"/>
  <c r="B71" i="8"/>
  <c r="E71" i="8" s="1"/>
  <c r="B71" i="11"/>
  <c r="E71" i="11" s="1"/>
  <c r="B71" i="5"/>
  <c r="E71" i="5" s="1"/>
  <c r="AC71" i="5" s="1"/>
  <c r="B71" i="12"/>
  <c r="E71" i="12" s="1"/>
  <c r="B71" i="7"/>
  <c r="E71" i="7" s="1"/>
  <c r="Q71" i="7" s="1"/>
  <c r="C26" i="9"/>
  <c r="C26" i="8"/>
  <c r="C26" i="12"/>
  <c r="C26" i="7"/>
  <c r="C26" i="5"/>
  <c r="C26" i="11"/>
  <c r="C26" i="10"/>
  <c r="B54" i="7"/>
  <c r="E54" i="7" s="1"/>
  <c r="O54" i="7" s="1"/>
  <c r="B54" i="8"/>
  <c r="E54" i="8" s="1"/>
  <c r="B54" i="5"/>
  <c r="E54" i="5" s="1"/>
  <c r="AC54" i="5" s="1"/>
  <c r="B54" i="12"/>
  <c r="E54" i="12" s="1"/>
  <c r="B54" i="11"/>
  <c r="E54" i="11" s="1"/>
  <c r="S54" i="11" s="1"/>
  <c r="B54" i="10"/>
  <c r="E54" i="10" s="1"/>
  <c r="D19" i="9"/>
  <c r="D43" i="11"/>
  <c r="D43" i="12"/>
  <c r="D39" i="8"/>
  <c r="D43" i="7"/>
  <c r="D37" i="10"/>
  <c r="C21" i="9"/>
  <c r="C21" i="12"/>
  <c r="C21" i="8"/>
  <c r="C21" i="7"/>
  <c r="C21" i="10"/>
  <c r="C21" i="5"/>
  <c r="C21" i="11"/>
  <c r="D23" i="9"/>
  <c r="D47" i="7"/>
  <c r="D41" i="10"/>
  <c r="D43" i="8"/>
  <c r="D47" i="12"/>
  <c r="D47" i="11"/>
  <c r="D28" i="9"/>
  <c r="D52" i="7"/>
  <c r="D52" i="11"/>
  <c r="D46" i="10"/>
  <c r="D48" i="8"/>
  <c r="D52" i="12"/>
  <c r="D41" i="9"/>
  <c r="D59" i="10"/>
  <c r="D65" i="12"/>
  <c r="D65" i="7"/>
  <c r="D61" i="8"/>
  <c r="D65" i="11"/>
  <c r="B35" i="9"/>
  <c r="E35" i="9" s="1"/>
  <c r="B35" i="12"/>
  <c r="E35" i="12" s="1"/>
  <c r="R35" i="12" s="1"/>
  <c r="B35" i="7"/>
  <c r="E35" i="7" s="1"/>
  <c r="AR35" i="7" s="1"/>
  <c r="B35" i="10"/>
  <c r="E35" i="10" s="1"/>
  <c r="B35" i="5"/>
  <c r="E35" i="5" s="1"/>
  <c r="B35" i="11"/>
  <c r="E35" i="11" s="1"/>
  <c r="B35" i="8"/>
  <c r="E35" i="8" s="1"/>
  <c r="D41" i="12"/>
  <c r="D41" i="11"/>
  <c r="D41" i="7"/>
  <c r="D35" i="10"/>
  <c r="D37" i="8"/>
  <c r="B38" i="9"/>
  <c r="E38" i="9" s="1"/>
  <c r="B38" i="12"/>
  <c r="E38" i="12" s="1"/>
  <c r="BG38" i="12" s="1"/>
  <c r="B38" i="10"/>
  <c r="E38" i="10" s="1"/>
  <c r="T38" i="10" s="1"/>
  <c r="B38" i="11"/>
  <c r="E38" i="11" s="1"/>
  <c r="B38" i="8"/>
  <c r="E38" i="8" s="1"/>
  <c r="B38" i="7"/>
  <c r="E38" i="7" s="1"/>
  <c r="C33" i="9"/>
  <c r="C33" i="8"/>
  <c r="C69" i="5"/>
  <c r="C33" i="12"/>
  <c r="C33" i="11"/>
  <c r="C33" i="7"/>
  <c r="C33" i="10"/>
  <c r="B24" i="9"/>
  <c r="E24" i="9" s="1"/>
  <c r="B24" i="12"/>
  <c r="E24" i="12" s="1"/>
  <c r="BB24" i="12" s="1"/>
  <c r="B24" i="10"/>
  <c r="E24" i="10" s="1"/>
  <c r="B24" i="11"/>
  <c r="E24" i="11" s="1"/>
  <c r="B24" i="7"/>
  <c r="E24" i="7" s="1"/>
  <c r="B24" i="8"/>
  <c r="E24" i="8" s="1"/>
  <c r="B24" i="5"/>
  <c r="E24" i="5" s="1"/>
  <c r="AW24" i="5" s="1"/>
  <c r="C19" i="9"/>
  <c r="C19" i="8"/>
  <c r="C19" i="7"/>
  <c r="C19" i="12"/>
  <c r="C19" i="5"/>
  <c r="C19" i="11"/>
  <c r="C19" i="10"/>
  <c r="C51" i="9"/>
  <c r="C51" i="12"/>
  <c r="C51" i="11"/>
  <c r="C51" i="5"/>
  <c r="C51" i="8"/>
  <c r="C51" i="7"/>
  <c r="C51" i="10"/>
  <c r="B57" i="9"/>
  <c r="E57" i="9" s="1"/>
  <c r="B57" i="10"/>
  <c r="E57" i="10" s="1"/>
  <c r="B57" i="7"/>
  <c r="E57" i="7" s="1"/>
  <c r="B57" i="8"/>
  <c r="E57" i="8" s="1"/>
  <c r="B57" i="11"/>
  <c r="E57" i="11" s="1"/>
  <c r="B57" i="12"/>
  <c r="E57" i="12" s="1"/>
  <c r="AG57" i="12" s="1"/>
  <c r="B57" i="5"/>
  <c r="E57" i="5" s="1"/>
  <c r="D44" i="9"/>
  <c r="D62" i="10"/>
  <c r="D64" i="8"/>
  <c r="D68" i="12"/>
  <c r="D68" i="11"/>
  <c r="D68" i="7"/>
  <c r="D39" i="9"/>
  <c r="D57" i="10"/>
  <c r="D59" i="8"/>
  <c r="D63" i="11"/>
  <c r="D63" i="12"/>
  <c r="D63" i="7"/>
  <c r="C42" i="9"/>
  <c r="C23" i="5"/>
  <c r="C42" i="7"/>
  <c r="C42" i="12"/>
  <c r="C42" i="8"/>
  <c r="C42" i="10"/>
  <c r="C42" i="11"/>
  <c r="B33" i="9"/>
  <c r="E33" i="9" s="1"/>
  <c r="B69" i="5"/>
  <c r="E69" i="5" s="1"/>
  <c r="B33" i="11"/>
  <c r="E33" i="11" s="1"/>
  <c r="AG33" i="11" s="1"/>
  <c r="B33" i="8"/>
  <c r="E33" i="8" s="1"/>
  <c r="B33" i="7"/>
  <c r="E33" i="7" s="1"/>
  <c r="B33" i="12"/>
  <c r="E33" i="12" s="1"/>
  <c r="B33" i="10"/>
  <c r="E33" i="10" s="1"/>
  <c r="C28" i="9"/>
  <c r="C28" i="12"/>
  <c r="C28" i="8"/>
  <c r="C28" i="11"/>
  <c r="C28" i="10"/>
  <c r="C28" i="5"/>
  <c r="C28" i="7"/>
  <c r="B19" i="9"/>
  <c r="E19" i="9" s="1"/>
  <c r="B19" i="11"/>
  <c r="E19" i="11" s="1"/>
  <c r="B19" i="8"/>
  <c r="E19" i="8" s="1"/>
  <c r="B19" i="12"/>
  <c r="E19" i="12" s="1"/>
  <c r="B19" i="5"/>
  <c r="E19" i="5" s="1"/>
  <c r="AK19" i="5" s="1"/>
  <c r="B19" i="7"/>
  <c r="E19" i="7" s="1"/>
  <c r="B19" i="10"/>
  <c r="E19" i="10" s="1"/>
  <c r="C46" i="9"/>
  <c r="C46" i="12"/>
  <c r="C46" i="11"/>
  <c r="C46" i="10"/>
  <c r="C46" i="7"/>
  <c r="C46" i="5"/>
  <c r="C46" i="8"/>
  <c r="D31" i="9"/>
  <c r="D55" i="12"/>
  <c r="D55" i="11"/>
  <c r="D55" i="7"/>
  <c r="D49" i="10"/>
  <c r="D51" i="8"/>
  <c r="C69" i="9"/>
  <c r="C69" i="11"/>
  <c r="C69" i="10"/>
  <c r="C49" i="5"/>
  <c r="C69" i="12"/>
  <c r="C69" i="7"/>
  <c r="C69" i="8"/>
  <c r="C64" i="9"/>
  <c r="C59" i="5"/>
  <c r="C64" i="8"/>
  <c r="C64" i="7"/>
  <c r="C64" i="11"/>
  <c r="C64" i="10"/>
  <c r="C64" i="12"/>
  <c r="B60" i="9"/>
  <c r="E60" i="9" s="1"/>
  <c r="B60" i="12"/>
  <c r="E60" i="12" s="1"/>
  <c r="B60" i="11"/>
  <c r="E60" i="11" s="1"/>
  <c r="B60" i="7"/>
  <c r="E60" i="7" s="1"/>
  <c r="AW60" i="7" s="1"/>
  <c r="B60" i="10"/>
  <c r="E60" i="10" s="1"/>
  <c r="AR60" i="10" s="1"/>
  <c r="B42" i="5"/>
  <c r="E42" i="5" s="1"/>
  <c r="B60" i="8"/>
  <c r="E60" i="8" s="1"/>
  <c r="C32" i="9"/>
  <c r="C32" i="12"/>
  <c r="C32" i="11"/>
  <c r="C32" i="7"/>
  <c r="C32" i="10"/>
  <c r="C53" i="5"/>
  <c r="C32" i="8"/>
  <c r="B23" i="9"/>
  <c r="E23" i="9" s="1"/>
  <c r="B23" i="12"/>
  <c r="E23" i="12" s="1"/>
  <c r="AG23" i="12" s="1"/>
  <c r="B23" i="11"/>
  <c r="E23" i="11" s="1"/>
  <c r="B23" i="8"/>
  <c r="E23" i="8" s="1"/>
  <c r="B23" i="7"/>
  <c r="E23" i="7" s="1"/>
  <c r="Z23" i="7" s="1"/>
  <c r="B23" i="10"/>
  <c r="E23" i="10" s="1"/>
  <c r="AA23" i="10" s="1"/>
  <c r="B50" i="5"/>
  <c r="E50" i="5" s="1"/>
  <c r="C41" i="9"/>
  <c r="C41" i="11"/>
  <c r="C41" i="10"/>
  <c r="C41" i="5"/>
  <c r="C41" i="12"/>
  <c r="C41" i="8"/>
  <c r="C41" i="7"/>
  <c r="D29" i="10"/>
  <c r="D31" i="8"/>
  <c r="D35" i="11"/>
  <c r="D35" i="7"/>
  <c r="D35" i="12"/>
  <c r="B32" i="9"/>
  <c r="E32" i="9" s="1"/>
  <c r="B32" i="12"/>
  <c r="E32" i="12" s="1"/>
  <c r="BD32" i="12" s="1"/>
  <c r="B32" i="11"/>
  <c r="E32" i="11" s="1"/>
  <c r="B32" i="7"/>
  <c r="E32" i="7" s="1"/>
  <c r="B32" i="10"/>
  <c r="E32" i="10" s="1"/>
  <c r="B53" i="5"/>
  <c r="E53" i="5" s="1"/>
  <c r="B32" i="8"/>
  <c r="E32" i="8" s="1"/>
  <c r="C27" i="9"/>
  <c r="C27" i="11"/>
  <c r="C27" i="10"/>
  <c r="C27" i="7"/>
  <c r="C27" i="12"/>
  <c r="C27" i="5"/>
  <c r="C27" i="8"/>
  <c r="D21" i="7"/>
  <c r="D21" i="11"/>
  <c r="D21" i="12"/>
  <c r="B18" i="9"/>
  <c r="E18" i="9" s="1"/>
  <c r="B18" i="12"/>
  <c r="E18" i="12" s="1"/>
  <c r="AK18" i="12" s="1"/>
  <c r="B18" i="11"/>
  <c r="E18" i="11" s="1"/>
  <c r="B18" i="10"/>
  <c r="E18" i="10" s="1"/>
  <c r="B18" i="7"/>
  <c r="E18" i="7" s="1"/>
  <c r="AW18" i="7" s="1"/>
  <c r="B18" i="5"/>
  <c r="E18" i="5" s="1"/>
  <c r="BB18" i="5" s="1"/>
  <c r="B18" i="8"/>
  <c r="E18" i="8" s="1"/>
  <c r="B50" i="9"/>
  <c r="E50" i="9" s="1"/>
  <c r="B50" i="10"/>
  <c r="E50" i="10" s="1"/>
  <c r="B50" i="8"/>
  <c r="E50" i="8" s="1"/>
  <c r="B50" i="7"/>
  <c r="E50" i="7" s="1"/>
  <c r="V50" i="7" s="1"/>
  <c r="B50" i="11"/>
  <c r="E50" i="11" s="1"/>
  <c r="AG50" i="11" s="1"/>
  <c r="B50" i="12"/>
  <c r="E50" i="12" s="1"/>
  <c r="AO50" i="12" s="1"/>
  <c r="B33" i="5"/>
  <c r="E33" i="5" s="1"/>
  <c r="C45" i="9"/>
  <c r="C45" i="8"/>
  <c r="C45" i="7"/>
  <c r="C45" i="10"/>
  <c r="C45" i="12"/>
  <c r="C45" i="11"/>
  <c r="C45" i="5"/>
  <c r="C55" i="9"/>
  <c r="C55" i="11"/>
  <c r="C55" i="10"/>
  <c r="C55" i="7"/>
  <c r="C67" i="5"/>
  <c r="C55" i="12"/>
  <c r="C55" i="8"/>
  <c r="C68" i="9"/>
  <c r="C68" i="8"/>
  <c r="C68" i="5"/>
  <c r="C68" i="11"/>
  <c r="C68" i="12"/>
  <c r="C68" i="10"/>
  <c r="C68" i="7"/>
  <c r="C63" i="9"/>
  <c r="C63" i="5"/>
  <c r="C63" i="12"/>
  <c r="C63" i="8"/>
  <c r="C63" i="11"/>
  <c r="C63" i="10"/>
  <c r="C63" i="7"/>
  <c r="B41" i="9"/>
  <c r="E41" i="9" s="1"/>
  <c r="B41" i="11"/>
  <c r="E41" i="11" s="1"/>
  <c r="B41" i="10"/>
  <c r="E41" i="10" s="1"/>
  <c r="B41" i="8"/>
  <c r="E41" i="8" s="1"/>
  <c r="B41" i="5"/>
  <c r="E41" i="5" s="1"/>
  <c r="B41" i="12"/>
  <c r="E41" i="12" s="1"/>
  <c r="V41" i="12" s="1"/>
  <c r="B41" i="7"/>
  <c r="E41" i="7" s="1"/>
  <c r="AB41" i="7" s="1"/>
  <c r="C36" i="9"/>
  <c r="C36" i="8"/>
  <c r="C36" i="7"/>
  <c r="C36" i="5"/>
  <c r="C36" i="11"/>
  <c r="C36" i="12"/>
  <c r="C36" i="10"/>
  <c r="D24" i="10"/>
  <c r="D30" i="12"/>
  <c r="D26" i="8"/>
  <c r="D30" i="11"/>
  <c r="D30" i="7"/>
  <c r="B27" i="9"/>
  <c r="E27" i="9" s="1"/>
  <c r="B27" i="11"/>
  <c r="E27" i="11" s="1"/>
  <c r="B27" i="10"/>
  <c r="E27" i="10" s="1"/>
  <c r="B27" i="7"/>
  <c r="E27" i="7" s="1"/>
  <c r="B27" i="8"/>
  <c r="E27" i="8" s="1"/>
  <c r="B27" i="12"/>
  <c r="E27" i="12" s="1"/>
  <c r="B27" i="5"/>
  <c r="E27" i="5" s="1"/>
  <c r="C22" i="9"/>
  <c r="C22" i="10"/>
  <c r="C22" i="8"/>
  <c r="C22" i="7"/>
  <c r="C22" i="11"/>
  <c r="C22" i="5"/>
  <c r="C22" i="12"/>
  <c r="D24" i="9"/>
  <c r="D48" i="12"/>
  <c r="D48" i="11"/>
  <c r="D42" i="10"/>
  <c r="D44" i="8"/>
  <c r="D48" i="7"/>
  <c r="B45" i="7"/>
  <c r="E45" i="7" s="1"/>
  <c r="B45" i="12"/>
  <c r="E45" i="12" s="1"/>
  <c r="BC45" i="12" s="1"/>
  <c r="B45" i="10"/>
  <c r="E45" i="10" s="1"/>
  <c r="AE45" i="10" s="1"/>
  <c r="B45" i="11"/>
  <c r="E45" i="11" s="1"/>
  <c r="AW45" i="11" s="1"/>
  <c r="B45" i="8"/>
  <c r="E45" i="8" s="1"/>
  <c r="B45" i="5"/>
  <c r="E45" i="5" s="1"/>
  <c r="B55" i="11"/>
  <c r="E55" i="11" s="1"/>
  <c r="AQ55" i="11" s="1"/>
  <c r="B55" i="10"/>
  <c r="E55" i="10" s="1"/>
  <c r="B55" i="7"/>
  <c r="E55" i="7" s="1"/>
  <c r="AX55" i="7" s="1"/>
  <c r="B55" i="8"/>
  <c r="E55" i="8" s="1"/>
  <c r="B67" i="5"/>
  <c r="AX67" i="5" s="1"/>
  <c r="B55" i="12"/>
  <c r="E55" i="12" s="1"/>
  <c r="D29" i="9"/>
  <c r="D53" i="12"/>
  <c r="D53" i="11"/>
  <c r="D47" i="10"/>
  <c r="D49" i="8"/>
  <c r="D53" i="7"/>
  <c r="B68" i="9"/>
  <c r="E68" i="9" s="1"/>
  <c r="B68" i="7"/>
  <c r="E68" i="7" s="1"/>
  <c r="B68" i="8"/>
  <c r="E68" i="8" s="1"/>
  <c r="B68" i="5"/>
  <c r="E68" i="5" s="1"/>
  <c r="B68" i="11"/>
  <c r="E68" i="11" s="1"/>
  <c r="B68" i="12"/>
  <c r="E68" i="12" s="1"/>
  <c r="B68" i="10"/>
  <c r="E68" i="10" s="1"/>
  <c r="D42" i="9"/>
  <c r="D66" i="11"/>
  <c r="D66" i="7"/>
  <c r="D66" i="12"/>
  <c r="D60" i="10"/>
  <c r="D62" i="8"/>
  <c r="B63" i="9"/>
  <c r="E63" i="9" s="1"/>
  <c r="AE63" i="9" s="1"/>
  <c r="B63" i="5"/>
  <c r="E63" i="5" s="1"/>
  <c r="B63" i="12"/>
  <c r="E63" i="12" s="1"/>
  <c r="B63" i="7"/>
  <c r="E63" i="7" s="1"/>
  <c r="B63" i="11"/>
  <c r="E63" i="11" s="1"/>
  <c r="B63" i="10"/>
  <c r="E63" i="10" s="1"/>
  <c r="AA63" i="10" s="1"/>
  <c r="B63" i="8"/>
  <c r="E63" i="8" s="1"/>
  <c r="D39" i="12"/>
  <c r="D39" i="11"/>
  <c r="D33" i="10"/>
  <c r="D35" i="8"/>
  <c r="D39" i="7"/>
  <c r="B36" i="9"/>
  <c r="E36" i="9" s="1"/>
  <c r="B36" i="10"/>
  <c r="E36" i="10" s="1"/>
  <c r="AS36" i="10" s="1"/>
  <c r="B36" i="8"/>
  <c r="E36" i="8" s="1"/>
  <c r="B36" i="11"/>
  <c r="E36" i="11" s="1"/>
  <c r="B36" i="5"/>
  <c r="E36" i="5" s="1"/>
  <c r="B36" i="7"/>
  <c r="E36" i="7" s="1"/>
  <c r="B36" i="12"/>
  <c r="E36" i="12" s="1"/>
  <c r="C31" i="9"/>
  <c r="C31" i="8"/>
  <c r="C31" i="7"/>
  <c r="C31" i="10"/>
  <c r="C31" i="12"/>
  <c r="C31" i="11"/>
  <c r="C31" i="5"/>
  <c r="D25" i="12"/>
  <c r="D25" i="11"/>
  <c r="D19" i="10"/>
  <c r="D21" i="8"/>
  <c r="D25" i="7"/>
  <c r="B22" i="9"/>
  <c r="E22" i="9" s="1"/>
  <c r="B22" i="10"/>
  <c r="E22" i="10" s="1"/>
  <c r="AT22" i="10" s="1"/>
  <c r="B22" i="8"/>
  <c r="E22" i="8" s="1"/>
  <c r="B22" i="7"/>
  <c r="E22" i="7" s="1"/>
  <c r="AL22" i="7" s="1"/>
  <c r="B22" i="11"/>
  <c r="E22" i="11" s="1"/>
  <c r="B22" i="5"/>
  <c r="E22" i="5" s="1"/>
  <c r="B22" i="12"/>
  <c r="E22" i="12" s="1"/>
  <c r="BD22" i="12" s="1"/>
  <c r="C49" i="9"/>
  <c r="C32" i="5"/>
  <c r="C49" i="12"/>
  <c r="C49" i="8"/>
  <c r="C49" i="7"/>
  <c r="C49" i="10"/>
  <c r="C49" i="11"/>
  <c r="D34" i="9"/>
  <c r="D52" i="10"/>
  <c r="D58" i="12"/>
  <c r="D58" i="7"/>
  <c r="D54" i="8"/>
  <c r="D58" i="11"/>
  <c r="C54" i="9"/>
  <c r="C54" i="8"/>
  <c r="C54" i="7"/>
  <c r="C54" i="5"/>
  <c r="C54" i="12"/>
  <c r="C54" i="11"/>
  <c r="C54" i="10"/>
  <c r="C67" i="9"/>
  <c r="C67" i="7"/>
  <c r="C67" i="12"/>
  <c r="C67" i="11"/>
  <c r="C67" i="10"/>
  <c r="C43" i="5"/>
  <c r="C67" i="8"/>
  <c r="D37" i="9"/>
  <c r="D55" i="10"/>
  <c r="D57" i="8"/>
  <c r="D61" i="12"/>
  <c r="D61" i="7"/>
  <c r="D61" i="11"/>
  <c r="BG20" i="5"/>
  <c r="V80" i="5"/>
  <c r="AW95" i="5"/>
  <c r="AN90" i="5"/>
  <c r="H90" i="5"/>
  <c r="O66" i="2"/>
  <c r="I46" i="2"/>
  <c r="BH90" i="5"/>
  <c r="X52" i="2"/>
  <c r="BO80" i="5"/>
  <c r="AX90" i="5"/>
  <c r="V90" i="5"/>
  <c r="BI90" i="5"/>
  <c r="BK80" i="5"/>
  <c r="AW90" i="5"/>
  <c r="AP90" i="5"/>
  <c r="Z90" i="5"/>
  <c r="N90" i="5"/>
  <c r="AT76" i="7"/>
  <c r="BF74" i="5"/>
  <c r="T90" i="5"/>
  <c r="R90" i="5"/>
  <c r="O90" i="5"/>
  <c r="O44" i="2"/>
  <c r="L90" i="5"/>
  <c r="AR90" i="5"/>
  <c r="AQ90" i="5"/>
  <c r="BE95" i="5"/>
  <c r="BO87" i="5"/>
  <c r="AA54" i="2"/>
  <c r="X69" i="2"/>
  <c r="BB90" i="5"/>
  <c r="BR90" i="5"/>
  <c r="O51" i="2"/>
  <c r="L63" i="2"/>
  <c r="O57" i="2"/>
  <c r="O68" i="2"/>
  <c r="K39" i="5"/>
  <c r="R63" i="2"/>
  <c r="G71" i="9"/>
  <c r="J39" i="5"/>
  <c r="I64" i="2"/>
  <c r="E61" i="2"/>
  <c r="B69" i="9"/>
  <c r="E69" i="9" s="1"/>
  <c r="R54" i="2"/>
  <c r="G62" i="9"/>
  <c r="R52" i="2"/>
  <c r="F60" i="9"/>
  <c r="AX76" i="11"/>
  <c r="E67" i="2"/>
  <c r="B75" i="9"/>
  <c r="E75" i="9" s="1"/>
  <c r="R65" i="2"/>
  <c r="G73" i="9"/>
  <c r="U80" i="5"/>
  <c r="L66" i="2"/>
  <c r="BQ80" i="5"/>
  <c r="R70" i="2"/>
  <c r="U56" i="2"/>
  <c r="M27" i="5"/>
  <c r="S77" i="7"/>
  <c r="BR76" i="10"/>
  <c r="I76" i="11"/>
  <c r="W80" i="5"/>
  <c r="L64" i="2"/>
  <c r="I66" i="2"/>
  <c r="AA67" i="2"/>
  <c r="R69" i="2"/>
  <c r="G77" i="9"/>
  <c r="BC77" i="7"/>
  <c r="AA76" i="12"/>
  <c r="O80" i="5"/>
  <c r="H80" i="5"/>
  <c r="R51" i="2"/>
  <c r="G59" i="9"/>
  <c r="R68" i="2"/>
  <c r="I58" i="2"/>
  <c r="AA66" i="2"/>
  <c r="R58" i="2"/>
  <c r="G66" i="9"/>
  <c r="M77" i="12"/>
  <c r="R55" i="5"/>
  <c r="AT77" i="7"/>
  <c r="BB101" i="5"/>
  <c r="R67" i="2"/>
  <c r="I69" i="2"/>
  <c r="BH72" i="7"/>
  <c r="M77" i="7"/>
  <c r="BI80" i="5"/>
  <c r="BR27" i="5"/>
  <c r="U69" i="2"/>
  <c r="AA69" i="2"/>
  <c r="AC55" i="5"/>
  <c r="AL90" i="5"/>
  <c r="AE90" i="5"/>
  <c r="Y90" i="5"/>
  <c r="AG80" i="5"/>
  <c r="BE27" i="5"/>
  <c r="R66" i="2"/>
  <c r="G74" i="9"/>
  <c r="Q55" i="5"/>
  <c r="BI76" i="7"/>
  <c r="AB80" i="5"/>
  <c r="BR80" i="5"/>
  <c r="BD80" i="5"/>
  <c r="R64" i="2"/>
  <c r="G72" i="9"/>
  <c r="R53" i="2"/>
  <c r="G61" i="9"/>
  <c r="BI95" i="5"/>
  <c r="AD77" i="11"/>
  <c r="BA90" i="5"/>
  <c r="BP80" i="5"/>
  <c r="I47" i="2"/>
  <c r="BH76" i="7"/>
  <c r="BJ74" i="12"/>
  <c r="AT39" i="5"/>
  <c r="AU76" i="7"/>
  <c r="R50" i="2"/>
  <c r="G58" i="9"/>
  <c r="R47" i="2"/>
  <c r="E48" i="2"/>
  <c r="B56" i="9"/>
  <c r="E56" i="9" s="1"/>
  <c r="E47" i="2"/>
  <c r="B55" i="9"/>
  <c r="E55" i="9" s="1"/>
  <c r="E46" i="2"/>
  <c r="B54" i="9"/>
  <c r="E54" i="9" s="1"/>
  <c r="BJ79" i="5"/>
  <c r="R49" i="2"/>
  <c r="G57" i="9"/>
  <c r="R48" i="2"/>
  <c r="G56" i="9"/>
  <c r="O49" i="2"/>
  <c r="V91" i="5"/>
  <c r="R46" i="2"/>
  <c r="G54" i="9"/>
  <c r="BA53" i="7"/>
  <c r="I74" i="5"/>
  <c r="BN34" i="5"/>
  <c r="T79" i="5"/>
  <c r="AA102" i="5"/>
  <c r="BJ34" i="5"/>
  <c r="M74" i="5"/>
  <c r="U17" i="2"/>
  <c r="E30" i="2"/>
  <c r="I12" i="2"/>
  <c r="O35" i="5"/>
  <c r="O15" i="2"/>
  <c r="BI20" i="12"/>
  <c r="O13" i="2"/>
  <c r="O11" i="2"/>
  <c r="AG72" i="5"/>
  <c r="O38" i="2"/>
  <c r="O41" i="2"/>
  <c r="BH92" i="5"/>
  <c r="AN72" i="5"/>
  <c r="BG101" i="5"/>
  <c r="BF86" i="5"/>
  <c r="X37" i="2"/>
  <c r="F9" i="2"/>
  <c r="BH79" i="5"/>
  <c r="Y72" i="5"/>
  <c r="BR31" i="5"/>
  <c r="BI25" i="5"/>
  <c r="U40" i="2"/>
  <c r="H72" i="5"/>
  <c r="O34" i="2"/>
  <c r="O30" i="2"/>
  <c r="O28" i="2"/>
  <c r="BS34" i="7"/>
  <c r="X42" i="2"/>
  <c r="X38" i="2"/>
  <c r="O40" i="2"/>
  <c r="BL72" i="5"/>
  <c r="O26" i="2"/>
  <c r="R21" i="2"/>
  <c r="BO92" i="5"/>
  <c r="I42" i="2"/>
  <c r="H87" i="5"/>
  <c r="I18" i="2"/>
  <c r="L17" i="2"/>
  <c r="U38" i="2"/>
  <c r="AA72" i="5"/>
  <c r="H92" i="5"/>
  <c r="BE34" i="5"/>
  <c r="J34" i="5"/>
  <c r="M34" i="5"/>
  <c r="I23" i="2"/>
  <c r="X19" i="2"/>
  <c r="AW72" i="5"/>
  <c r="BK34" i="5"/>
  <c r="BP34" i="5"/>
  <c r="L34" i="5"/>
  <c r="BS34" i="5"/>
  <c r="O29" i="2"/>
  <c r="O27" i="2"/>
  <c r="BM32" i="12"/>
  <c r="H25" i="5"/>
  <c r="R24" i="2"/>
  <c r="I96" i="5"/>
  <c r="O18" i="2"/>
  <c r="K87" i="5"/>
  <c r="R15" i="2"/>
  <c r="G23" i="9"/>
  <c r="BD92" i="5"/>
  <c r="BN101" i="5"/>
  <c r="I101" i="5"/>
  <c r="BC101" i="5"/>
  <c r="BF101" i="5"/>
  <c r="R18" i="2"/>
  <c r="R13" i="2"/>
  <c r="AA12" i="2"/>
  <c r="O36" i="2"/>
  <c r="R35" i="2"/>
  <c r="G43" i="9"/>
  <c r="L35" i="2"/>
  <c r="J73" i="5"/>
  <c r="AZ101" i="5"/>
  <c r="BO69" i="5"/>
  <c r="R19" i="2"/>
  <c r="G27" i="9"/>
  <c r="R17" i="2"/>
  <c r="G25" i="9"/>
  <c r="BJ35" i="5"/>
  <c r="R42" i="2"/>
  <c r="G50" i="9"/>
  <c r="O45" i="2"/>
  <c r="BR35" i="5"/>
  <c r="AA44" i="2"/>
  <c r="E45" i="2"/>
  <c r="R44" i="2"/>
  <c r="G52" i="9"/>
  <c r="BE74" i="5"/>
  <c r="BS74" i="5"/>
  <c r="BC74" i="5"/>
  <c r="M92" i="5"/>
  <c r="BN74" i="5"/>
  <c r="AZ74" i="5"/>
  <c r="K74" i="5"/>
  <c r="AV74" i="5"/>
  <c r="BS101" i="5"/>
  <c r="BR101" i="5"/>
  <c r="BA101" i="5"/>
  <c r="X13" i="2"/>
  <c r="R31" i="2"/>
  <c r="G39" i="9"/>
  <c r="R14" i="2"/>
  <c r="G22" i="9"/>
  <c r="BM35" i="5"/>
  <c r="R43" i="2"/>
  <c r="U39" i="2"/>
  <c r="R38" i="2"/>
  <c r="G46" i="9"/>
  <c r="K30" i="5"/>
  <c r="R30" i="2"/>
  <c r="G38" i="9"/>
  <c r="R23" i="2"/>
  <c r="G31" i="9"/>
  <c r="AV101" i="5"/>
  <c r="BS92" i="5"/>
  <c r="BH74" i="5"/>
  <c r="BG74" i="5"/>
  <c r="BL74" i="5"/>
  <c r="BJ74" i="5"/>
  <c r="BB74" i="5"/>
  <c r="X16" i="2"/>
  <c r="I17" i="2"/>
  <c r="L11" i="2"/>
  <c r="U14" i="2"/>
  <c r="R36" i="2"/>
  <c r="G44" i="9"/>
  <c r="O35" i="2"/>
  <c r="R27" i="2"/>
  <c r="F35" i="9"/>
  <c r="BN32" i="11"/>
  <c r="R25" i="2"/>
  <c r="G33" i="9"/>
  <c r="O21" i="2"/>
  <c r="O19" i="2"/>
  <c r="R16" i="2"/>
  <c r="G24" i="9"/>
  <c r="V35" i="5"/>
  <c r="X44" i="2"/>
  <c r="O42" i="2"/>
  <c r="L101" i="5"/>
  <c r="E39" i="2"/>
  <c r="B47" i="9"/>
  <c r="E47" i="9" s="1"/>
  <c r="E37" i="2"/>
  <c r="B45" i="9"/>
  <c r="E45" i="9" s="1"/>
  <c r="E73" i="2"/>
  <c r="E71" i="2"/>
  <c r="E57" i="2"/>
  <c r="E35" i="2"/>
  <c r="E10" i="2"/>
  <c r="E44" i="2"/>
  <c r="E41" i="2"/>
  <c r="E60" i="2"/>
  <c r="E53" i="2"/>
  <c r="E95" i="2"/>
  <c r="E90" i="2"/>
  <c r="E79" i="2"/>
  <c r="E66" i="2"/>
  <c r="E63" i="2"/>
  <c r="E34" i="2"/>
  <c r="E14" i="2"/>
  <c r="E36" i="2"/>
  <c r="E32" i="2"/>
  <c r="E28" i="2"/>
  <c r="E24" i="2"/>
  <c r="E15" i="2"/>
  <c r="E11" i="2"/>
  <c r="E51" i="2"/>
  <c r="E40" i="2"/>
  <c r="E38" i="2"/>
  <c r="E50" i="2"/>
  <c r="E59" i="2"/>
  <c r="E55" i="2"/>
  <c r="E52" i="2"/>
  <c r="E94" i="2"/>
  <c r="E85" i="2"/>
  <c r="E81" i="2"/>
  <c r="E68" i="2"/>
  <c r="E65" i="2"/>
  <c r="E17" i="9"/>
  <c r="E26" i="2"/>
  <c r="E19" i="2"/>
  <c r="E56" i="2"/>
  <c r="E96" i="2"/>
  <c r="E87" i="2"/>
  <c r="E70" i="2"/>
  <c r="E31" i="2"/>
  <c r="E22" i="2"/>
  <c r="E29" i="2"/>
  <c r="E21" i="2"/>
  <c r="E17" i="2"/>
  <c r="E16" i="2"/>
  <c r="E12" i="2"/>
  <c r="E42" i="2"/>
  <c r="E43" i="2"/>
  <c r="E62" i="2"/>
  <c r="E58" i="2"/>
  <c r="E54" i="2"/>
  <c r="E97" i="2"/>
  <c r="E92" i="2"/>
  <c r="E91" i="2"/>
  <c r="E89" i="2"/>
  <c r="E88" i="2"/>
  <c r="E84" i="2"/>
  <c r="E83" i="2"/>
  <c r="E82" i="2"/>
  <c r="E78" i="2"/>
  <c r="E77" i="2"/>
  <c r="E75" i="2"/>
  <c r="E74" i="2"/>
  <c r="E72" i="2"/>
  <c r="E69" i="2"/>
  <c r="E64" i="2"/>
  <c r="E99" i="9"/>
  <c r="E9" i="2"/>
  <c r="E77" i="9"/>
  <c r="M17" i="5"/>
  <c r="R29" i="2"/>
  <c r="L15" i="2"/>
  <c r="V27" i="5"/>
  <c r="Q27" i="5"/>
  <c r="BT27" i="5"/>
  <c r="I45" i="2"/>
  <c r="BF68" i="7"/>
  <c r="I31" i="2"/>
  <c r="AA16" i="2"/>
  <c r="R33" i="2"/>
  <c r="O24" i="2"/>
  <c r="BS35" i="5"/>
  <c r="BI35" i="5"/>
  <c r="BF27" i="5"/>
  <c r="L27" i="5"/>
  <c r="L44" i="2"/>
  <c r="BC45" i="7"/>
  <c r="U45" i="2"/>
  <c r="O58" i="2"/>
  <c r="U57" i="2"/>
  <c r="BM74" i="5"/>
  <c r="BQ74" i="5"/>
  <c r="J69" i="5"/>
  <c r="BT101" i="5"/>
  <c r="J101" i="5"/>
  <c r="BI101" i="5"/>
  <c r="BR34" i="5"/>
  <c r="X17" i="2"/>
  <c r="I34" i="2"/>
  <c r="R32" i="2"/>
  <c r="BH71" i="5"/>
  <c r="M31" i="7"/>
  <c r="O23" i="2"/>
  <c r="BI24" i="10"/>
  <c r="X14" i="2"/>
  <c r="R11" i="2"/>
  <c r="BC90" i="5"/>
  <c r="I90" i="5"/>
  <c r="AA90" i="5"/>
  <c r="BN35" i="5"/>
  <c r="U90" i="5"/>
  <c r="AI80" i="5"/>
  <c r="AH80" i="5"/>
  <c r="AX27" i="5"/>
  <c r="L49" i="2"/>
  <c r="U44" i="2"/>
  <c r="AA80" i="5"/>
  <c r="X56" i="2"/>
  <c r="U54" i="2"/>
  <c r="R62" i="2"/>
  <c r="AC100" i="5"/>
  <c r="AA64" i="2"/>
  <c r="AO39" i="8"/>
  <c r="BQ94" i="5"/>
  <c r="R27" i="5"/>
  <c r="L69" i="5"/>
  <c r="I16" i="2"/>
  <c r="N18" i="5"/>
  <c r="R12" i="2"/>
  <c r="BH69" i="5"/>
  <c r="AT27" i="5"/>
  <c r="O17" i="2"/>
  <c r="BS86" i="5"/>
  <c r="I22" i="2"/>
  <c r="O22" i="2"/>
  <c r="AD80" i="5"/>
  <c r="BC27" i="5"/>
  <c r="R45" i="2"/>
  <c r="L59" i="2"/>
  <c r="Q69" i="5"/>
  <c r="N69" i="5"/>
  <c r="BJ101" i="5"/>
  <c r="BQ34" i="5"/>
  <c r="K34" i="5"/>
  <c r="X10" i="2"/>
  <c r="L10" i="2"/>
  <c r="AA22" i="2"/>
  <c r="R26" i="2"/>
  <c r="BT90" i="5"/>
  <c r="BS90" i="5"/>
  <c r="Q35" i="5"/>
  <c r="BE90" i="5"/>
  <c r="AV90" i="5"/>
  <c r="BH95" i="5"/>
  <c r="BN80" i="5"/>
  <c r="BA27" i="5"/>
  <c r="U48" i="2"/>
  <c r="U47" i="2"/>
  <c r="AA50" i="2"/>
  <c r="M55" i="7"/>
  <c r="U65" i="2"/>
  <c r="R59" i="2"/>
  <c r="I60" i="7"/>
  <c r="BG27" i="5"/>
  <c r="BR69" i="5"/>
  <c r="L35" i="5"/>
  <c r="U18" i="2"/>
  <c r="J95" i="5"/>
  <c r="M30" i="5"/>
  <c r="I38" i="2"/>
  <c r="O39" i="2"/>
  <c r="Q79" i="5"/>
  <c r="J74" i="5"/>
  <c r="BD101" i="5"/>
  <c r="BT69" i="5"/>
  <c r="BM34" i="5"/>
  <c r="BI34" i="5"/>
  <c r="I15" i="2"/>
  <c r="I25" i="2"/>
  <c r="X23" i="2"/>
  <c r="AK90" i="5"/>
  <c r="BL90" i="5"/>
  <c r="U35" i="5"/>
  <c r="X90" i="5"/>
  <c r="I95" i="5"/>
  <c r="J90" i="5"/>
  <c r="AT90" i="5"/>
  <c r="K80" i="5"/>
  <c r="BA95" i="5"/>
  <c r="U27" i="5"/>
  <c r="X50" i="2"/>
  <c r="AA51" i="2"/>
  <c r="J81" i="5"/>
  <c r="BS50" i="5"/>
  <c r="I62" i="2"/>
  <c r="R61" i="2"/>
  <c r="BQ20" i="5"/>
  <c r="O20" i="2"/>
  <c r="BB27" i="5"/>
  <c r="I35" i="5"/>
  <c r="BL69" i="5"/>
  <c r="BS93" i="5"/>
  <c r="M95" i="5"/>
  <c r="K27" i="5"/>
  <c r="L49" i="5"/>
  <c r="T69" i="5"/>
  <c r="I29" i="2"/>
  <c r="BM80" i="5"/>
  <c r="BR74" i="5"/>
  <c r="BL34" i="5"/>
  <c r="BG34" i="5"/>
  <c r="AA15" i="2"/>
  <c r="I13" i="2"/>
  <c r="AA36" i="2"/>
  <c r="R34" i="2"/>
  <c r="Y36" i="5"/>
  <c r="BI69" i="5"/>
  <c r="BK90" i="5"/>
  <c r="AY90" i="5"/>
  <c r="AJ90" i="5"/>
  <c r="BN90" i="5"/>
  <c r="BD90" i="5"/>
  <c r="AM90" i="5"/>
  <c r="AZ27" i="5"/>
  <c r="P27" i="5"/>
  <c r="R40" i="2"/>
  <c r="O59" i="2"/>
  <c r="O52" i="2"/>
  <c r="K63" i="10"/>
  <c r="BN32" i="10"/>
  <c r="BT19" i="10"/>
  <c r="BP26" i="10"/>
  <c r="K78" i="5"/>
  <c r="J24" i="5"/>
  <c r="BN87" i="5"/>
  <c r="AY20" i="5"/>
  <c r="N27" i="5"/>
  <c r="AU27" i="5"/>
  <c r="AV27" i="5"/>
  <c r="BH21" i="5"/>
  <c r="BH27" i="5"/>
  <c r="K46" i="5"/>
  <c r="BN47" i="5"/>
  <c r="BQ44" i="5"/>
  <c r="AH39" i="5"/>
  <c r="BF81" i="5"/>
  <c r="AN81" i="5"/>
  <c r="BH50" i="5"/>
  <c r="AV20" i="5"/>
  <c r="L20" i="5"/>
  <c r="BH20" i="5"/>
  <c r="BE44" i="5"/>
  <c r="J20" i="5"/>
  <c r="BQ50" i="5"/>
  <c r="BO20" i="5"/>
  <c r="BJ67" i="5"/>
  <c r="AT81" i="5"/>
  <c r="BJ69" i="5"/>
  <c r="BI20" i="5"/>
  <c r="BP27" i="5"/>
  <c r="I27" i="5"/>
  <c r="AX19" i="5"/>
  <c r="BQ56" i="5"/>
  <c r="AD47" i="5"/>
  <c r="S23" i="5"/>
  <c r="T81" i="5"/>
  <c r="AZ81" i="5"/>
  <c r="BK87" i="5"/>
  <c r="BS20" i="5"/>
  <c r="M87" i="5"/>
  <c r="AS27" i="5"/>
  <c r="BD27" i="5"/>
  <c r="R47" i="5"/>
  <c r="U44" i="5"/>
  <c r="BM55" i="5"/>
  <c r="L96" i="5"/>
  <c r="BN20" i="5"/>
  <c r="M20" i="5"/>
  <c r="BT20" i="5"/>
  <c r="BE20" i="5"/>
  <c r="BO27" i="5"/>
  <c r="W27" i="5"/>
  <c r="BS46" i="5"/>
  <c r="I44" i="5"/>
  <c r="AM81" i="5"/>
  <c r="BE81" i="5"/>
  <c r="BK96" i="5"/>
  <c r="BQ31" i="5"/>
  <c r="BL20" i="5"/>
  <c r="BD26" i="5"/>
  <c r="S27" i="5"/>
  <c r="BN27" i="5"/>
  <c r="BG26" i="5"/>
  <c r="BP32" i="5"/>
  <c r="BJ60" i="5"/>
  <c r="AO55" i="5"/>
  <c r="BS81" i="5"/>
  <c r="I20" i="5"/>
  <c r="BK20" i="5"/>
  <c r="BL57" i="5"/>
  <c r="BD20" i="5"/>
  <c r="BM20" i="5"/>
  <c r="AX20" i="5"/>
  <c r="BP81" i="5"/>
  <c r="BG96" i="5"/>
  <c r="BR81" i="5"/>
  <c r="BJ20" i="5"/>
  <c r="K20" i="5"/>
  <c r="BM27" i="5"/>
  <c r="AW27" i="5"/>
  <c r="H27" i="5"/>
  <c r="BH64" i="5"/>
  <c r="AN45" i="5"/>
  <c r="BR39" i="5"/>
  <c r="BT96" i="5"/>
  <c r="BR20" i="5"/>
  <c r="AR27" i="5"/>
  <c r="AB45" i="5"/>
  <c r="N60" i="5"/>
  <c r="BF39" i="5"/>
  <c r="K58" i="5"/>
  <c r="AU73" i="5"/>
  <c r="U36" i="2"/>
  <c r="J41" i="7"/>
  <c r="S39" i="11"/>
  <c r="R22" i="2"/>
  <c r="AA20" i="2"/>
  <c r="L20" i="2"/>
  <c r="O12" i="2"/>
  <c r="AV19" i="5"/>
  <c r="K57" i="7"/>
  <c r="O46" i="2"/>
  <c r="L89" i="2"/>
  <c r="J67" i="7"/>
  <c r="AK103" i="12"/>
  <c r="AM103" i="12"/>
  <c r="BI103" i="12"/>
  <c r="AZ103" i="12"/>
  <c r="M103" i="12"/>
  <c r="BL103" i="12"/>
  <c r="BP103" i="12"/>
  <c r="AH103" i="12"/>
  <c r="AU103" i="12"/>
  <c r="AN103" i="12"/>
  <c r="P103" i="12"/>
  <c r="Q103" i="12"/>
  <c r="AT103" i="12"/>
  <c r="BG103" i="12"/>
  <c r="O103" i="12"/>
  <c r="AC103" i="12"/>
  <c r="BF103" i="12"/>
  <c r="BS103" i="12"/>
  <c r="Z103" i="12"/>
  <c r="AO103" i="12"/>
  <c r="BR103" i="12"/>
  <c r="AB103" i="12"/>
  <c r="BA103" i="12"/>
  <c r="S103" i="12"/>
  <c r="BM103" i="12"/>
  <c r="AE103" i="12"/>
  <c r="AA103" i="12"/>
  <c r="R103" i="12"/>
  <c r="AQ103" i="12"/>
  <c r="I103" i="12"/>
  <c r="AL103" i="12"/>
  <c r="AD103" i="12"/>
  <c r="BC103" i="12"/>
  <c r="H103" i="12"/>
  <c r="U103" i="12"/>
  <c r="L103" i="12"/>
  <c r="AX103" i="12"/>
  <c r="AP103" i="12"/>
  <c r="BO103" i="12"/>
  <c r="T103" i="12"/>
  <c r="AG103" i="12"/>
  <c r="X103" i="12"/>
  <c r="N103" i="12"/>
  <c r="AW103" i="12"/>
  <c r="BJ103" i="12"/>
  <c r="BB103" i="12"/>
  <c r="AF103" i="12"/>
  <c r="AS103" i="12"/>
  <c r="K103" i="12"/>
  <c r="AJ103" i="12"/>
  <c r="AY103" i="12"/>
  <c r="BN103" i="12"/>
  <c r="AR103" i="12"/>
  <c r="BE103" i="12"/>
  <c r="J103" i="12"/>
  <c r="W103" i="12"/>
  <c r="AV103" i="12"/>
  <c r="BD103" i="12"/>
  <c r="BQ103" i="12"/>
  <c r="Y103" i="12"/>
  <c r="V103" i="12"/>
  <c r="AI103" i="12"/>
  <c r="BK103" i="12"/>
  <c r="BH103" i="12"/>
  <c r="K101" i="11"/>
  <c r="BH101" i="11"/>
  <c r="BI101" i="11"/>
  <c r="AI101" i="11"/>
  <c r="BN101" i="11"/>
  <c r="AR101" i="11"/>
  <c r="I101" i="11"/>
  <c r="J101" i="11"/>
  <c r="O101" i="11"/>
  <c r="BD101" i="11"/>
  <c r="U101" i="11"/>
  <c r="V101" i="11"/>
  <c r="AA101" i="11"/>
  <c r="BP101" i="11"/>
  <c r="AG101" i="11"/>
  <c r="AH101" i="11"/>
  <c r="N101" i="11"/>
  <c r="P101" i="11"/>
  <c r="AM101" i="11"/>
  <c r="AS101" i="11"/>
  <c r="AT101" i="11"/>
  <c r="AL101" i="11"/>
  <c r="AO101" i="11"/>
  <c r="Q101" i="11"/>
  <c r="AY101" i="11"/>
  <c r="AN101" i="11"/>
  <c r="BE101" i="11"/>
  <c r="BF101" i="11"/>
  <c r="BS101" i="11"/>
  <c r="BT101" i="11"/>
  <c r="AU101" i="11"/>
  <c r="W101" i="11"/>
  <c r="BK101" i="11"/>
  <c r="AZ101" i="11"/>
  <c r="BQ101" i="11"/>
  <c r="M101" i="11"/>
  <c r="AV101" i="11"/>
  <c r="X101" i="11"/>
  <c r="Y101" i="11"/>
  <c r="BL101" i="11"/>
  <c r="S101" i="11"/>
  <c r="L101" i="11"/>
  <c r="AK101" i="11"/>
  <c r="AW101" i="11"/>
  <c r="AX101" i="11"/>
  <c r="AB101" i="11"/>
  <c r="AE101" i="11"/>
  <c r="AJ101" i="11"/>
  <c r="Z101" i="11"/>
  <c r="BG101" i="11"/>
  <c r="R101" i="11"/>
  <c r="AQ101" i="11"/>
  <c r="BJ101" i="11"/>
  <c r="BA101" i="11"/>
  <c r="BR101" i="11"/>
  <c r="AD101" i="11"/>
  <c r="BC101" i="11"/>
  <c r="H101" i="11"/>
  <c r="AC101" i="11"/>
  <c r="AP101" i="11"/>
  <c r="BO101" i="11"/>
  <c r="T101" i="11"/>
  <c r="BB101" i="11"/>
  <c r="AF101" i="11"/>
  <c r="R59" i="5"/>
  <c r="BN59" i="5"/>
  <c r="S59" i="5"/>
  <c r="BO59" i="5"/>
  <c r="H59" i="5"/>
  <c r="T59" i="5"/>
  <c r="BD59" i="5"/>
  <c r="BP59" i="5"/>
  <c r="I59" i="5"/>
  <c r="U59" i="5"/>
  <c r="BE59" i="5"/>
  <c r="BQ59" i="5"/>
  <c r="J59" i="5"/>
  <c r="BF59" i="5"/>
  <c r="BR59" i="5"/>
  <c r="K59" i="5"/>
  <c r="W59" i="5"/>
  <c r="BG59" i="5"/>
  <c r="BS59" i="5"/>
  <c r="L59" i="5"/>
  <c r="BH59" i="5"/>
  <c r="BT59" i="5"/>
  <c r="M59" i="5"/>
  <c r="BI59" i="5"/>
  <c r="N59" i="5"/>
  <c r="BJ59" i="5"/>
  <c r="O59" i="5"/>
  <c r="BK59" i="5"/>
  <c r="P59" i="5"/>
  <c r="BL59" i="5"/>
  <c r="K63" i="5"/>
  <c r="W63" i="5"/>
  <c r="AI63" i="5"/>
  <c r="AU63" i="5"/>
  <c r="BG63" i="5"/>
  <c r="BS63" i="5"/>
  <c r="L63" i="5"/>
  <c r="X63" i="5"/>
  <c r="AJ63" i="5"/>
  <c r="AV63" i="5"/>
  <c r="BH63" i="5"/>
  <c r="BT63" i="5"/>
  <c r="M63" i="5"/>
  <c r="Y63" i="5"/>
  <c r="AK63" i="5"/>
  <c r="AW63" i="5"/>
  <c r="BI63" i="5"/>
  <c r="N63" i="5"/>
  <c r="Z63" i="5"/>
  <c r="AL63" i="5"/>
  <c r="AX63" i="5"/>
  <c r="BJ63" i="5"/>
  <c r="O63" i="5"/>
  <c r="AA63" i="5"/>
  <c r="AM63" i="5"/>
  <c r="AY63" i="5"/>
  <c r="BK63" i="5"/>
  <c r="P63" i="5"/>
  <c r="AB63" i="5"/>
  <c r="AN63" i="5"/>
  <c r="AZ63" i="5"/>
  <c r="BL63" i="5"/>
  <c r="Q63" i="5"/>
  <c r="AC63" i="5"/>
  <c r="AO63" i="5"/>
  <c r="BA63" i="5"/>
  <c r="BM63" i="5"/>
  <c r="R63" i="5"/>
  <c r="AD63" i="5"/>
  <c r="AP63" i="5"/>
  <c r="BB63" i="5"/>
  <c r="BN63" i="5"/>
  <c r="S63" i="5"/>
  <c r="AE63" i="5"/>
  <c r="AQ63" i="5"/>
  <c r="BC63" i="5"/>
  <c r="BO63" i="5"/>
  <c r="H63" i="5"/>
  <c r="T63" i="5"/>
  <c r="AF63" i="5"/>
  <c r="AR63" i="5"/>
  <c r="BD63" i="5"/>
  <c r="BP63" i="5"/>
  <c r="I63" i="5"/>
  <c r="U63" i="5"/>
  <c r="AG63" i="5"/>
  <c r="AS63" i="5"/>
  <c r="BE63" i="5"/>
  <c r="BQ63" i="5"/>
  <c r="AB99" i="10"/>
  <c r="BL99" i="10"/>
  <c r="BP99" i="10"/>
  <c r="K99" i="10"/>
  <c r="AI99" i="10"/>
  <c r="BK99" i="10"/>
  <c r="BJ99" i="10"/>
  <c r="AS99" i="10"/>
  <c r="AG99" i="10"/>
  <c r="U99" i="10"/>
  <c r="AM99" i="10"/>
  <c r="Q99" i="10"/>
  <c r="AZ99" i="10"/>
  <c r="BS99" i="10"/>
  <c r="O99" i="10"/>
  <c r="L99" i="10"/>
  <c r="AN99" i="10"/>
  <c r="AY99" i="10"/>
  <c r="P99" i="10"/>
  <c r="N99" i="10"/>
  <c r="BG99" i="10"/>
  <c r="AL99" i="10"/>
  <c r="AC99" i="10"/>
  <c r="AA99" i="10"/>
  <c r="AU99" i="10"/>
  <c r="I99" i="10"/>
  <c r="Z99" i="10"/>
  <c r="W99" i="10"/>
  <c r="AX99" i="10"/>
  <c r="AT99" i="10"/>
  <c r="BI99" i="10"/>
  <c r="BF99" i="10"/>
  <c r="X99" i="10"/>
  <c r="S99" i="10"/>
  <c r="BR99" i="10"/>
  <c r="AJ99" i="10"/>
  <c r="AO99" i="10"/>
  <c r="AE99" i="10"/>
  <c r="AV99" i="10"/>
  <c r="BA99" i="10"/>
  <c r="AQ99" i="10"/>
  <c r="H99" i="10"/>
  <c r="BH99" i="10"/>
  <c r="BM99" i="10"/>
  <c r="BC99" i="10"/>
  <c r="T99" i="10"/>
  <c r="BT99" i="10"/>
  <c r="BO99" i="10"/>
  <c r="AF99" i="10"/>
  <c r="R99" i="10"/>
  <c r="AR99" i="10"/>
  <c r="AD99" i="10"/>
  <c r="BD99" i="10"/>
  <c r="M99" i="10"/>
  <c r="AP99" i="10"/>
  <c r="J99" i="10"/>
  <c r="Y99" i="10"/>
  <c r="BB99" i="10"/>
  <c r="BE99" i="10"/>
  <c r="V99" i="10"/>
  <c r="AK99" i="10"/>
  <c r="BN99" i="10"/>
  <c r="AH99" i="10"/>
  <c r="AW99" i="10"/>
  <c r="BG96" i="12"/>
  <c r="BD96" i="12"/>
  <c r="AH96" i="12"/>
  <c r="AY96" i="12"/>
  <c r="BO96" i="12"/>
  <c r="BH96" i="12"/>
  <c r="AJ96" i="12"/>
  <c r="BM96" i="12"/>
  <c r="AM96" i="12"/>
  <c r="AU96" i="12"/>
  <c r="AR96" i="12"/>
  <c r="BR96" i="12"/>
  <c r="S96" i="12"/>
  <c r="U96" i="12"/>
  <c r="BA96" i="12"/>
  <c r="AA96" i="12"/>
  <c r="AE96" i="12"/>
  <c r="X96" i="12"/>
  <c r="AW96" i="12"/>
  <c r="BC96" i="12"/>
  <c r="AO96" i="12"/>
  <c r="O96" i="12"/>
  <c r="L96" i="12"/>
  <c r="I96" i="12"/>
  <c r="AI96" i="12"/>
  <c r="AC96" i="12"/>
  <c r="BJ96" i="12"/>
  <c r="BN96" i="12"/>
  <c r="BQ96" i="12"/>
  <c r="N96" i="12"/>
  <c r="T96" i="12"/>
  <c r="Q96" i="12"/>
  <c r="AX96" i="12"/>
  <c r="AT96" i="12"/>
  <c r="H96" i="12"/>
  <c r="AP96" i="12"/>
  <c r="BB96" i="12"/>
  <c r="W96" i="12"/>
  <c r="BL96" i="12"/>
  <c r="AL96" i="12"/>
  <c r="AD96" i="12"/>
  <c r="AK96" i="12"/>
  <c r="R96" i="12"/>
  <c r="BE96" i="12"/>
  <c r="AZ96" i="12"/>
  <c r="Z96" i="12"/>
  <c r="K96" i="12"/>
  <c r="BS96" i="12"/>
  <c r="AQ96" i="12"/>
  <c r="AN96" i="12"/>
  <c r="BP96" i="12"/>
  <c r="BI96" i="12"/>
  <c r="AB96" i="12"/>
  <c r="AV96" i="12"/>
  <c r="AS96" i="12"/>
  <c r="AG96" i="12"/>
  <c r="P96" i="12"/>
  <c r="AF96" i="12"/>
  <c r="Y96" i="12"/>
  <c r="BF96" i="12"/>
  <c r="BK96" i="12"/>
  <c r="M96" i="12"/>
  <c r="J96" i="12"/>
  <c r="AD96" i="7"/>
  <c r="P96" i="7"/>
  <c r="BA96" i="7"/>
  <c r="AS96" i="7"/>
  <c r="M96" i="7"/>
  <c r="V96" i="7"/>
  <c r="AB96" i="7"/>
  <c r="BT96" i="7"/>
  <c r="BQ96" i="7"/>
  <c r="D58" i="5"/>
  <c r="AD94" i="10"/>
  <c r="W94" i="10"/>
  <c r="BG94" i="10"/>
  <c r="AY94" i="10"/>
  <c r="Y94" i="10"/>
  <c r="Q94" i="10"/>
  <c r="P94" i="10"/>
  <c r="BQ94" i="10"/>
  <c r="AM94" i="10"/>
  <c r="M94" i="10"/>
  <c r="BL94" i="10"/>
  <c r="BC94" i="10"/>
  <c r="AU94" i="10"/>
  <c r="AA94" i="10"/>
  <c r="BP94" i="10"/>
  <c r="AQ94" i="10"/>
  <c r="AH94" i="10"/>
  <c r="AB94" i="10"/>
  <c r="O94" i="10"/>
  <c r="BD94" i="10"/>
  <c r="V94" i="10"/>
  <c r="L94" i="10"/>
  <c r="BN94" i="10"/>
  <c r="AT94" i="10"/>
  <c r="AV94" i="10"/>
  <c r="BJ94" i="10"/>
  <c r="AR94" i="10"/>
  <c r="BH94" i="10"/>
  <c r="BT94" i="10"/>
  <c r="AX94" i="10"/>
  <c r="AF94" i="10"/>
  <c r="AP94" i="10"/>
  <c r="BB94" i="10"/>
  <c r="BO94" i="10"/>
  <c r="X94" i="10"/>
  <c r="AL94" i="10"/>
  <c r="T94" i="10"/>
  <c r="U94" i="10"/>
  <c r="AG94" i="10"/>
  <c r="Z94" i="10"/>
  <c r="H94" i="10"/>
  <c r="BF94" i="10"/>
  <c r="K94" i="10"/>
  <c r="N94" i="10"/>
  <c r="BM94" i="10"/>
  <c r="AJ94" i="10"/>
  <c r="BS94" i="10"/>
  <c r="I94" i="10"/>
  <c r="BI94" i="10"/>
  <c r="BA94" i="10"/>
  <c r="R94" i="10"/>
  <c r="AZ94" i="10"/>
  <c r="BR94" i="10"/>
  <c r="AW94" i="10"/>
  <c r="AO94" i="10"/>
  <c r="BE94" i="10"/>
  <c r="AE94" i="10"/>
  <c r="BK94" i="10"/>
  <c r="AK94" i="10"/>
  <c r="AS94" i="10"/>
  <c r="AC94" i="10"/>
  <c r="AI94" i="10"/>
  <c r="J94" i="10"/>
  <c r="S94" i="10"/>
  <c r="AN94" i="10"/>
  <c r="AD92" i="12"/>
  <c r="AZ92" i="12"/>
  <c r="BM92" i="12"/>
  <c r="W92" i="12"/>
  <c r="AS92" i="12"/>
  <c r="H92" i="12"/>
  <c r="AA92" i="12"/>
  <c r="AI92" i="12"/>
  <c r="AY92" i="12"/>
  <c r="AW92" i="12"/>
  <c r="P92" i="12"/>
  <c r="AX92" i="12"/>
  <c r="BO92" i="12"/>
  <c r="Y92" i="12"/>
  <c r="BS92" i="12"/>
  <c r="BP92" i="12"/>
  <c r="S92" i="12"/>
  <c r="AU92" i="12"/>
  <c r="M92" i="12"/>
  <c r="BE92" i="12"/>
  <c r="AM92" i="12"/>
  <c r="AH92" i="12"/>
  <c r="BL92" i="12"/>
  <c r="BH92" i="12"/>
  <c r="AQ92" i="12"/>
  <c r="BK92" i="12"/>
  <c r="AN92" i="12"/>
  <c r="AV92" i="12"/>
  <c r="AC92" i="12"/>
  <c r="T92" i="12"/>
  <c r="X92" i="12"/>
  <c r="O92" i="12"/>
  <c r="I92" i="12"/>
  <c r="L92" i="12"/>
  <c r="BR92" i="12"/>
  <c r="BA92" i="12"/>
  <c r="AK92" i="12"/>
  <c r="AG92" i="12"/>
  <c r="BJ92" i="12"/>
  <c r="BD92" i="12"/>
  <c r="AJ92" i="12"/>
  <c r="AF92" i="12"/>
  <c r="AT92" i="12"/>
  <c r="AP92" i="12"/>
  <c r="Q92" i="12"/>
  <c r="R92" i="12"/>
  <c r="AB92" i="12"/>
  <c r="J92" i="12"/>
  <c r="AL92" i="12"/>
  <c r="U92" i="12"/>
  <c r="BF92" i="12"/>
  <c r="N92" i="12"/>
  <c r="BB92" i="12"/>
  <c r="K92" i="12"/>
  <c r="BG92" i="12"/>
  <c r="Z92" i="12"/>
  <c r="AE92" i="12"/>
  <c r="BQ92" i="12"/>
  <c r="BC92" i="12"/>
  <c r="V92" i="12"/>
  <c r="AO92" i="12"/>
  <c r="BI92" i="12"/>
  <c r="AR92" i="12"/>
  <c r="O83" i="2"/>
  <c r="AA77" i="2"/>
  <c r="D57" i="5"/>
  <c r="I86" i="5"/>
  <c r="I32" i="2"/>
  <c r="L21" i="2"/>
  <c r="AA23" i="2"/>
  <c r="BE19" i="5"/>
  <c r="AF63" i="7"/>
  <c r="BO66" i="5"/>
  <c r="I96" i="2"/>
  <c r="D59" i="5"/>
  <c r="D63" i="5"/>
  <c r="X89" i="2"/>
  <c r="I89" i="2"/>
  <c r="AZ89" i="12"/>
  <c r="I82" i="2"/>
  <c r="R86" i="12"/>
  <c r="AQ86" i="12"/>
  <c r="Y86" i="12"/>
  <c r="AY86" i="12"/>
  <c r="K86" i="12"/>
  <c r="BI86" i="12"/>
  <c r="AH86" i="12"/>
  <c r="AS86" i="12"/>
  <c r="BK86" i="12"/>
  <c r="AE86" i="12"/>
  <c r="AP86" i="12"/>
  <c r="BQ86" i="12"/>
  <c r="AA86" i="12"/>
  <c r="BC86" i="12"/>
  <c r="L86" i="12"/>
  <c r="BH86" i="12"/>
  <c r="AU86" i="12"/>
  <c r="AF86" i="12"/>
  <c r="W86" i="12"/>
  <c r="BS86" i="12"/>
  <c r="BD86" i="12"/>
  <c r="N86" i="12"/>
  <c r="AI86" i="12"/>
  <c r="AR86" i="12"/>
  <c r="Z86" i="12"/>
  <c r="AK86" i="12"/>
  <c r="BO86" i="12"/>
  <c r="AT86" i="12"/>
  <c r="BF86" i="12"/>
  <c r="BR86" i="12"/>
  <c r="M86" i="12"/>
  <c r="I86" i="12"/>
  <c r="AG86" i="12"/>
  <c r="O86" i="12"/>
  <c r="AB86" i="12"/>
  <c r="P86" i="12"/>
  <c r="T86" i="12"/>
  <c r="AD86" i="12"/>
  <c r="AV86" i="12"/>
  <c r="BM86" i="12"/>
  <c r="BJ86" i="12"/>
  <c r="BA86" i="12"/>
  <c r="BE86" i="12"/>
  <c r="AO86" i="12"/>
  <c r="H86" i="12"/>
  <c r="J86" i="12"/>
  <c r="AC86" i="12"/>
  <c r="U86" i="12"/>
  <c r="V86" i="12"/>
  <c r="X86" i="12"/>
  <c r="AM86" i="12"/>
  <c r="Q86" i="12"/>
  <c r="AW86" i="12"/>
  <c r="AJ86" i="12"/>
  <c r="AL86" i="12"/>
  <c r="BL86" i="12"/>
  <c r="AX86" i="12"/>
  <c r="BB86" i="12"/>
  <c r="S86" i="12"/>
  <c r="AZ86" i="12"/>
  <c r="BN86" i="12"/>
  <c r="BP86" i="12"/>
  <c r="AN86" i="12"/>
  <c r="E76" i="2"/>
  <c r="BJ79" i="11"/>
  <c r="BI79" i="11"/>
  <c r="AX79" i="11"/>
  <c r="AF79" i="11"/>
  <c r="H79" i="11"/>
  <c r="BO79" i="11"/>
  <c r="N79" i="11"/>
  <c r="BP79" i="11"/>
  <c r="AL79" i="11"/>
  <c r="AB79" i="11"/>
  <c r="T79" i="11"/>
  <c r="BD79" i="11"/>
  <c r="BL79" i="11"/>
  <c r="AA79" i="11"/>
  <c r="O79" i="11"/>
  <c r="AM79" i="11"/>
  <c r="AZ79" i="11"/>
  <c r="BK79" i="11"/>
  <c r="Z79" i="11"/>
  <c r="M79" i="11"/>
  <c r="AY79" i="11"/>
  <c r="AR79" i="11"/>
  <c r="BT79" i="11"/>
  <c r="Y79" i="11"/>
  <c r="AK79" i="11"/>
  <c r="AW79" i="11"/>
  <c r="P79" i="11"/>
  <c r="AS79" i="11"/>
  <c r="V79" i="11"/>
  <c r="W79" i="11"/>
  <c r="R79" i="11"/>
  <c r="BE79" i="11"/>
  <c r="AH79" i="11"/>
  <c r="AI79" i="11"/>
  <c r="AD79" i="11"/>
  <c r="BQ79" i="11"/>
  <c r="AT79" i="11"/>
  <c r="AU79" i="11"/>
  <c r="AP79" i="11"/>
  <c r="BF79" i="11"/>
  <c r="BG79" i="11"/>
  <c r="BB79" i="11"/>
  <c r="BR79" i="11"/>
  <c r="BS79" i="11"/>
  <c r="L79" i="11"/>
  <c r="AN79" i="11"/>
  <c r="BN79" i="11"/>
  <c r="X79" i="11"/>
  <c r="Q79" i="11"/>
  <c r="AJ79" i="11"/>
  <c r="AC79" i="11"/>
  <c r="S79" i="11"/>
  <c r="AV79" i="11"/>
  <c r="AO79" i="11"/>
  <c r="AE79" i="11"/>
  <c r="BH79" i="11"/>
  <c r="BA79" i="11"/>
  <c r="AQ79" i="11"/>
  <c r="I79" i="11"/>
  <c r="BM79" i="11"/>
  <c r="BC79" i="11"/>
  <c r="U79" i="11"/>
  <c r="J79" i="11"/>
  <c r="AG79" i="11"/>
  <c r="K79" i="11"/>
  <c r="AZ57" i="5"/>
  <c r="BI48" i="5"/>
  <c r="AU46" i="5"/>
  <c r="BL94" i="7"/>
  <c r="AA91" i="7"/>
  <c r="BT21" i="5"/>
  <c r="U11" i="2"/>
  <c r="X11" i="2"/>
  <c r="AA18" i="2"/>
  <c r="U34" i="2"/>
  <c r="AA28" i="2"/>
  <c r="AA26" i="2"/>
  <c r="L16" i="2"/>
  <c r="AZ19" i="5"/>
  <c r="BK35" i="5"/>
  <c r="AW19" i="5"/>
  <c r="BT51" i="10"/>
  <c r="BN47" i="7"/>
  <c r="BS46" i="10"/>
  <c r="BP44" i="10"/>
  <c r="AS57" i="11"/>
  <c r="AA48" i="2"/>
  <c r="BM54" i="10"/>
  <c r="M97" i="5"/>
  <c r="R57" i="2"/>
  <c r="I56" i="2"/>
  <c r="R55" i="2"/>
  <c r="AA52" i="2"/>
  <c r="L52" i="2"/>
  <c r="Y103" i="11"/>
  <c r="AA103" i="11"/>
  <c r="AY103" i="11"/>
  <c r="M103" i="11"/>
  <c r="BT103" i="11"/>
  <c r="BI103" i="11"/>
  <c r="AZ103" i="11"/>
  <c r="O103" i="11"/>
  <c r="AX103" i="11"/>
  <c r="BL103" i="11"/>
  <c r="AW103" i="11"/>
  <c r="AM103" i="11"/>
  <c r="BJ103" i="11"/>
  <c r="AB103" i="11"/>
  <c r="Z103" i="11"/>
  <c r="AN103" i="11"/>
  <c r="AC103" i="11"/>
  <c r="R103" i="11"/>
  <c r="AQ103" i="11"/>
  <c r="AT103" i="11"/>
  <c r="K103" i="11"/>
  <c r="AJ103" i="11"/>
  <c r="AO103" i="11"/>
  <c r="AD103" i="11"/>
  <c r="BC103" i="11"/>
  <c r="BF103" i="11"/>
  <c r="W103" i="11"/>
  <c r="AV103" i="11"/>
  <c r="BK103" i="11"/>
  <c r="BA103" i="11"/>
  <c r="AP103" i="11"/>
  <c r="BO103" i="11"/>
  <c r="BR103" i="11"/>
  <c r="AI103" i="11"/>
  <c r="BH103" i="11"/>
  <c r="P103" i="11"/>
  <c r="BM103" i="11"/>
  <c r="BB103" i="11"/>
  <c r="AU103" i="11"/>
  <c r="BN103" i="11"/>
  <c r="BG103" i="11"/>
  <c r="I103" i="11"/>
  <c r="BS103" i="11"/>
  <c r="N103" i="11"/>
  <c r="H103" i="11"/>
  <c r="U103" i="11"/>
  <c r="T103" i="11"/>
  <c r="AG103" i="11"/>
  <c r="AK103" i="11"/>
  <c r="AF103" i="11"/>
  <c r="AS103" i="11"/>
  <c r="AL103" i="11"/>
  <c r="AR103" i="11"/>
  <c r="BE103" i="11"/>
  <c r="J103" i="11"/>
  <c r="S103" i="11"/>
  <c r="BD103" i="11"/>
  <c r="BQ103" i="11"/>
  <c r="V103" i="11"/>
  <c r="L103" i="11"/>
  <c r="Q103" i="11"/>
  <c r="AE103" i="11"/>
  <c r="X103" i="11"/>
  <c r="BP103" i="11"/>
  <c r="AH103" i="11"/>
  <c r="H66" i="5"/>
  <c r="BD66" i="5"/>
  <c r="BP66" i="5"/>
  <c r="I66" i="5"/>
  <c r="BE66" i="5"/>
  <c r="BQ66" i="5"/>
  <c r="J66" i="5"/>
  <c r="BF66" i="5"/>
  <c r="BR66" i="5"/>
  <c r="K66" i="5"/>
  <c r="BG66" i="5"/>
  <c r="BS66" i="5"/>
  <c r="L66" i="5"/>
  <c r="BH66" i="5"/>
  <c r="BT66" i="5"/>
  <c r="M66" i="5"/>
  <c r="BI66" i="5"/>
  <c r="BJ66" i="5"/>
  <c r="BK66" i="5"/>
  <c r="BL66" i="5"/>
  <c r="BM66" i="5"/>
  <c r="BN66" i="5"/>
  <c r="BH102" i="10"/>
  <c r="L102" i="10"/>
  <c r="AX102" i="10"/>
  <c r="X102" i="10"/>
  <c r="N102" i="10"/>
  <c r="AJ102" i="10"/>
  <c r="AL102" i="10"/>
  <c r="Z102" i="10"/>
  <c r="BT102" i="10"/>
  <c r="AV102" i="10"/>
  <c r="BJ102" i="10"/>
  <c r="BS102" i="10"/>
  <c r="AB102" i="10"/>
  <c r="R102" i="10"/>
  <c r="AG102" i="10"/>
  <c r="AN102" i="10"/>
  <c r="AD102" i="10"/>
  <c r="AS102" i="10"/>
  <c r="AZ102" i="10"/>
  <c r="Q102" i="10"/>
  <c r="AP102" i="10"/>
  <c r="BE102" i="10"/>
  <c r="M102" i="10"/>
  <c r="BL102" i="10"/>
  <c r="AC102" i="10"/>
  <c r="BB102" i="10"/>
  <c r="S102" i="10"/>
  <c r="H102" i="10"/>
  <c r="BQ102" i="10"/>
  <c r="Y102" i="10"/>
  <c r="O102" i="10"/>
  <c r="AO102" i="10"/>
  <c r="BN102" i="10"/>
  <c r="AE102" i="10"/>
  <c r="T102" i="10"/>
  <c r="AK102" i="10"/>
  <c r="AA102" i="10"/>
  <c r="BA102" i="10"/>
  <c r="AQ102" i="10"/>
  <c r="AF102" i="10"/>
  <c r="AW102" i="10"/>
  <c r="AM102" i="10"/>
  <c r="BM102" i="10"/>
  <c r="BC102" i="10"/>
  <c r="AR102" i="10"/>
  <c r="J102" i="10"/>
  <c r="K102" i="10"/>
  <c r="BI102" i="10"/>
  <c r="AY102" i="10"/>
  <c r="BO102" i="10"/>
  <c r="BD102" i="10"/>
  <c r="V102" i="10"/>
  <c r="W102" i="10"/>
  <c r="BK102" i="10"/>
  <c r="BP102" i="10"/>
  <c r="AH102" i="10"/>
  <c r="AI102" i="10"/>
  <c r="AT102" i="10"/>
  <c r="AU102" i="10"/>
  <c r="I102" i="10"/>
  <c r="BF102" i="10"/>
  <c r="BG102" i="10"/>
  <c r="P102" i="10"/>
  <c r="U102" i="10"/>
  <c r="BR102" i="10"/>
  <c r="M65" i="5"/>
  <c r="BI65" i="5"/>
  <c r="N65" i="5"/>
  <c r="AX65" i="5"/>
  <c r="BJ65" i="5"/>
  <c r="O65" i="5"/>
  <c r="BK65" i="5"/>
  <c r="P65" i="5"/>
  <c r="BL65" i="5"/>
  <c r="Q65" i="5"/>
  <c r="AO65" i="5"/>
  <c r="BA65" i="5"/>
  <c r="BM65" i="5"/>
  <c r="R65" i="5"/>
  <c r="BN65" i="5"/>
  <c r="S65" i="5"/>
  <c r="BO65" i="5"/>
  <c r="H65" i="5"/>
  <c r="T65" i="5"/>
  <c r="AF65" i="5"/>
  <c r="AR65" i="5"/>
  <c r="BD65" i="5"/>
  <c r="BP65" i="5"/>
  <c r="I65" i="5"/>
  <c r="U65" i="5"/>
  <c r="BE65" i="5"/>
  <c r="BQ65" i="5"/>
  <c r="J65" i="5"/>
  <c r="AT65" i="5"/>
  <c r="BF65" i="5"/>
  <c r="BR65" i="5"/>
  <c r="K65" i="5"/>
  <c r="BG65" i="5"/>
  <c r="BS65" i="5"/>
  <c r="Y101" i="10"/>
  <c r="BS101" i="10"/>
  <c r="Q101" i="10"/>
  <c r="AK101" i="10"/>
  <c r="BM101" i="10"/>
  <c r="M101" i="10"/>
  <c r="AI101" i="10"/>
  <c r="BI101" i="10"/>
  <c r="K101" i="10"/>
  <c r="BR101" i="10"/>
  <c r="BG101" i="10"/>
  <c r="W101" i="10"/>
  <c r="AW101" i="10"/>
  <c r="BA101" i="10"/>
  <c r="AC101" i="10"/>
  <c r="AU101" i="10"/>
  <c r="AV101" i="10"/>
  <c r="Z101" i="10"/>
  <c r="AZ101" i="10"/>
  <c r="AP101" i="10"/>
  <c r="AQ101" i="10"/>
  <c r="I101" i="10"/>
  <c r="BH101" i="10"/>
  <c r="AL101" i="10"/>
  <c r="BL101" i="10"/>
  <c r="BB101" i="10"/>
  <c r="BC101" i="10"/>
  <c r="U101" i="10"/>
  <c r="J101" i="10"/>
  <c r="BT101" i="10"/>
  <c r="AX101" i="10"/>
  <c r="BN101" i="10"/>
  <c r="BO101" i="10"/>
  <c r="AG101" i="10"/>
  <c r="V101" i="10"/>
  <c r="BJ101" i="10"/>
  <c r="AS101" i="10"/>
  <c r="AH101" i="10"/>
  <c r="H101" i="10"/>
  <c r="BE101" i="10"/>
  <c r="AT101" i="10"/>
  <c r="T101" i="10"/>
  <c r="BQ101" i="10"/>
  <c r="BF101" i="10"/>
  <c r="AO101" i="10"/>
  <c r="O101" i="10"/>
  <c r="AF101" i="10"/>
  <c r="AA101" i="10"/>
  <c r="AR101" i="10"/>
  <c r="AM101" i="10"/>
  <c r="BD101" i="10"/>
  <c r="L101" i="10"/>
  <c r="AY101" i="10"/>
  <c r="P101" i="10"/>
  <c r="BP101" i="10"/>
  <c r="X101" i="10"/>
  <c r="BK101" i="10"/>
  <c r="AB101" i="10"/>
  <c r="R101" i="10"/>
  <c r="S101" i="10"/>
  <c r="AJ101" i="10"/>
  <c r="N101" i="10"/>
  <c r="AN101" i="10"/>
  <c r="AD101" i="10"/>
  <c r="AE101" i="10"/>
  <c r="BD98" i="12"/>
  <c r="AA90" i="2"/>
  <c r="AY97" i="7"/>
  <c r="Y97" i="7"/>
  <c r="AV97" i="7"/>
  <c r="AO97" i="7"/>
  <c r="V97" i="7"/>
  <c r="AM97" i="7"/>
  <c r="M97" i="7"/>
  <c r="AE97" i="7"/>
  <c r="P97" i="7"/>
  <c r="BC97" i="7"/>
  <c r="AH97" i="7"/>
  <c r="AQ97" i="7"/>
  <c r="AA97" i="7"/>
  <c r="BP97" i="7"/>
  <c r="L97" i="7"/>
  <c r="BL97" i="7"/>
  <c r="O97" i="7"/>
  <c r="BD97" i="7"/>
  <c r="BN97" i="7"/>
  <c r="AJ97" i="7"/>
  <c r="R97" i="7"/>
  <c r="BJ97" i="7"/>
  <c r="AR97" i="7"/>
  <c r="AU97" i="7"/>
  <c r="I97" i="7"/>
  <c r="BS97" i="7"/>
  <c r="AX97" i="7"/>
  <c r="AF97" i="7"/>
  <c r="AD97" i="7"/>
  <c r="BH97" i="7"/>
  <c r="AL97" i="7"/>
  <c r="T97" i="7"/>
  <c r="K97" i="7"/>
  <c r="AI97" i="7"/>
  <c r="AS97" i="7"/>
  <c r="Z97" i="7"/>
  <c r="H97" i="7"/>
  <c r="BM97" i="7"/>
  <c r="BF97" i="7"/>
  <c r="BA97" i="7"/>
  <c r="BG97" i="7"/>
  <c r="N97" i="7"/>
  <c r="BE97" i="7"/>
  <c r="AT97" i="7"/>
  <c r="AG97" i="7"/>
  <c r="AB97" i="7"/>
  <c r="BT97" i="7"/>
  <c r="W97" i="7"/>
  <c r="AP97" i="7"/>
  <c r="BI97" i="7"/>
  <c r="AN97" i="7"/>
  <c r="AC97" i="7"/>
  <c r="BB97" i="7"/>
  <c r="S97" i="7"/>
  <c r="Q97" i="7"/>
  <c r="BR97" i="7"/>
  <c r="AW97" i="7"/>
  <c r="U97" i="7"/>
  <c r="J97" i="7"/>
  <c r="X97" i="7"/>
  <c r="AE96" i="11"/>
  <c r="AF96" i="11"/>
  <c r="AU96" i="11"/>
  <c r="AV96" i="11"/>
  <c r="BO96" i="11"/>
  <c r="AX96" i="11"/>
  <c r="I96" i="11"/>
  <c r="S96" i="11"/>
  <c r="BJ96" i="11"/>
  <c r="BP96" i="11"/>
  <c r="N96" i="11"/>
  <c r="BK96" i="11"/>
  <c r="R96" i="11"/>
  <c r="AN96" i="11"/>
  <c r="BQ96" i="11"/>
  <c r="H96" i="11"/>
  <c r="AQ96" i="11"/>
  <c r="L96" i="11"/>
  <c r="BI96" i="11"/>
  <c r="AG96" i="11"/>
  <c r="AB96" i="11"/>
  <c r="X96" i="11"/>
  <c r="BG96" i="11"/>
  <c r="AA96" i="11"/>
  <c r="AW96" i="11"/>
  <c r="P96" i="11"/>
  <c r="AM96" i="11"/>
  <c r="AR96" i="11"/>
  <c r="BN96" i="11"/>
  <c r="BR96" i="11"/>
  <c r="BD96" i="11"/>
  <c r="BH96" i="11"/>
  <c r="T96" i="11"/>
  <c r="BF96" i="11"/>
  <c r="W96" i="11"/>
  <c r="BT96" i="11"/>
  <c r="AJ96" i="11"/>
  <c r="BM96" i="11"/>
  <c r="AT96" i="11"/>
  <c r="AL96" i="11"/>
  <c r="AY96" i="11"/>
  <c r="BA96" i="11"/>
  <c r="AH96" i="11"/>
  <c r="BC96" i="11"/>
  <c r="AO96" i="11"/>
  <c r="V96" i="11"/>
  <c r="BS96" i="11"/>
  <c r="O96" i="11"/>
  <c r="AC96" i="11"/>
  <c r="J96" i="11"/>
  <c r="Y96" i="11"/>
  <c r="AI96" i="11"/>
  <c r="Q96" i="11"/>
  <c r="U96" i="11"/>
  <c r="AP96" i="11"/>
  <c r="M96" i="11"/>
  <c r="BL96" i="11"/>
  <c r="AK96" i="11"/>
  <c r="BE96" i="11"/>
  <c r="K96" i="11"/>
  <c r="AD96" i="11"/>
  <c r="Z96" i="11"/>
  <c r="AZ96" i="11"/>
  <c r="BB96" i="11"/>
  <c r="AS96" i="11"/>
  <c r="BR95" i="10"/>
  <c r="BS95" i="10"/>
  <c r="AT95" i="10"/>
  <c r="BT95" i="10"/>
  <c r="T95" i="10"/>
  <c r="AC95" i="10"/>
  <c r="BO95" i="10"/>
  <c r="BA95" i="10"/>
  <c r="M95" i="10"/>
  <c r="AK95" i="10"/>
  <c r="X95" i="10"/>
  <c r="L95" i="10"/>
  <c r="BM95" i="10"/>
  <c r="AW95" i="10"/>
  <c r="K95" i="10"/>
  <c r="AJ95" i="10"/>
  <c r="J95" i="10"/>
  <c r="AI95" i="10"/>
  <c r="BH95" i="10"/>
  <c r="S95" i="10"/>
  <c r="H95" i="10"/>
  <c r="AH95" i="10"/>
  <c r="BG95" i="10"/>
  <c r="AR95" i="10"/>
  <c r="W95" i="10"/>
  <c r="AF95" i="10"/>
  <c r="BF95" i="10"/>
  <c r="AV95" i="10"/>
  <c r="BI95" i="10"/>
  <c r="BD95" i="10"/>
  <c r="V95" i="10"/>
  <c r="AE95" i="10"/>
  <c r="AQ95" i="10"/>
  <c r="BC95" i="10"/>
  <c r="Q95" i="10"/>
  <c r="BP95" i="10"/>
  <c r="AM95" i="10"/>
  <c r="AY95" i="10"/>
  <c r="I95" i="10"/>
  <c r="BK95" i="10"/>
  <c r="U95" i="10"/>
  <c r="N95" i="10"/>
  <c r="R95" i="10"/>
  <c r="AG95" i="10"/>
  <c r="Z95" i="10"/>
  <c r="BL95" i="10"/>
  <c r="AD95" i="10"/>
  <c r="AS95" i="10"/>
  <c r="AL95" i="10"/>
  <c r="AP95" i="10"/>
  <c r="BE95" i="10"/>
  <c r="AX95" i="10"/>
  <c r="AZ95" i="10"/>
  <c r="AN95" i="10"/>
  <c r="BB95" i="10"/>
  <c r="BQ95" i="10"/>
  <c r="BJ95" i="10"/>
  <c r="AB95" i="10"/>
  <c r="BN95" i="10"/>
  <c r="P95" i="10"/>
  <c r="Y95" i="10"/>
  <c r="O95" i="10"/>
  <c r="AO95" i="10"/>
  <c r="AU95" i="10"/>
  <c r="AA95" i="10"/>
  <c r="BI92" i="11"/>
  <c r="O67" i="5"/>
  <c r="AA83" i="2"/>
  <c r="X82" i="2"/>
  <c r="I88" i="10"/>
  <c r="AJ88" i="10"/>
  <c r="U88" i="10"/>
  <c r="L73" i="2"/>
  <c r="Q59" i="5"/>
  <c r="AN57" i="5"/>
  <c r="L64" i="5"/>
  <c r="BK33" i="5"/>
  <c r="AW48" i="5"/>
  <c r="V94" i="7"/>
  <c r="Z91" i="7"/>
  <c r="BM71" i="5"/>
  <c r="R10" i="2"/>
  <c r="U12" i="2"/>
  <c r="AL19" i="5"/>
  <c r="X45" i="2"/>
  <c r="X49" i="2"/>
  <c r="L42" i="2"/>
  <c r="AA85" i="2"/>
  <c r="X88" i="2"/>
  <c r="X67" i="2"/>
  <c r="I59" i="2"/>
  <c r="D66" i="5"/>
  <c r="D65" i="5"/>
  <c r="AL98" i="12"/>
  <c r="AR98" i="12"/>
  <c r="AZ98" i="12"/>
  <c r="BF98" i="12"/>
  <c r="I98" i="12"/>
  <c r="BP98" i="12"/>
  <c r="M98" i="12"/>
  <c r="AT98" i="12"/>
  <c r="L98" i="12"/>
  <c r="W98" i="12"/>
  <c r="AA98" i="12"/>
  <c r="AK98" i="12"/>
  <c r="AO98" i="12"/>
  <c r="AS98" i="12"/>
  <c r="H98" i="12"/>
  <c r="AY98" i="12"/>
  <c r="BE98" i="12"/>
  <c r="P98" i="12"/>
  <c r="AF98" i="12"/>
  <c r="AH98" i="12"/>
  <c r="AN98" i="12"/>
  <c r="BO98" i="12"/>
  <c r="V98" i="12"/>
  <c r="BM98" i="12"/>
  <c r="K98" i="12"/>
  <c r="BS98" i="12"/>
  <c r="BH98" i="12"/>
  <c r="Z98" i="12"/>
  <c r="AV98" i="12"/>
  <c r="U98" i="12"/>
  <c r="AJ98" i="12"/>
  <c r="Y98" i="12"/>
  <c r="O98" i="12"/>
  <c r="T98" i="12"/>
  <c r="BR98" i="12"/>
  <c r="Q98" i="12"/>
  <c r="AI98" i="12"/>
  <c r="AX98" i="12"/>
  <c r="AM98" i="12"/>
  <c r="BG98" i="12"/>
  <c r="BJ98" i="12"/>
  <c r="AC98" i="12"/>
  <c r="AG98" i="12"/>
  <c r="AW98" i="12"/>
  <c r="BL98" i="12"/>
  <c r="BA98" i="12"/>
  <c r="AU98" i="12"/>
  <c r="BK98" i="12"/>
  <c r="J98" i="12"/>
  <c r="BQ98" i="12"/>
  <c r="N98" i="12"/>
  <c r="X98" i="12"/>
  <c r="AB98" i="12"/>
  <c r="R98" i="12"/>
  <c r="AD98" i="12"/>
  <c r="AP98" i="12"/>
  <c r="S98" i="12"/>
  <c r="BB98" i="12"/>
  <c r="AE98" i="12"/>
  <c r="BI98" i="12"/>
  <c r="BN98" i="12"/>
  <c r="AQ98" i="12"/>
  <c r="BC98" i="12"/>
  <c r="AH97" i="12"/>
  <c r="BJ97" i="12"/>
  <c r="AT97" i="12"/>
  <c r="AD97" i="12"/>
  <c r="L86" i="2"/>
  <c r="AA92" i="10"/>
  <c r="U85" i="2"/>
  <c r="D67" i="5"/>
  <c r="O84" i="2"/>
  <c r="L83" i="2"/>
  <c r="BA89" i="11"/>
  <c r="BR63" i="5"/>
  <c r="AB57" i="5"/>
  <c r="AY33" i="5"/>
  <c r="AK48" i="5"/>
  <c r="AF100" i="7"/>
  <c r="X35" i="2"/>
  <c r="L33" i="2"/>
  <c r="AA30" i="2"/>
  <c r="O25" i="2"/>
  <c r="N35" i="5"/>
  <c r="BD19" i="5"/>
  <c r="R41" i="2"/>
  <c r="R39" i="2"/>
  <c r="R37" i="2"/>
  <c r="X46" i="2"/>
  <c r="X58" i="2"/>
  <c r="U55" i="2"/>
  <c r="L61" i="2"/>
  <c r="BL69" i="10"/>
  <c r="O61" i="2"/>
  <c r="U60" i="2"/>
  <c r="K85" i="5"/>
  <c r="O55" i="2"/>
  <c r="X54" i="2"/>
  <c r="M59" i="7"/>
  <c r="AY103" i="10"/>
  <c r="Y103" i="10"/>
  <c r="M103" i="10"/>
  <c r="O103" i="10"/>
  <c r="BI103" i="10"/>
  <c r="AM103" i="10"/>
  <c r="AK103" i="10"/>
  <c r="BK103" i="10"/>
  <c r="BT103" i="10"/>
  <c r="AW103" i="10"/>
  <c r="AA103" i="10"/>
  <c r="BJ103" i="10"/>
  <c r="AZ103" i="10"/>
  <c r="BD103" i="10"/>
  <c r="AS103" i="10"/>
  <c r="K103" i="10"/>
  <c r="X103" i="10"/>
  <c r="BL103" i="10"/>
  <c r="BP103" i="10"/>
  <c r="BE103" i="10"/>
  <c r="W103" i="10"/>
  <c r="AJ103" i="10"/>
  <c r="BQ103" i="10"/>
  <c r="AI103" i="10"/>
  <c r="AV103" i="10"/>
  <c r="AU103" i="10"/>
  <c r="BH103" i="10"/>
  <c r="Q103" i="10"/>
  <c r="J103" i="10"/>
  <c r="BG103" i="10"/>
  <c r="AC103" i="10"/>
  <c r="S103" i="10"/>
  <c r="V103" i="10"/>
  <c r="BS103" i="10"/>
  <c r="AO103" i="10"/>
  <c r="AE103" i="10"/>
  <c r="AH103" i="10"/>
  <c r="BA103" i="10"/>
  <c r="R103" i="10"/>
  <c r="AQ103" i="10"/>
  <c r="AT103" i="10"/>
  <c r="N103" i="10"/>
  <c r="BM103" i="10"/>
  <c r="AD103" i="10"/>
  <c r="BC103" i="10"/>
  <c r="H103" i="10"/>
  <c r="BF103" i="10"/>
  <c r="Z103" i="10"/>
  <c r="P103" i="10"/>
  <c r="AP103" i="10"/>
  <c r="BO103" i="10"/>
  <c r="T103" i="10"/>
  <c r="I103" i="10"/>
  <c r="BR103" i="10"/>
  <c r="AL103" i="10"/>
  <c r="AB103" i="10"/>
  <c r="BB103" i="10"/>
  <c r="AF103" i="10"/>
  <c r="U103" i="10"/>
  <c r="AX103" i="10"/>
  <c r="AN103" i="10"/>
  <c r="BN103" i="10"/>
  <c r="AR103" i="10"/>
  <c r="AG103" i="10"/>
  <c r="L103" i="10"/>
  <c r="X91" i="2"/>
  <c r="AH98" i="7"/>
  <c r="I90" i="2"/>
  <c r="D40" i="5"/>
  <c r="AA87" i="2"/>
  <c r="Q93" i="12"/>
  <c r="AH93" i="7"/>
  <c r="BP92" i="10"/>
  <c r="W90" i="12"/>
  <c r="D45" i="5"/>
  <c r="D55" i="5"/>
  <c r="BT65" i="5"/>
  <c r="BF63" i="5"/>
  <c r="BO54" i="5"/>
  <c r="Y48" i="5"/>
  <c r="BT95" i="11"/>
  <c r="AX95" i="11"/>
  <c r="AU95" i="11"/>
  <c r="AQ95" i="11"/>
  <c r="BE95" i="11"/>
  <c r="AI95" i="11"/>
  <c r="AE95" i="11"/>
  <c r="Z95" i="11"/>
  <c r="BL95" i="11"/>
  <c r="AS95" i="11"/>
  <c r="S95" i="11"/>
  <c r="N95" i="11"/>
  <c r="K95" i="11"/>
  <c r="BC95" i="11"/>
  <c r="AZ95" i="11"/>
  <c r="AG95" i="11"/>
  <c r="W95" i="11"/>
  <c r="BN95" i="11"/>
  <c r="BI95" i="11"/>
  <c r="BF95" i="11"/>
  <c r="AN95" i="11"/>
  <c r="U95" i="11"/>
  <c r="AW95" i="11"/>
  <c r="AT95" i="11"/>
  <c r="AP95" i="11"/>
  <c r="AL95" i="11"/>
  <c r="AB95" i="11"/>
  <c r="I95" i="11"/>
  <c r="BD95" i="11"/>
  <c r="AH95" i="11"/>
  <c r="AD95" i="11"/>
  <c r="Y95" i="11"/>
  <c r="H95" i="11"/>
  <c r="X95" i="11"/>
  <c r="P95" i="11"/>
  <c r="V95" i="11"/>
  <c r="R95" i="11"/>
  <c r="M95" i="11"/>
  <c r="J95" i="11"/>
  <c r="BK95" i="11"/>
  <c r="AK95" i="11"/>
  <c r="BP95" i="11"/>
  <c r="BM95" i="11"/>
  <c r="BH95" i="11"/>
  <c r="AY95" i="11"/>
  <c r="BB95" i="11"/>
  <c r="BA95" i="11"/>
  <c r="AV95" i="11"/>
  <c r="AR95" i="11"/>
  <c r="AM95" i="11"/>
  <c r="BR95" i="11"/>
  <c r="AJ95" i="11"/>
  <c r="AF95" i="11"/>
  <c r="AC95" i="11"/>
  <c r="AA95" i="11"/>
  <c r="T95" i="11"/>
  <c r="Q95" i="11"/>
  <c r="L95" i="11"/>
  <c r="AO95" i="11"/>
  <c r="O95" i="11"/>
  <c r="BJ95" i="11"/>
  <c r="BG95" i="11"/>
  <c r="BQ95" i="11"/>
  <c r="BO95" i="11"/>
  <c r="L14" i="2"/>
  <c r="I24" i="2"/>
  <c r="BL35" i="11"/>
  <c r="I28" i="2"/>
  <c r="U20" i="2"/>
  <c r="BH18" i="10"/>
  <c r="X12" i="2"/>
  <c r="J35" i="5"/>
  <c r="BR19" i="5"/>
  <c r="BK19" i="5"/>
  <c r="U41" i="2"/>
  <c r="AA93" i="2"/>
  <c r="T99" i="7"/>
  <c r="L92" i="2"/>
  <c r="S98" i="7"/>
  <c r="BF98" i="7"/>
  <c r="V98" i="7"/>
  <c r="AE98" i="7"/>
  <c r="W98" i="7"/>
  <c r="Q98" i="7"/>
  <c r="AP98" i="7"/>
  <c r="T98" i="7"/>
  <c r="BN98" i="7"/>
  <c r="AU98" i="7"/>
  <c r="BC98" i="7"/>
  <c r="BD98" i="7"/>
  <c r="AV98" i="7"/>
  <c r="AW98" i="7"/>
  <c r="AX98" i="7"/>
  <c r="AI98" i="7"/>
  <c r="BH98" i="7"/>
  <c r="M98" i="7"/>
  <c r="BL98" i="7"/>
  <c r="AL98" i="7"/>
  <c r="R98" i="7"/>
  <c r="AQ98" i="7"/>
  <c r="AO98" i="7"/>
  <c r="AZ98" i="7"/>
  <c r="Z98" i="7"/>
  <c r="BR98" i="7"/>
  <c r="X98" i="7"/>
  <c r="BT98" i="7"/>
  <c r="AN98" i="7"/>
  <c r="N98" i="7"/>
  <c r="BA98" i="7"/>
  <c r="AF98" i="7"/>
  <c r="L98" i="7"/>
  <c r="AB98" i="7"/>
  <c r="BQ98" i="7"/>
  <c r="BM98" i="7"/>
  <c r="BG98" i="7"/>
  <c r="AK98" i="7"/>
  <c r="P98" i="7"/>
  <c r="BE98" i="7"/>
  <c r="AT98" i="7"/>
  <c r="BP98" i="7"/>
  <c r="BK98" i="7"/>
  <c r="AS98" i="7"/>
  <c r="AC98" i="7"/>
  <c r="K98" i="7"/>
  <c r="AD98" i="7"/>
  <c r="AY98" i="7"/>
  <c r="AG98" i="7"/>
  <c r="J98" i="7"/>
  <c r="AM98" i="7"/>
  <c r="U98" i="7"/>
  <c r="BI98" i="7"/>
  <c r="AA98" i="7"/>
  <c r="I98" i="7"/>
  <c r="AR98" i="7"/>
  <c r="AJ98" i="7"/>
  <c r="O98" i="7"/>
  <c r="BS98" i="7"/>
  <c r="Y98" i="7"/>
  <c r="BO98" i="7"/>
  <c r="W97" i="11"/>
  <c r="BC97" i="11"/>
  <c r="AW97" i="11"/>
  <c r="AS97" i="11"/>
  <c r="K97" i="11"/>
  <c r="AJ97" i="11"/>
  <c r="AF97" i="11"/>
  <c r="Z97" i="11"/>
  <c r="BN97" i="11"/>
  <c r="BF97" i="11"/>
  <c r="S97" i="11"/>
  <c r="M97" i="11"/>
  <c r="I97" i="11"/>
  <c r="BL97" i="11"/>
  <c r="AM97" i="11"/>
  <c r="BR97" i="11"/>
  <c r="BO97" i="11"/>
  <c r="BI97" i="11"/>
  <c r="Q97" i="11"/>
  <c r="AZ97" i="11"/>
  <c r="V97" i="11"/>
  <c r="AY97" i="11"/>
  <c r="AV97" i="11"/>
  <c r="BH97" i="11"/>
  <c r="AC97" i="11"/>
  <c r="AN97" i="11"/>
  <c r="BE97" i="11"/>
  <c r="AH97" i="11"/>
  <c r="AE97" i="11"/>
  <c r="AR97" i="11"/>
  <c r="AO97" i="11"/>
  <c r="AB97" i="11"/>
  <c r="AL97" i="11"/>
  <c r="O97" i="11"/>
  <c r="L97" i="11"/>
  <c r="AQ97" i="11"/>
  <c r="BA97" i="11"/>
  <c r="R97" i="11"/>
  <c r="P97" i="11"/>
  <c r="U97" i="11"/>
  <c r="BQ97" i="11"/>
  <c r="BK97" i="11"/>
  <c r="Y97" i="11"/>
  <c r="BM97" i="11"/>
  <c r="AD97" i="11"/>
  <c r="BS97" i="11"/>
  <c r="BD97" i="11"/>
  <c r="AX97" i="11"/>
  <c r="AT97" i="11"/>
  <c r="X97" i="11"/>
  <c r="AP97" i="11"/>
  <c r="BG97" i="11"/>
  <c r="AK97" i="11"/>
  <c r="AG97" i="11"/>
  <c r="AA97" i="11"/>
  <c r="H97" i="11"/>
  <c r="BB97" i="11"/>
  <c r="AU97" i="11"/>
  <c r="T97" i="11"/>
  <c r="N97" i="11"/>
  <c r="J97" i="11"/>
  <c r="AI97" i="11"/>
  <c r="BT97" i="11"/>
  <c r="BP97" i="11"/>
  <c r="BJ97" i="11"/>
  <c r="AD96" i="10"/>
  <c r="W96" i="10"/>
  <c r="AW96" i="10"/>
  <c r="BH96" i="10"/>
  <c r="M96" i="10"/>
  <c r="N96" i="10"/>
  <c r="T96" i="10"/>
  <c r="BE96" i="10"/>
  <c r="I96" i="10"/>
  <c r="AJ96" i="10"/>
  <c r="AI96" i="10"/>
  <c r="BD96" i="10"/>
  <c r="AR96" i="10"/>
  <c r="AL96" i="10"/>
  <c r="AN96" i="10"/>
  <c r="V96" i="10"/>
  <c r="AV96" i="10"/>
  <c r="AB96" i="10"/>
  <c r="J96" i="10"/>
  <c r="BQ96" i="10"/>
  <c r="U96" i="10"/>
  <c r="P96" i="10"/>
  <c r="BO96" i="10"/>
  <c r="R96" i="10"/>
  <c r="AP96" i="10"/>
  <c r="BK96" i="10"/>
  <c r="BC96" i="10"/>
  <c r="AK96" i="10"/>
  <c r="BI96" i="10"/>
  <c r="AY96" i="10"/>
  <c r="AQ96" i="10"/>
  <c r="BG96" i="10"/>
  <c r="BM96" i="10"/>
  <c r="AM96" i="10"/>
  <c r="AE96" i="10"/>
  <c r="BA96" i="10"/>
  <c r="AA96" i="10"/>
  <c r="S96" i="10"/>
  <c r="K96" i="10"/>
  <c r="AO96" i="10"/>
  <c r="O96" i="10"/>
  <c r="X96" i="10"/>
  <c r="AF96" i="10"/>
  <c r="AC96" i="10"/>
  <c r="BR96" i="10"/>
  <c r="AS96" i="10"/>
  <c r="AX96" i="10"/>
  <c r="Q96" i="10"/>
  <c r="BF96" i="10"/>
  <c r="BN96" i="10"/>
  <c r="Y96" i="10"/>
  <c r="BT96" i="10"/>
  <c r="BS96" i="10"/>
  <c r="BL96" i="10"/>
  <c r="AT96" i="10"/>
  <c r="AU96" i="10"/>
  <c r="H96" i="10"/>
  <c r="BP96" i="10"/>
  <c r="L96" i="10"/>
  <c r="AG96" i="10"/>
  <c r="Z96" i="10"/>
  <c r="BB96" i="10"/>
  <c r="AZ96" i="10"/>
  <c r="AH96" i="10"/>
  <c r="O81" i="2"/>
  <c r="BL86" i="10"/>
  <c r="M86" i="10"/>
  <c r="AA86" i="10"/>
  <c r="K86" i="10"/>
  <c r="U77" i="2"/>
  <c r="W82" i="11"/>
  <c r="AQ82" i="11"/>
  <c r="BH65" i="5"/>
  <c r="AT63" i="5"/>
  <c r="AZ97" i="7"/>
  <c r="O101" i="7"/>
  <c r="BF102" i="7"/>
  <c r="AY102" i="7"/>
  <c r="U23" i="2"/>
  <c r="BQ19" i="5"/>
  <c r="BT19" i="5"/>
  <c r="BH35" i="5"/>
  <c r="U49" i="2"/>
  <c r="L38" i="2"/>
  <c r="O43" i="2"/>
  <c r="U93" i="2"/>
  <c r="BB99" i="7"/>
  <c r="Z99" i="7"/>
  <c r="BN99" i="7"/>
  <c r="AV99" i="7"/>
  <c r="AZ99" i="7"/>
  <c r="AH99" i="7"/>
  <c r="AR99" i="7"/>
  <c r="AN99" i="7"/>
  <c r="V99" i="7"/>
  <c r="BI99" i="7"/>
  <c r="AB99" i="7"/>
  <c r="J99" i="7"/>
  <c r="I99" i="7"/>
  <c r="L99" i="7"/>
  <c r="U99" i="7"/>
  <c r="P99" i="7"/>
  <c r="W99" i="7"/>
  <c r="X99" i="7"/>
  <c r="BT99" i="7"/>
  <c r="AI99" i="7"/>
  <c r="AK99" i="7"/>
  <c r="BK99" i="7"/>
  <c r="AP99" i="7"/>
  <c r="AQ99" i="7"/>
  <c r="AS99" i="7"/>
  <c r="BJ99" i="7"/>
  <c r="BO99" i="7"/>
  <c r="AY99" i="7"/>
  <c r="BG99" i="7"/>
  <c r="BH99" i="7"/>
  <c r="R99" i="7"/>
  <c r="BM99" i="7"/>
  <c r="AM99" i="7"/>
  <c r="N99" i="7"/>
  <c r="BC99" i="7"/>
  <c r="BA99" i="7"/>
  <c r="AA99" i="7"/>
  <c r="AG99" i="7"/>
  <c r="AD99" i="7"/>
  <c r="AW99" i="7"/>
  <c r="M99" i="7"/>
  <c r="AO99" i="7"/>
  <c r="O99" i="7"/>
  <c r="AX99" i="7"/>
  <c r="AL99" i="7"/>
  <c r="S99" i="7"/>
  <c r="AC99" i="7"/>
  <c r="BR99" i="7"/>
  <c r="BP99" i="7"/>
  <c r="BQ99" i="7"/>
  <c r="AE99" i="7"/>
  <c r="AF99" i="7"/>
  <c r="K99" i="7"/>
  <c r="BS99" i="7"/>
  <c r="AU99" i="7"/>
  <c r="Q99" i="7"/>
  <c r="BF99" i="7"/>
  <c r="H99" i="7"/>
  <c r="BE98" i="11"/>
  <c r="BO98" i="11"/>
  <c r="BP98" i="11"/>
  <c r="BL98" i="11"/>
  <c r="BK98" i="11"/>
  <c r="BG98" i="11"/>
  <c r="I98" i="11"/>
  <c r="H98" i="11"/>
  <c r="M98" i="11"/>
  <c r="AK98" i="11"/>
  <c r="AO98" i="11"/>
  <c r="W98" i="11"/>
  <c r="BJ98" i="11"/>
  <c r="BT98" i="11"/>
  <c r="AS98" i="11"/>
  <c r="AY98" i="11"/>
  <c r="AV98" i="11"/>
  <c r="BF98" i="11"/>
  <c r="BQ98" i="11"/>
  <c r="AH98" i="11"/>
  <c r="AR98" i="11"/>
  <c r="AC98" i="11"/>
  <c r="T98" i="11"/>
  <c r="AB98" i="11"/>
  <c r="AW98" i="11"/>
  <c r="BI98" i="11"/>
  <c r="N98" i="11"/>
  <c r="AA98" i="11"/>
  <c r="Y98" i="11"/>
  <c r="AU98" i="11"/>
  <c r="BR98" i="11"/>
  <c r="AI98" i="11"/>
  <c r="BA98" i="11"/>
  <c r="AG98" i="11"/>
  <c r="BD98" i="11"/>
  <c r="Q98" i="11"/>
  <c r="AN98" i="11"/>
  <c r="AJ98" i="11"/>
  <c r="X98" i="11"/>
  <c r="BH98" i="11"/>
  <c r="Z98" i="11"/>
  <c r="J98" i="11"/>
  <c r="AZ98" i="11"/>
  <c r="AT98" i="11"/>
  <c r="L98" i="11"/>
  <c r="AL98" i="11"/>
  <c r="U98" i="11"/>
  <c r="O98" i="11"/>
  <c r="AF98" i="11"/>
  <c r="BN98" i="11"/>
  <c r="AQ98" i="11"/>
  <c r="BC98" i="11"/>
  <c r="BS98" i="11"/>
  <c r="K98" i="11"/>
  <c r="AX98" i="11"/>
  <c r="AM98" i="11"/>
  <c r="P98" i="11"/>
  <c r="R98" i="11"/>
  <c r="AD98" i="11"/>
  <c r="AP98" i="11"/>
  <c r="S98" i="11"/>
  <c r="V98" i="11"/>
  <c r="AE98" i="11"/>
  <c r="BB98" i="11"/>
  <c r="I91" i="2"/>
  <c r="U90" i="2"/>
  <c r="D42" i="5"/>
  <c r="BS94" i="12"/>
  <c r="H94" i="12"/>
  <c r="V94" i="12"/>
  <c r="BI94" i="12"/>
  <c r="BL94" i="12"/>
  <c r="AC94" i="12"/>
  <c r="AI94" i="12"/>
  <c r="AR94" i="12"/>
  <c r="AW94" i="12"/>
  <c r="AT94" i="12"/>
  <c r="U94" i="12"/>
  <c r="BK94" i="12"/>
  <c r="AK94" i="12"/>
  <c r="AE94" i="12"/>
  <c r="J94" i="12"/>
  <c r="K94" i="12"/>
  <c r="W94" i="12"/>
  <c r="AQ94" i="12"/>
  <c r="AY94" i="12"/>
  <c r="Y94" i="12"/>
  <c r="P94" i="12"/>
  <c r="AJ94" i="12"/>
  <c r="AN94" i="12"/>
  <c r="R94" i="12"/>
  <c r="BR94" i="12"/>
  <c r="AG94" i="12"/>
  <c r="BQ94" i="12"/>
  <c r="X94" i="12"/>
  <c r="AM94" i="12"/>
  <c r="M94" i="12"/>
  <c r="BH94" i="12"/>
  <c r="BF94" i="12"/>
  <c r="BG94" i="12"/>
  <c r="AO94" i="12"/>
  <c r="BA94" i="12"/>
  <c r="AA94" i="12"/>
  <c r="BO94" i="12"/>
  <c r="AS94" i="12"/>
  <c r="BN94" i="12"/>
  <c r="AH94" i="12"/>
  <c r="O94" i="12"/>
  <c r="AZ94" i="12"/>
  <c r="AD94" i="12"/>
  <c r="BJ94" i="12"/>
  <c r="S94" i="12"/>
  <c r="L94" i="12"/>
  <c r="T94" i="12"/>
  <c r="AX94" i="12"/>
  <c r="BM94" i="12"/>
  <c r="AB94" i="12"/>
  <c r="AP94" i="12"/>
  <c r="AV94" i="12"/>
  <c r="AL94" i="12"/>
  <c r="AU94" i="12"/>
  <c r="BB94" i="12"/>
  <c r="BP94" i="12"/>
  <c r="Z94" i="12"/>
  <c r="AF94" i="12"/>
  <c r="I94" i="12"/>
  <c r="BD94" i="12"/>
  <c r="N94" i="12"/>
  <c r="BE94" i="12"/>
  <c r="Q94" i="12"/>
  <c r="BC94" i="12"/>
  <c r="J56" i="5"/>
  <c r="V56" i="5"/>
  <c r="BF56" i="5"/>
  <c r="BR56" i="5"/>
  <c r="K56" i="5"/>
  <c r="W56" i="5"/>
  <c r="BG56" i="5"/>
  <c r="BS56" i="5"/>
  <c r="L56" i="5"/>
  <c r="BH56" i="5"/>
  <c r="BT56" i="5"/>
  <c r="M56" i="5"/>
  <c r="BI56" i="5"/>
  <c r="N56" i="5"/>
  <c r="BJ56" i="5"/>
  <c r="O56" i="5"/>
  <c r="BK56" i="5"/>
  <c r="P56" i="5"/>
  <c r="BL56" i="5"/>
  <c r="Q56" i="5"/>
  <c r="BM56" i="5"/>
  <c r="R56" i="5"/>
  <c r="BN56" i="5"/>
  <c r="S56" i="5"/>
  <c r="BO56" i="5"/>
  <c r="H56" i="5"/>
  <c r="T56" i="5"/>
  <c r="AR56" i="5"/>
  <c r="BD56" i="5"/>
  <c r="BP56" i="5"/>
  <c r="BD91" i="7"/>
  <c r="L91" i="7"/>
  <c r="J91" i="7"/>
  <c r="X91" i="7"/>
  <c r="BR91" i="7"/>
  <c r="AR91" i="7"/>
  <c r="BN91" i="7"/>
  <c r="BK91" i="7"/>
  <c r="AZ91" i="7"/>
  <c r="AK91" i="7"/>
  <c r="AF91" i="7"/>
  <c r="AY91" i="7"/>
  <c r="AT91" i="7"/>
  <c r="W91" i="7"/>
  <c r="BT91" i="7"/>
  <c r="T91" i="7"/>
  <c r="AJ91" i="7"/>
  <c r="Y91" i="7"/>
  <c r="AX91" i="7"/>
  <c r="BJ91" i="7"/>
  <c r="H91" i="7"/>
  <c r="S91" i="7"/>
  <c r="BF91" i="7"/>
  <c r="V91" i="7"/>
  <c r="BI91" i="7"/>
  <c r="BQ91" i="7"/>
  <c r="BO91" i="7"/>
  <c r="BM91" i="7"/>
  <c r="AL91" i="7"/>
  <c r="AW91" i="7"/>
  <c r="AN91" i="7"/>
  <c r="BE91" i="7"/>
  <c r="BC91" i="7"/>
  <c r="AV91" i="7"/>
  <c r="R91" i="7"/>
  <c r="Q91" i="7"/>
  <c r="AI91" i="7"/>
  <c r="AS91" i="7"/>
  <c r="AQ91" i="7"/>
  <c r="AB91" i="7"/>
  <c r="BH91" i="7"/>
  <c r="AP91" i="7"/>
  <c r="AH91" i="7"/>
  <c r="AG91" i="7"/>
  <c r="AE91" i="7"/>
  <c r="K91" i="7"/>
  <c r="AD91" i="7"/>
  <c r="P91" i="7"/>
  <c r="O91" i="7"/>
  <c r="U91" i="7"/>
  <c r="BG91" i="7"/>
  <c r="BL91" i="7"/>
  <c r="BB91" i="7"/>
  <c r="BS91" i="7"/>
  <c r="M91" i="7"/>
  <c r="I91" i="7"/>
  <c r="AO91" i="7"/>
  <c r="AU91" i="7"/>
  <c r="AC91" i="7"/>
  <c r="AM91" i="7"/>
  <c r="BR90" i="11"/>
  <c r="BC90" i="11"/>
  <c r="AA90" i="11"/>
  <c r="BK90" i="11"/>
  <c r="AI90" i="11"/>
  <c r="AF90" i="11"/>
  <c r="BF90" i="11"/>
  <c r="AP90" i="11"/>
  <c r="N90" i="11"/>
  <c r="AX90" i="11"/>
  <c r="U90" i="11"/>
  <c r="AE90" i="11"/>
  <c r="AT90" i="11"/>
  <c r="AC90" i="11"/>
  <c r="BM90" i="11"/>
  <c r="AK90" i="11"/>
  <c r="H90" i="11"/>
  <c r="S90" i="11"/>
  <c r="AH90" i="11"/>
  <c r="P90" i="11"/>
  <c r="AZ90" i="11"/>
  <c r="X90" i="11"/>
  <c r="BH90" i="11"/>
  <c r="R90" i="11"/>
  <c r="V90" i="11"/>
  <c r="BO90" i="11"/>
  <c r="AM90" i="11"/>
  <c r="K90" i="11"/>
  <c r="AU90" i="11"/>
  <c r="BT90" i="11"/>
  <c r="J90" i="11"/>
  <c r="BB90" i="11"/>
  <c r="Z90" i="11"/>
  <c r="BJ90" i="11"/>
  <c r="AG90" i="11"/>
  <c r="BQ90" i="11"/>
  <c r="AO90" i="11"/>
  <c r="M90" i="11"/>
  <c r="AW90" i="11"/>
  <c r="T90" i="11"/>
  <c r="BD90" i="11"/>
  <c r="AB90" i="11"/>
  <c r="BL90" i="11"/>
  <c r="AJ90" i="11"/>
  <c r="BS90" i="11"/>
  <c r="AQ90" i="11"/>
  <c r="O90" i="11"/>
  <c r="AY90" i="11"/>
  <c r="W90" i="11"/>
  <c r="BG90" i="11"/>
  <c r="AD90" i="11"/>
  <c r="BN90" i="11"/>
  <c r="AL90" i="11"/>
  <c r="I90" i="11"/>
  <c r="BE90" i="11"/>
  <c r="Q90" i="11"/>
  <c r="BA90" i="11"/>
  <c r="Y90" i="11"/>
  <c r="BI90" i="11"/>
  <c r="AS90" i="11"/>
  <c r="AR90" i="11"/>
  <c r="BP90" i="11"/>
  <c r="AN90" i="11"/>
  <c r="L90" i="11"/>
  <c r="AV90" i="11"/>
  <c r="U75" i="2"/>
  <c r="AH63" i="5"/>
  <c r="BE56" i="5"/>
  <c r="H98" i="7"/>
  <c r="BQ97" i="7"/>
  <c r="AQ102" i="11"/>
  <c r="BD102" i="11"/>
  <c r="I102" i="11"/>
  <c r="BC102" i="11"/>
  <c r="Q102" i="11"/>
  <c r="AP102" i="11"/>
  <c r="AN102" i="11"/>
  <c r="AC102" i="11"/>
  <c r="L58" i="5"/>
  <c r="X58" i="5"/>
  <c r="AJ58" i="5"/>
  <c r="AV58" i="5"/>
  <c r="BH58" i="5"/>
  <c r="BT58" i="5"/>
  <c r="M58" i="5"/>
  <c r="Y58" i="5"/>
  <c r="AK58" i="5"/>
  <c r="AW58" i="5"/>
  <c r="BI58" i="5"/>
  <c r="N58" i="5"/>
  <c r="Z58" i="5"/>
  <c r="AL58" i="5"/>
  <c r="AX58" i="5"/>
  <c r="BJ58" i="5"/>
  <c r="O58" i="5"/>
  <c r="AA58" i="5"/>
  <c r="AM58" i="5"/>
  <c r="AY58" i="5"/>
  <c r="BK58" i="5"/>
  <c r="P58" i="5"/>
  <c r="AB58" i="5"/>
  <c r="AN58" i="5"/>
  <c r="AZ58" i="5"/>
  <c r="BL58" i="5"/>
  <c r="Q58" i="5"/>
  <c r="AC58" i="5"/>
  <c r="AO58" i="5"/>
  <c r="BA58" i="5"/>
  <c r="BM58" i="5"/>
  <c r="R58" i="5"/>
  <c r="AD58" i="5"/>
  <c r="AP58" i="5"/>
  <c r="BB58" i="5"/>
  <c r="BN58" i="5"/>
  <c r="S58" i="5"/>
  <c r="AE58" i="5"/>
  <c r="AQ58" i="5"/>
  <c r="BC58" i="5"/>
  <c r="BO58" i="5"/>
  <c r="H58" i="5"/>
  <c r="T58" i="5"/>
  <c r="AF58" i="5"/>
  <c r="AR58" i="5"/>
  <c r="BD58" i="5"/>
  <c r="BP58" i="5"/>
  <c r="I58" i="5"/>
  <c r="U58" i="5"/>
  <c r="AG58" i="5"/>
  <c r="AS58" i="5"/>
  <c r="BE58" i="5"/>
  <c r="BQ58" i="5"/>
  <c r="J58" i="5"/>
  <c r="V58" i="5"/>
  <c r="AH58" i="5"/>
  <c r="AT58" i="5"/>
  <c r="BF58" i="5"/>
  <c r="BR58" i="5"/>
  <c r="O100" i="5"/>
  <c r="U35" i="2"/>
  <c r="BN86" i="5"/>
  <c r="X33" i="2"/>
  <c r="K73" i="5"/>
  <c r="O32" i="2"/>
  <c r="U28" i="2"/>
  <c r="I34" i="5"/>
  <c r="U26" i="2"/>
  <c r="I19" i="2"/>
  <c r="I11" i="2"/>
  <c r="AY19" i="5"/>
  <c r="W35" i="5"/>
  <c r="I37" i="2"/>
  <c r="L41" i="2"/>
  <c r="AA49" i="2"/>
  <c r="O77" i="2"/>
  <c r="X95" i="2"/>
  <c r="U59" i="2"/>
  <c r="R60" i="2"/>
  <c r="H76" i="5"/>
  <c r="U52" i="2"/>
  <c r="AA95" i="2"/>
  <c r="O95" i="2"/>
  <c r="AA94" i="2"/>
  <c r="L94" i="2"/>
  <c r="BQ100" i="12"/>
  <c r="Y100" i="12"/>
  <c r="X100" i="12"/>
  <c r="BH100" i="12"/>
  <c r="BG100" i="12"/>
  <c r="AN100" i="12"/>
  <c r="K100" i="12"/>
  <c r="AY100" i="12"/>
  <c r="P100" i="12"/>
  <c r="AA100" i="12"/>
  <c r="L100" i="12"/>
  <c r="BS100" i="12"/>
  <c r="AJ100" i="12"/>
  <c r="AU100" i="12"/>
  <c r="AB100" i="12"/>
  <c r="AZ100" i="12"/>
  <c r="R100" i="12"/>
  <c r="BK100" i="12"/>
  <c r="AV100" i="12"/>
  <c r="Q100" i="12"/>
  <c r="AD100" i="12"/>
  <c r="H100" i="12"/>
  <c r="AO100" i="12"/>
  <c r="BL100" i="12"/>
  <c r="M100" i="12"/>
  <c r="AK100" i="12"/>
  <c r="AP100" i="12"/>
  <c r="T100" i="12"/>
  <c r="I100" i="12"/>
  <c r="BI100" i="12"/>
  <c r="J100" i="12"/>
  <c r="AC100" i="12"/>
  <c r="N100" i="12"/>
  <c r="BA100" i="12"/>
  <c r="V100" i="12"/>
  <c r="BB100" i="12"/>
  <c r="S100" i="12"/>
  <c r="AF100" i="12"/>
  <c r="U100" i="12"/>
  <c r="Z100" i="12"/>
  <c r="AW100" i="12"/>
  <c r="AH100" i="12"/>
  <c r="AL100" i="12"/>
  <c r="BN100" i="12"/>
  <c r="AE100" i="12"/>
  <c r="AR100" i="12"/>
  <c r="AG100" i="12"/>
  <c r="AT100" i="12"/>
  <c r="BM100" i="12"/>
  <c r="AX100" i="12"/>
  <c r="BF100" i="12"/>
  <c r="W100" i="12"/>
  <c r="AQ100" i="12"/>
  <c r="BD100" i="12"/>
  <c r="AS100" i="12"/>
  <c r="BJ100" i="12"/>
  <c r="BR100" i="12"/>
  <c r="AM100" i="12"/>
  <c r="BC100" i="12"/>
  <c r="BP100" i="12"/>
  <c r="BE100" i="12"/>
  <c r="BO100" i="12"/>
  <c r="O100" i="12"/>
  <c r="AI100" i="12"/>
  <c r="L93" i="2"/>
  <c r="BQ99" i="12"/>
  <c r="Q99" i="12"/>
  <c r="BR99" i="12"/>
  <c r="AX99" i="12"/>
  <c r="AC99" i="12"/>
  <c r="U99" i="12"/>
  <c r="BS99" i="12"/>
  <c r="K99" i="12"/>
  <c r="R99" i="12"/>
  <c r="AQ99" i="12"/>
  <c r="T99" i="12"/>
  <c r="AU99" i="12"/>
  <c r="AJ99" i="12"/>
  <c r="Z99" i="12"/>
  <c r="BM99" i="12"/>
  <c r="AD99" i="12"/>
  <c r="BC99" i="12"/>
  <c r="AF99" i="12"/>
  <c r="BJ99" i="12"/>
  <c r="AY99" i="12"/>
  <c r="J99" i="12"/>
  <c r="AO99" i="12"/>
  <c r="AP99" i="12"/>
  <c r="BO99" i="12"/>
  <c r="AR99" i="12"/>
  <c r="Y99" i="12"/>
  <c r="BG99" i="12"/>
  <c r="BB99" i="12"/>
  <c r="BD99" i="12"/>
  <c r="M99" i="12"/>
  <c r="AN99" i="12"/>
  <c r="BN99" i="12"/>
  <c r="AB99" i="12"/>
  <c r="P99" i="12"/>
  <c r="I99" i="12"/>
  <c r="BF99" i="12"/>
  <c r="AT99" i="12"/>
  <c r="AH99" i="12"/>
  <c r="X99" i="12"/>
  <c r="BI99" i="12"/>
  <c r="AW99" i="12"/>
  <c r="BP99" i="12"/>
  <c r="AM99" i="12"/>
  <c r="L99" i="12"/>
  <c r="O99" i="12"/>
  <c r="BL99" i="12"/>
  <c r="W99" i="12"/>
  <c r="BE99" i="12"/>
  <c r="AA99" i="12"/>
  <c r="BH99" i="12"/>
  <c r="AG99" i="12"/>
  <c r="V99" i="12"/>
  <c r="AL99" i="12"/>
  <c r="AS99" i="12"/>
  <c r="AI99" i="12"/>
  <c r="AV99" i="12"/>
  <c r="AK99" i="12"/>
  <c r="BA99" i="12"/>
  <c r="S99" i="12"/>
  <c r="N99" i="12"/>
  <c r="BK99" i="12"/>
  <c r="AZ99" i="12"/>
  <c r="AE99" i="12"/>
  <c r="H99" i="12"/>
  <c r="I92" i="2"/>
  <c r="U91" i="2"/>
  <c r="X87" i="2"/>
  <c r="H93" i="10"/>
  <c r="D56" i="5"/>
  <c r="I84" i="2"/>
  <c r="AA81" i="2"/>
  <c r="N48" i="5"/>
  <c r="Z48" i="5"/>
  <c r="AL48" i="5"/>
  <c r="AX48" i="5"/>
  <c r="BJ48" i="5"/>
  <c r="O48" i="5"/>
  <c r="AA48" i="5"/>
  <c r="AM48" i="5"/>
  <c r="AY48" i="5"/>
  <c r="BK48" i="5"/>
  <c r="P48" i="5"/>
  <c r="AB48" i="5"/>
  <c r="AN48" i="5"/>
  <c r="AZ48" i="5"/>
  <c r="BL48" i="5"/>
  <c r="Q48" i="5"/>
  <c r="AC48" i="5"/>
  <c r="AO48" i="5"/>
  <c r="BA48" i="5"/>
  <c r="BM48" i="5"/>
  <c r="R48" i="5"/>
  <c r="AD48" i="5"/>
  <c r="AP48" i="5"/>
  <c r="BB48" i="5"/>
  <c r="BN48" i="5"/>
  <c r="S48" i="5"/>
  <c r="AE48" i="5"/>
  <c r="AQ48" i="5"/>
  <c r="BC48" i="5"/>
  <c r="BO48" i="5"/>
  <c r="H48" i="5"/>
  <c r="T48" i="5"/>
  <c r="AF48" i="5"/>
  <c r="AR48" i="5"/>
  <c r="BD48" i="5"/>
  <c r="BP48" i="5"/>
  <c r="I48" i="5"/>
  <c r="U48" i="5"/>
  <c r="AG48" i="5"/>
  <c r="AS48" i="5"/>
  <c r="BE48" i="5"/>
  <c r="BQ48" i="5"/>
  <c r="J48" i="5"/>
  <c r="V48" i="5"/>
  <c r="AH48" i="5"/>
  <c r="AT48" i="5"/>
  <c r="BF48" i="5"/>
  <c r="BR48" i="5"/>
  <c r="K48" i="5"/>
  <c r="W48" i="5"/>
  <c r="AI48" i="5"/>
  <c r="AU48" i="5"/>
  <c r="BG48" i="5"/>
  <c r="BS48" i="5"/>
  <c r="L48" i="5"/>
  <c r="X48" i="5"/>
  <c r="AJ48" i="5"/>
  <c r="AV48" i="5"/>
  <c r="BH48" i="5"/>
  <c r="BT48" i="5"/>
  <c r="V63" i="5"/>
  <c r="BG58" i="5"/>
  <c r="AS56" i="5"/>
  <c r="BB98" i="7"/>
  <c r="BO97" i="7"/>
  <c r="BI84" i="7"/>
  <c r="AJ100" i="5"/>
  <c r="AK100" i="5"/>
  <c r="L36" i="2"/>
  <c r="M71" i="5"/>
  <c r="AL35" i="10"/>
  <c r="L27" i="2"/>
  <c r="X25" i="2"/>
  <c r="L24" i="2"/>
  <c r="R20" i="2"/>
  <c r="U16" i="2"/>
  <c r="BO35" i="5"/>
  <c r="L39" i="2"/>
  <c r="L40" i="2"/>
  <c r="AA41" i="2"/>
  <c r="L37" i="2"/>
  <c r="U51" i="2"/>
  <c r="AZ54" i="7"/>
  <c r="U92" i="2"/>
  <c r="X57" i="2"/>
  <c r="I57" i="2"/>
  <c r="R56" i="2"/>
  <c r="BK62" i="12"/>
  <c r="I55" i="2"/>
  <c r="X93" i="2"/>
  <c r="X92" i="2"/>
  <c r="AT98" i="10"/>
  <c r="AA94" i="7"/>
  <c r="AR94" i="7"/>
  <c r="AE94" i="7"/>
  <c r="S94" i="7"/>
  <c r="I94" i="7"/>
  <c r="AN94" i="7"/>
  <c r="AZ94" i="7"/>
  <c r="AF94" i="7"/>
  <c r="AC94" i="7"/>
  <c r="BN94" i="7"/>
  <c r="H94" i="7"/>
  <c r="BM94" i="7"/>
  <c r="BO94" i="7"/>
  <c r="AW94" i="7"/>
  <c r="BC94" i="7"/>
  <c r="M94" i="7"/>
  <c r="BI94" i="7"/>
  <c r="L94" i="7"/>
  <c r="J94" i="7"/>
  <c r="AO94" i="7"/>
  <c r="AB94" i="7"/>
  <c r="BS94" i="7"/>
  <c r="BP94" i="7"/>
  <c r="U94" i="7"/>
  <c r="BE94" i="7"/>
  <c r="BG94" i="7"/>
  <c r="BA94" i="7"/>
  <c r="BD94" i="7"/>
  <c r="AU94" i="7"/>
  <c r="AL94" i="7"/>
  <c r="AM94" i="7"/>
  <c r="AI94" i="7"/>
  <c r="T94" i="7"/>
  <c r="R94" i="7"/>
  <c r="W94" i="7"/>
  <c r="BK94" i="7"/>
  <c r="BB94" i="7"/>
  <c r="K94" i="7"/>
  <c r="AS94" i="7"/>
  <c r="AG94" i="7"/>
  <c r="N94" i="7"/>
  <c r="BT94" i="7"/>
  <c r="BR94" i="7"/>
  <c r="AD94" i="7"/>
  <c r="P94" i="7"/>
  <c r="AX94" i="7"/>
  <c r="BH94" i="7"/>
  <c r="BF94" i="7"/>
  <c r="O94" i="7"/>
  <c r="BJ94" i="7"/>
  <c r="AK94" i="7"/>
  <c r="Q94" i="7"/>
  <c r="AV94" i="7"/>
  <c r="AT94" i="7"/>
  <c r="Z94" i="7"/>
  <c r="AP94" i="7"/>
  <c r="BQ94" i="7"/>
  <c r="AY94" i="7"/>
  <c r="AJ94" i="7"/>
  <c r="AH94" i="7"/>
  <c r="AQ94" i="7"/>
  <c r="BK93" i="10"/>
  <c r="J93" i="10"/>
  <c r="O93" i="10"/>
  <c r="Q93" i="10"/>
  <c r="BN93" i="10"/>
  <c r="BP93" i="10"/>
  <c r="AZ93" i="10"/>
  <c r="AY93" i="10"/>
  <c r="AN93" i="10"/>
  <c r="AS93" i="10"/>
  <c r="AH93" i="10"/>
  <c r="I93" i="10"/>
  <c r="BG93" i="10"/>
  <c r="W93" i="10"/>
  <c r="BL93" i="10"/>
  <c r="T93" i="10"/>
  <c r="BM93" i="10"/>
  <c r="AD93" i="10"/>
  <c r="AA93" i="10"/>
  <c r="AR93" i="10"/>
  <c r="AU93" i="10"/>
  <c r="U93" i="10"/>
  <c r="P93" i="10"/>
  <c r="BD93" i="10"/>
  <c r="AM93" i="10"/>
  <c r="AP93" i="10"/>
  <c r="AG93" i="10"/>
  <c r="AC93" i="10"/>
  <c r="BQ93" i="10"/>
  <c r="K93" i="10"/>
  <c r="BR93" i="10"/>
  <c r="AT93" i="10"/>
  <c r="BA93" i="10"/>
  <c r="AB93" i="10"/>
  <c r="R93" i="10"/>
  <c r="AF93" i="10"/>
  <c r="AI93" i="10"/>
  <c r="BE93" i="10"/>
  <c r="BB93" i="10"/>
  <c r="BS93" i="10"/>
  <c r="BI93" i="10"/>
  <c r="BC93" i="10"/>
  <c r="AW93" i="10"/>
  <c r="AQ93" i="10"/>
  <c r="AK93" i="10"/>
  <c r="AE93" i="10"/>
  <c r="Y93" i="10"/>
  <c r="S93" i="10"/>
  <c r="M93" i="10"/>
  <c r="V93" i="10"/>
  <c r="BT93" i="10"/>
  <c r="AO93" i="10"/>
  <c r="BH93" i="10"/>
  <c r="BF93" i="10"/>
  <c r="BJ93" i="10"/>
  <c r="AV93" i="10"/>
  <c r="AX93" i="10"/>
  <c r="AJ93" i="10"/>
  <c r="AL93" i="10"/>
  <c r="X93" i="10"/>
  <c r="Z93" i="10"/>
  <c r="L93" i="10"/>
  <c r="N93" i="10"/>
  <c r="BO93" i="10"/>
  <c r="AZ33" i="5"/>
  <c r="BL33" i="5"/>
  <c r="BA33" i="5"/>
  <c r="BM33" i="5"/>
  <c r="BB33" i="5"/>
  <c r="BN33" i="5"/>
  <c r="BC33" i="5"/>
  <c r="BO33" i="5"/>
  <c r="H33" i="5"/>
  <c r="BD33" i="5"/>
  <c r="BP33" i="5"/>
  <c r="I33" i="5"/>
  <c r="BE33" i="5"/>
  <c r="BQ33" i="5"/>
  <c r="J33" i="5"/>
  <c r="AT33" i="5"/>
  <c r="BF33" i="5"/>
  <c r="BR33" i="5"/>
  <c r="K33" i="5"/>
  <c r="AU33" i="5"/>
  <c r="BG33" i="5"/>
  <c r="BS33" i="5"/>
  <c r="L33" i="5"/>
  <c r="AV33" i="5"/>
  <c r="BH33" i="5"/>
  <c r="BT33" i="5"/>
  <c r="M33" i="5"/>
  <c r="AW33" i="5"/>
  <c r="BI33" i="5"/>
  <c r="AX33" i="5"/>
  <c r="BJ33" i="5"/>
  <c r="AF83" i="7"/>
  <c r="O83" i="7"/>
  <c r="J63" i="5"/>
  <c r="AU58" i="5"/>
  <c r="Y99" i="7"/>
  <c r="BJ98" i="7"/>
  <c r="AK97" i="7"/>
  <c r="AJ99" i="7"/>
  <c r="AL100" i="5"/>
  <c r="X36" i="2"/>
  <c r="AA34" i="2"/>
  <c r="L29" i="2"/>
  <c r="U22" i="2"/>
  <c r="U19" i="2"/>
  <c r="BA19" i="5"/>
  <c r="AA47" i="2"/>
  <c r="I88" i="2"/>
  <c r="AC102" i="12"/>
  <c r="Y102" i="12"/>
  <c r="AO102" i="12"/>
  <c r="Q102" i="12"/>
  <c r="AX102" i="12"/>
  <c r="BM102" i="12"/>
  <c r="BK102" i="12"/>
  <c r="AM102" i="12"/>
  <c r="L102" i="12"/>
  <c r="N102" i="12"/>
  <c r="AJ102" i="12"/>
  <c r="AL102" i="12"/>
  <c r="AK102" i="12"/>
  <c r="BS102" i="12"/>
  <c r="Z102" i="12"/>
  <c r="BH102" i="12"/>
  <c r="BA102" i="12"/>
  <c r="AA102" i="12"/>
  <c r="AY102" i="12"/>
  <c r="AB102" i="12"/>
  <c r="BJ102" i="12"/>
  <c r="M102" i="12"/>
  <c r="P102" i="12"/>
  <c r="X102" i="12"/>
  <c r="AZ102" i="12"/>
  <c r="O102" i="12"/>
  <c r="BI102" i="12"/>
  <c r="AN102" i="12"/>
  <c r="AV102" i="12"/>
  <c r="AD102" i="12"/>
  <c r="H102" i="12"/>
  <c r="AP102" i="12"/>
  <c r="T102" i="12"/>
  <c r="BB102" i="12"/>
  <c r="S102" i="12"/>
  <c r="AF102" i="12"/>
  <c r="K102" i="12"/>
  <c r="BN102" i="12"/>
  <c r="AE102" i="12"/>
  <c r="AR102" i="12"/>
  <c r="J102" i="12"/>
  <c r="W102" i="12"/>
  <c r="AQ102" i="12"/>
  <c r="BD102" i="12"/>
  <c r="I102" i="12"/>
  <c r="V102" i="12"/>
  <c r="AI102" i="12"/>
  <c r="BC102" i="12"/>
  <c r="BP102" i="12"/>
  <c r="U102" i="12"/>
  <c r="AH102" i="12"/>
  <c r="AU102" i="12"/>
  <c r="BO102" i="12"/>
  <c r="AG102" i="12"/>
  <c r="AT102" i="12"/>
  <c r="BG102" i="12"/>
  <c r="AS102" i="12"/>
  <c r="BF102" i="12"/>
  <c r="AW102" i="12"/>
  <c r="BE102" i="12"/>
  <c r="BR102" i="12"/>
  <c r="BQ102" i="12"/>
  <c r="BL102" i="12"/>
  <c r="R102" i="12"/>
  <c r="L95" i="2"/>
  <c r="BI101" i="12"/>
  <c r="AO101" i="12"/>
  <c r="Y101" i="12"/>
  <c r="BR101" i="12"/>
  <c r="AB101" i="12"/>
  <c r="AJ101" i="12"/>
  <c r="X101" i="12"/>
  <c r="AU101" i="12"/>
  <c r="AA101" i="12"/>
  <c r="AX101" i="12"/>
  <c r="BA101" i="12"/>
  <c r="BM101" i="12"/>
  <c r="BL101" i="12"/>
  <c r="AW101" i="12"/>
  <c r="Q101" i="12"/>
  <c r="BS101" i="12"/>
  <c r="M101" i="12"/>
  <c r="AM101" i="12"/>
  <c r="O101" i="12"/>
  <c r="AI101" i="12"/>
  <c r="BK101" i="12"/>
  <c r="Z101" i="12"/>
  <c r="BG101" i="12"/>
  <c r="AZ101" i="12"/>
  <c r="AV101" i="12"/>
  <c r="L101" i="12"/>
  <c r="P101" i="12"/>
  <c r="AK101" i="12"/>
  <c r="AC101" i="12"/>
  <c r="AL101" i="12"/>
  <c r="AY101" i="12"/>
  <c r="BH101" i="12"/>
  <c r="BJ101" i="12"/>
  <c r="W101" i="12"/>
  <c r="BB101" i="12"/>
  <c r="AF101" i="12"/>
  <c r="AS101" i="12"/>
  <c r="AT101" i="12"/>
  <c r="N101" i="12"/>
  <c r="BN101" i="12"/>
  <c r="AR101" i="12"/>
  <c r="BE101" i="12"/>
  <c r="BF101" i="12"/>
  <c r="BD101" i="12"/>
  <c r="BQ101" i="12"/>
  <c r="BP101" i="12"/>
  <c r="S101" i="12"/>
  <c r="AE101" i="12"/>
  <c r="AN101" i="12"/>
  <c r="R101" i="12"/>
  <c r="AQ101" i="12"/>
  <c r="I101" i="12"/>
  <c r="J101" i="12"/>
  <c r="AD101" i="12"/>
  <c r="BC101" i="12"/>
  <c r="H101" i="12"/>
  <c r="U101" i="12"/>
  <c r="V101" i="12"/>
  <c r="AP101" i="12"/>
  <c r="BO101" i="12"/>
  <c r="K101" i="12"/>
  <c r="T101" i="12"/>
  <c r="AG101" i="12"/>
  <c r="AH101" i="12"/>
  <c r="P101" i="7"/>
  <c r="AL101" i="7"/>
  <c r="AM101" i="7"/>
  <c r="AA101" i="7"/>
  <c r="AM100" i="7"/>
  <c r="AK100" i="7"/>
  <c r="Z100" i="7"/>
  <c r="T100" i="7"/>
  <c r="O100" i="7"/>
  <c r="BN100" i="7"/>
  <c r="V100" i="7"/>
  <c r="BC100" i="7"/>
  <c r="BE100" i="7"/>
  <c r="AJ100" i="7"/>
  <c r="N100" i="7"/>
  <c r="S100" i="7"/>
  <c r="BK100" i="7"/>
  <c r="BD100" i="7"/>
  <c r="AX100" i="7"/>
  <c r="AS100" i="7"/>
  <c r="AH100" i="7"/>
  <c r="BO100" i="7"/>
  <c r="AG100" i="7"/>
  <c r="AL100" i="7"/>
  <c r="L100" i="7"/>
  <c r="AR100" i="7"/>
  <c r="Y100" i="7"/>
  <c r="AA100" i="7"/>
  <c r="BT100" i="7"/>
  <c r="AY100" i="7"/>
  <c r="BQ100" i="7"/>
  <c r="BR100" i="7"/>
  <c r="AE100" i="7"/>
  <c r="H100" i="7"/>
  <c r="I100" i="7"/>
  <c r="J100" i="7"/>
  <c r="U100" i="7"/>
  <c r="BF100" i="7"/>
  <c r="AV100" i="7"/>
  <c r="AT100" i="7"/>
  <c r="BI100" i="7"/>
  <c r="BJ100" i="7"/>
  <c r="BS100" i="7"/>
  <c r="AW100" i="7"/>
  <c r="BB100" i="7"/>
  <c r="BG100" i="7"/>
  <c r="BP100" i="7"/>
  <c r="BM100" i="7"/>
  <c r="AU100" i="7"/>
  <c r="BA100" i="7"/>
  <c r="AI100" i="7"/>
  <c r="AO100" i="7"/>
  <c r="W100" i="7"/>
  <c r="AC100" i="7"/>
  <c r="K100" i="7"/>
  <c r="Q100" i="7"/>
  <c r="X100" i="7"/>
  <c r="BL100" i="7"/>
  <c r="AQ100" i="7"/>
  <c r="AZ100" i="7"/>
  <c r="BH100" i="7"/>
  <c r="AN100" i="7"/>
  <c r="R100" i="7"/>
  <c r="AB100" i="7"/>
  <c r="M100" i="7"/>
  <c r="AD100" i="7"/>
  <c r="AX98" i="10"/>
  <c r="AI98" i="10"/>
  <c r="AH98" i="10"/>
  <c r="AF98" i="10"/>
  <c r="V98" i="10"/>
  <c r="N98" i="10"/>
  <c r="BK98" i="10"/>
  <c r="BD98" i="10"/>
  <c r="AZ98" i="10"/>
  <c r="AY98" i="10"/>
  <c r="K98" i="10"/>
  <c r="Z98" i="10"/>
  <c r="AR98" i="10"/>
  <c r="BO98" i="10"/>
  <c r="W98" i="10"/>
  <c r="BS98" i="10"/>
  <c r="BG98" i="10"/>
  <c r="J98" i="10"/>
  <c r="AL98" i="10"/>
  <c r="AM98" i="10"/>
  <c r="P98" i="10"/>
  <c r="BF98" i="10"/>
  <c r="AB98" i="10"/>
  <c r="BR98" i="10"/>
  <c r="AK98" i="10"/>
  <c r="Y98" i="10"/>
  <c r="BJ98" i="10"/>
  <c r="M98" i="10"/>
  <c r="AW98" i="10"/>
  <c r="O98" i="10"/>
  <c r="T98" i="10"/>
  <c r="BI98" i="10"/>
  <c r="AA98" i="10"/>
  <c r="BL98" i="10"/>
  <c r="AN98" i="10"/>
  <c r="H98" i="10"/>
  <c r="BP98" i="10"/>
  <c r="AU98" i="10"/>
  <c r="BN98" i="10"/>
  <c r="AE98" i="10"/>
  <c r="Q98" i="10"/>
  <c r="AQ98" i="10"/>
  <c r="L98" i="10"/>
  <c r="AC98" i="10"/>
  <c r="BC98" i="10"/>
  <c r="I98" i="10"/>
  <c r="X98" i="10"/>
  <c r="AO98" i="10"/>
  <c r="U98" i="10"/>
  <c r="AJ98" i="10"/>
  <c r="BA98" i="10"/>
  <c r="AG98" i="10"/>
  <c r="AV98" i="10"/>
  <c r="BM98" i="10"/>
  <c r="AS98" i="10"/>
  <c r="BH98" i="10"/>
  <c r="BE98" i="10"/>
  <c r="BT98" i="10"/>
  <c r="BQ98" i="10"/>
  <c r="R98" i="10"/>
  <c r="AD98" i="10"/>
  <c r="AP98" i="10"/>
  <c r="BB98" i="10"/>
  <c r="S98" i="10"/>
  <c r="D61" i="5"/>
  <c r="AH95" i="12"/>
  <c r="BH95" i="12"/>
  <c r="BF95" i="12"/>
  <c r="I95" i="12"/>
  <c r="AR95" i="12"/>
  <c r="AT95" i="12"/>
  <c r="BP95" i="12"/>
  <c r="Q95" i="12"/>
  <c r="Y95" i="12"/>
  <c r="L95" i="12"/>
  <c r="AP95" i="12"/>
  <c r="AU95" i="12"/>
  <c r="BE95" i="12"/>
  <c r="AC95" i="12"/>
  <c r="M95" i="12"/>
  <c r="R95" i="12"/>
  <c r="K95" i="12"/>
  <c r="AD95" i="12"/>
  <c r="BN95" i="12"/>
  <c r="AF95" i="12"/>
  <c r="AV95" i="12"/>
  <c r="BM95" i="12"/>
  <c r="AS95" i="12"/>
  <c r="AQ95" i="12"/>
  <c r="AK95" i="12"/>
  <c r="BI95" i="12"/>
  <c r="BL95" i="12"/>
  <c r="AL95" i="12"/>
  <c r="V95" i="12"/>
  <c r="AZ95" i="12"/>
  <c r="Z95" i="12"/>
  <c r="X95" i="12"/>
  <c r="AE95" i="12"/>
  <c r="AN95" i="12"/>
  <c r="N95" i="12"/>
  <c r="BG95" i="12"/>
  <c r="S95" i="12"/>
  <c r="AB95" i="12"/>
  <c r="U95" i="12"/>
  <c r="AW95" i="12"/>
  <c r="P95" i="12"/>
  <c r="AJ95" i="12"/>
  <c r="BS95" i="12"/>
  <c r="BO95" i="12"/>
  <c r="T95" i="12"/>
  <c r="BK95" i="12"/>
  <c r="BB95" i="12"/>
  <c r="BD95" i="12"/>
  <c r="BA95" i="12"/>
  <c r="AY95" i="12"/>
  <c r="BQ95" i="12"/>
  <c r="AO95" i="12"/>
  <c r="AM95" i="12"/>
  <c r="AI95" i="12"/>
  <c r="W95" i="12"/>
  <c r="AA95" i="12"/>
  <c r="H95" i="12"/>
  <c r="O95" i="12"/>
  <c r="BR95" i="12"/>
  <c r="J95" i="12"/>
  <c r="BJ95" i="12"/>
  <c r="AG95" i="12"/>
  <c r="BC95" i="12"/>
  <c r="AX95" i="12"/>
  <c r="BR95" i="7"/>
  <c r="BN94" i="11"/>
  <c r="AA94" i="11"/>
  <c r="AF94" i="11"/>
  <c r="AC94" i="11"/>
  <c r="BC94" i="11"/>
  <c r="V94" i="11"/>
  <c r="O94" i="11"/>
  <c r="R94" i="11"/>
  <c r="M94" i="11"/>
  <c r="AN94" i="11"/>
  <c r="H94" i="11"/>
  <c r="BM94" i="11"/>
  <c r="BJ94" i="11"/>
  <c r="BI94" i="11"/>
  <c r="BF94" i="11"/>
  <c r="X94" i="11"/>
  <c r="BO94" i="11"/>
  <c r="AX94" i="11"/>
  <c r="AT94" i="11"/>
  <c r="AP94" i="11"/>
  <c r="J94" i="11"/>
  <c r="AZ94" i="11"/>
  <c r="AG94" i="11"/>
  <c r="AV94" i="11"/>
  <c r="AL94" i="11"/>
  <c r="AE94" i="11"/>
  <c r="AB94" i="11"/>
  <c r="BR94" i="11"/>
  <c r="AI94" i="11"/>
  <c r="T94" i="11"/>
  <c r="AH94" i="11"/>
  <c r="Z94" i="11"/>
  <c r="Q94" i="11"/>
  <c r="L94" i="11"/>
  <c r="BB94" i="11"/>
  <c r="U94" i="11"/>
  <c r="N94" i="11"/>
  <c r="BH94" i="11"/>
  <c r="BT94" i="11"/>
  <c r="AK94" i="11"/>
  <c r="S94" i="11"/>
  <c r="BP94" i="11"/>
  <c r="AS94" i="11"/>
  <c r="BE94" i="11"/>
  <c r="W94" i="11"/>
  <c r="BD94" i="11"/>
  <c r="AD94" i="11"/>
  <c r="AO94" i="11"/>
  <c r="I94" i="11"/>
  <c r="BK94" i="11"/>
  <c r="AR94" i="11"/>
  <c r="P94" i="11"/>
  <c r="Y94" i="11"/>
  <c r="BQ94" i="11"/>
  <c r="AW94" i="11"/>
  <c r="AY94" i="11"/>
  <c r="BL94" i="11"/>
  <c r="BG94" i="11"/>
  <c r="K94" i="11"/>
  <c r="BA94" i="11"/>
  <c r="AM94" i="11"/>
  <c r="AU94" i="11"/>
  <c r="AQ94" i="11"/>
  <c r="BS94" i="11"/>
  <c r="AJ94" i="11"/>
  <c r="BT51" i="5"/>
  <c r="I81" i="2"/>
  <c r="D33" i="5"/>
  <c r="BS83" i="11"/>
  <c r="X76" i="2"/>
  <c r="I71" i="2"/>
  <c r="L65" i="5"/>
  <c r="AI58" i="5"/>
  <c r="U56" i="5"/>
  <c r="BT64" i="5"/>
  <c r="BK97" i="7"/>
  <c r="U30" i="2"/>
  <c r="O31" i="2"/>
  <c r="R28" i="2"/>
  <c r="X27" i="2"/>
  <c r="X21" i="2"/>
  <c r="BJ62" i="10"/>
  <c r="I14" i="2"/>
  <c r="N19" i="5"/>
  <c r="I49" i="2"/>
  <c r="BF19" i="5"/>
  <c r="K56" i="11"/>
  <c r="AA58" i="2"/>
  <c r="U84" i="2"/>
  <c r="O62" i="2"/>
  <c r="L58" i="2"/>
  <c r="O56" i="2"/>
  <c r="AA96" i="2"/>
  <c r="L96" i="2"/>
  <c r="X94" i="2"/>
  <c r="I94" i="2"/>
  <c r="R100" i="11"/>
  <c r="BK100" i="11"/>
  <c r="BL100" i="11"/>
  <c r="AB100" i="11"/>
  <c r="AO100" i="11"/>
  <c r="AY100" i="11"/>
  <c r="I93" i="2"/>
  <c r="BS99" i="11"/>
  <c r="J99" i="11"/>
  <c r="BQ99" i="11"/>
  <c r="X99" i="11"/>
  <c r="AY99" i="11"/>
  <c r="BP99" i="11"/>
  <c r="BT99" i="11"/>
  <c r="W99" i="11"/>
  <c r="Z99" i="11"/>
  <c r="BK99" i="11"/>
  <c r="AM99" i="11"/>
  <c r="U99" i="11"/>
  <c r="AD99" i="11"/>
  <c r="BR99" i="11"/>
  <c r="AP99" i="11"/>
  <c r="S99" i="11"/>
  <c r="AT99" i="11"/>
  <c r="BB99" i="11"/>
  <c r="AK99" i="11"/>
  <c r="BO99" i="11"/>
  <c r="AR99" i="11"/>
  <c r="AW99" i="11"/>
  <c r="BD99" i="11"/>
  <c r="BI99" i="11"/>
  <c r="D62" i="5"/>
  <c r="AA89" i="2"/>
  <c r="BS95" i="11"/>
  <c r="Q57" i="5"/>
  <c r="AC57" i="5"/>
  <c r="AO57" i="5"/>
  <c r="BA57" i="5"/>
  <c r="BM57" i="5"/>
  <c r="R57" i="5"/>
  <c r="AD57" i="5"/>
  <c r="AP57" i="5"/>
  <c r="BB57" i="5"/>
  <c r="BN57" i="5"/>
  <c r="S57" i="5"/>
  <c r="AE57" i="5"/>
  <c r="AQ57" i="5"/>
  <c r="BC57" i="5"/>
  <c r="BO57" i="5"/>
  <c r="H57" i="5"/>
  <c r="T57" i="5"/>
  <c r="AF57" i="5"/>
  <c r="AR57" i="5"/>
  <c r="BD57" i="5"/>
  <c r="BP57" i="5"/>
  <c r="I57" i="5"/>
  <c r="U57" i="5"/>
  <c r="AG57" i="5"/>
  <c r="AS57" i="5"/>
  <c r="BE57" i="5"/>
  <c r="BQ57" i="5"/>
  <c r="J57" i="5"/>
  <c r="V57" i="5"/>
  <c r="AH57" i="5"/>
  <c r="AT57" i="5"/>
  <c r="BF57" i="5"/>
  <c r="BR57" i="5"/>
  <c r="K57" i="5"/>
  <c r="W57" i="5"/>
  <c r="AI57" i="5"/>
  <c r="AU57" i="5"/>
  <c r="BG57" i="5"/>
  <c r="BS57" i="5"/>
  <c r="L57" i="5"/>
  <c r="X57" i="5"/>
  <c r="AJ57" i="5"/>
  <c r="AV57" i="5"/>
  <c r="BH57" i="5"/>
  <c r="BT57" i="5"/>
  <c r="M57" i="5"/>
  <c r="Y57" i="5"/>
  <c r="AK57" i="5"/>
  <c r="AW57" i="5"/>
  <c r="BI57" i="5"/>
  <c r="N57" i="5"/>
  <c r="Z57" i="5"/>
  <c r="AL57" i="5"/>
  <c r="AX57" i="5"/>
  <c r="BJ57" i="5"/>
  <c r="O57" i="5"/>
  <c r="AA57" i="5"/>
  <c r="AM57" i="5"/>
  <c r="AY57" i="5"/>
  <c r="BK57" i="5"/>
  <c r="L85" i="2"/>
  <c r="AM91" i="11"/>
  <c r="AA91" i="11"/>
  <c r="Z91" i="11"/>
  <c r="N91" i="11"/>
  <c r="BM91" i="11"/>
  <c r="BI91" i="11"/>
  <c r="BA91" i="11"/>
  <c r="AZ91" i="11"/>
  <c r="AN91" i="11"/>
  <c r="AC91" i="11"/>
  <c r="BN91" i="11"/>
  <c r="M91" i="11"/>
  <c r="AP91" i="11"/>
  <c r="AD91" i="11"/>
  <c r="R91" i="11"/>
  <c r="AF91" i="11"/>
  <c r="AQ91" i="11"/>
  <c r="AE91" i="11"/>
  <c r="AS91" i="11"/>
  <c r="I91" i="11"/>
  <c r="BD91" i="11"/>
  <c r="AR91" i="11"/>
  <c r="BF91" i="11"/>
  <c r="V91" i="11"/>
  <c r="BQ91" i="11"/>
  <c r="BE91" i="11"/>
  <c r="BT91" i="11"/>
  <c r="AJ91" i="11"/>
  <c r="P91" i="11"/>
  <c r="BC91" i="11"/>
  <c r="BR91" i="11"/>
  <c r="H91" i="11"/>
  <c r="AW91" i="11"/>
  <c r="BP91" i="11"/>
  <c r="BS91" i="11"/>
  <c r="U91" i="11"/>
  <c r="BJ91" i="11"/>
  <c r="J91" i="11"/>
  <c r="BG91" i="11"/>
  <c r="AH91" i="11"/>
  <c r="X91" i="11"/>
  <c r="L91" i="11"/>
  <c r="O91" i="11"/>
  <c r="AU91" i="11"/>
  <c r="AV91" i="11"/>
  <c r="AK91" i="11"/>
  <c r="Y91" i="11"/>
  <c r="AB91" i="11"/>
  <c r="AI91" i="11"/>
  <c r="T91" i="11"/>
  <c r="AX91" i="11"/>
  <c r="AL91" i="11"/>
  <c r="AO91" i="11"/>
  <c r="W91" i="11"/>
  <c r="AG91" i="11"/>
  <c r="BK91" i="11"/>
  <c r="AY91" i="11"/>
  <c r="BB91" i="11"/>
  <c r="K91" i="11"/>
  <c r="AT91" i="11"/>
  <c r="BL91" i="11"/>
  <c r="BH91" i="11"/>
  <c r="BO91" i="11"/>
  <c r="Q91" i="11"/>
  <c r="S91" i="11"/>
  <c r="K51" i="5"/>
  <c r="AU51" i="5"/>
  <c r="BG51" i="5"/>
  <c r="AV51" i="5"/>
  <c r="BH51" i="5"/>
  <c r="M51" i="5"/>
  <c r="AW51" i="5"/>
  <c r="BI51" i="5"/>
  <c r="AX51" i="5"/>
  <c r="BJ51" i="5"/>
  <c r="BK51" i="5"/>
  <c r="BL51" i="5"/>
  <c r="BM51" i="5"/>
  <c r="BB51" i="5"/>
  <c r="BC51" i="5"/>
  <c r="BO51" i="5"/>
  <c r="BD51" i="5"/>
  <c r="BP51" i="5"/>
  <c r="BE51" i="5"/>
  <c r="BQ51" i="5"/>
  <c r="L79" i="2"/>
  <c r="AU83" i="11"/>
  <c r="BH83" i="11"/>
  <c r="AY83" i="11"/>
  <c r="AJ83" i="11"/>
  <c r="W83" i="11"/>
  <c r="V83" i="11"/>
  <c r="L83" i="11"/>
  <c r="BL83" i="11"/>
  <c r="H83" i="11"/>
  <c r="BI83" i="11"/>
  <c r="BE83" i="11"/>
  <c r="AO83" i="11"/>
  <c r="AK83" i="11"/>
  <c r="AG83" i="11"/>
  <c r="P83" i="11"/>
  <c r="BR83" i="11"/>
  <c r="M83" i="11"/>
  <c r="L46" i="5"/>
  <c r="O75" i="2"/>
  <c r="M41" i="5"/>
  <c r="BM59" i="5"/>
  <c r="W58" i="5"/>
  <c r="I56" i="5"/>
  <c r="AT51" i="5"/>
  <c r="AP100" i="7"/>
  <c r="Y94" i="7"/>
  <c r="Q95" i="7"/>
  <c r="AX95" i="7"/>
  <c r="AD85" i="10"/>
  <c r="AL87" i="10"/>
  <c r="AP90" i="12"/>
  <c r="AT89" i="12"/>
  <c r="D52" i="5"/>
  <c r="D51" i="5"/>
  <c r="AQ87" i="10"/>
  <c r="BB87" i="10"/>
  <c r="AN87" i="10"/>
  <c r="AH87" i="10"/>
  <c r="BN87" i="10"/>
  <c r="N87" i="10"/>
  <c r="AX87" i="10"/>
  <c r="Y87" i="10"/>
  <c r="BJ87" i="10"/>
  <c r="BO87" i="10"/>
  <c r="S87" i="10"/>
  <c r="R87" i="10"/>
  <c r="AU87" i="10"/>
  <c r="AR87" i="10"/>
  <c r="BR87" i="10"/>
  <c r="M87" i="10"/>
  <c r="BF87" i="10"/>
  <c r="BI87" i="10"/>
  <c r="V87" i="10"/>
  <c r="AI87" i="10"/>
  <c r="AF87" i="10"/>
  <c r="AC87" i="10"/>
  <c r="AE87" i="10"/>
  <c r="AP87" i="10"/>
  <c r="W87" i="10"/>
  <c r="T87" i="10"/>
  <c r="BA87" i="10"/>
  <c r="BL87" i="10"/>
  <c r="K87" i="10"/>
  <c r="H87" i="10"/>
  <c r="BT87" i="10"/>
  <c r="BQ87" i="10"/>
  <c r="BM87" i="10"/>
  <c r="Z87" i="10"/>
  <c r="BH87" i="10"/>
  <c r="BE87" i="10"/>
  <c r="BK87" i="10"/>
  <c r="P87" i="10"/>
  <c r="AT87" i="10"/>
  <c r="AV87" i="10"/>
  <c r="AS87" i="10"/>
  <c r="AY87" i="10"/>
  <c r="AK87" i="10"/>
  <c r="AJ87" i="10"/>
  <c r="AG87" i="10"/>
  <c r="AM87" i="10"/>
  <c r="BC87" i="10"/>
  <c r="X87" i="10"/>
  <c r="U87" i="10"/>
  <c r="AA87" i="10"/>
  <c r="J87" i="10"/>
  <c r="L87" i="10"/>
  <c r="I87" i="10"/>
  <c r="O87" i="10"/>
  <c r="AD87" i="10"/>
  <c r="BS87" i="10"/>
  <c r="BP87" i="10"/>
  <c r="AB87" i="10"/>
  <c r="AZ87" i="10"/>
  <c r="Q87" i="10"/>
  <c r="AW84" i="7"/>
  <c r="V84" i="7"/>
  <c r="AQ84" i="7"/>
  <c r="BM82" i="10"/>
  <c r="Z77" i="10"/>
  <c r="AF77" i="10"/>
  <c r="AD77" i="10"/>
  <c r="V77" i="10"/>
  <c r="AE77" i="10"/>
  <c r="AI77" i="10"/>
  <c r="AH77" i="10"/>
  <c r="AB77" i="10"/>
  <c r="AC77" i="10"/>
  <c r="U77" i="10"/>
  <c r="X77" i="10"/>
  <c r="AM77" i="10"/>
  <c r="AG77" i="10"/>
  <c r="AJ77" i="10"/>
  <c r="Y77" i="10"/>
  <c r="AA77" i="10"/>
  <c r="I77" i="10"/>
  <c r="BF77" i="10"/>
  <c r="BM77" i="10"/>
  <c r="AL77" i="10"/>
  <c r="BB77" i="10"/>
  <c r="BJ77" i="10"/>
  <c r="AT77" i="10"/>
  <c r="BA77" i="10"/>
  <c r="BT77" i="10"/>
  <c r="AX77" i="10"/>
  <c r="J77" i="10"/>
  <c r="AO77" i="10"/>
  <c r="AZ77" i="10"/>
  <c r="N77" i="10"/>
  <c r="BP77" i="10"/>
  <c r="Q77" i="10"/>
  <c r="R77" i="10"/>
  <c r="BI77" i="10"/>
  <c r="BD77" i="10"/>
  <c r="BK77" i="10"/>
  <c r="AV77" i="10"/>
  <c r="AW77" i="10"/>
  <c r="AR77" i="10"/>
  <c r="AS77" i="10"/>
  <c r="M77" i="10"/>
  <c r="T77" i="10"/>
  <c r="AY77" i="10"/>
  <c r="BS77" i="10"/>
  <c r="H77" i="10"/>
  <c r="AK77" i="10"/>
  <c r="BN77" i="10"/>
  <c r="BG77" i="10"/>
  <c r="BO77" i="10"/>
  <c r="L77" i="10"/>
  <c r="P77" i="10"/>
  <c r="BL77" i="10"/>
  <c r="AU77" i="10"/>
  <c r="BC77" i="10"/>
  <c r="AN77" i="10"/>
  <c r="AP77" i="10"/>
  <c r="O77" i="10"/>
  <c r="BH77" i="10"/>
  <c r="K77" i="10"/>
  <c r="AQ77" i="10"/>
  <c r="BQ77" i="10"/>
  <c r="BO70" i="7"/>
  <c r="BI67" i="5"/>
  <c r="AW67" i="5"/>
  <c r="M67" i="5"/>
  <c r="BN54" i="5"/>
  <c r="BS64" i="5"/>
  <c r="BG64" i="5"/>
  <c r="AI64" i="5"/>
  <c r="W64" i="5"/>
  <c r="K64" i="5"/>
  <c r="BO32" i="5"/>
  <c r="BC32" i="5"/>
  <c r="BM47" i="5"/>
  <c r="BA47" i="5"/>
  <c r="AO47" i="5"/>
  <c r="AC47" i="5"/>
  <c r="Q47" i="5"/>
  <c r="BR46" i="5"/>
  <c r="BF46" i="5"/>
  <c r="AT46" i="5"/>
  <c r="J46" i="5"/>
  <c r="BK45" i="5"/>
  <c r="AY45" i="5"/>
  <c r="AM45" i="5"/>
  <c r="AA45" i="5"/>
  <c r="O45" i="5"/>
  <c r="BP44" i="5"/>
  <c r="BD44" i="5"/>
  <c r="AR44" i="5"/>
  <c r="T44" i="5"/>
  <c r="H44" i="5"/>
  <c r="BI60" i="5"/>
  <c r="M60" i="5"/>
  <c r="BN23" i="5"/>
  <c r="R23" i="5"/>
  <c r="BS41" i="5"/>
  <c r="BG41" i="5"/>
  <c r="AU41" i="5"/>
  <c r="W41" i="5"/>
  <c r="K41" i="5"/>
  <c r="BL55" i="5"/>
  <c r="AN55" i="5"/>
  <c r="AB55" i="5"/>
  <c r="P55" i="5"/>
  <c r="BQ39" i="5"/>
  <c r="BE39" i="5"/>
  <c r="AS39" i="5"/>
  <c r="AG39" i="5"/>
  <c r="U39" i="5"/>
  <c r="I39" i="5"/>
  <c r="W76" i="7"/>
  <c r="BO76" i="7"/>
  <c r="AF76" i="7"/>
  <c r="AU84" i="7"/>
  <c r="AR79" i="7"/>
  <c r="Z84" i="7"/>
  <c r="BS77" i="7"/>
  <c r="BK77" i="7"/>
  <c r="Y77" i="7"/>
  <c r="AA87" i="7"/>
  <c r="AF87" i="7"/>
  <c r="BP87" i="7"/>
  <c r="AH87" i="7"/>
  <c r="T79" i="7"/>
  <c r="K79" i="7"/>
  <c r="BF79" i="7"/>
  <c r="V77" i="7"/>
  <c r="BN79" i="7"/>
  <c r="K77" i="7"/>
  <c r="AB77" i="7"/>
  <c r="BG87" i="10"/>
  <c r="AT76" i="11"/>
  <c r="R78" i="12"/>
  <c r="AJ76" i="12"/>
  <c r="D46" i="5"/>
  <c r="BF81" i="8"/>
  <c r="AA78" i="10"/>
  <c r="U78" i="10"/>
  <c r="BA78" i="10"/>
  <c r="AE78" i="10"/>
  <c r="Q78" i="10"/>
  <c r="AT78" i="10"/>
  <c r="BB78" i="10"/>
  <c r="D41" i="5"/>
  <c r="U67" i="2"/>
  <c r="X65" i="2"/>
  <c r="X63" i="2"/>
  <c r="BT67" i="5"/>
  <c r="BH67" i="5"/>
  <c r="AV67" i="5"/>
  <c r="L67" i="5"/>
  <c r="BM54" i="5"/>
  <c r="BR64" i="5"/>
  <c r="BF64" i="5"/>
  <c r="V64" i="5"/>
  <c r="J64" i="5"/>
  <c r="BN32" i="5"/>
  <c r="BB32" i="5"/>
  <c r="AP32" i="5"/>
  <c r="BL47" i="5"/>
  <c r="AZ47" i="5"/>
  <c r="AN47" i="5"/>
  <c r="AB47" i="5"/>
  <c r="P47" i="5"/>
  <c r="BQ46" i="5"/>
  <c r="BE46" i="5"/>
  <c r="I46" i="5"/>
  <c r="BJ45" i="5"/>
  <c r="AX45" i="5"/>
  <c r="AL45" i="5"/>
  <c r="Z45" i="5"/>
  <c r="N45" i="5"/>
  <c r="BO44" i="5"/>
  <c r="S44" i="5"/>
  <c r="BT60" i="5"/>
  <c r="BH60" i="5"/>
  <c r="L60" i="5"/>
  <c r="BM23" i="5"/>
  <c r="BR41" i="5"/>
  <c r="BF41" i="5"/>
  <c r="AT41" i="5"/>
  <c r="AH41" i="5"/>
  <c r="V41" i="5"/>
  <c r="J41" i="5"/>
  <c r="BK55" i="5"/>
  <c r="AY55" i="5"/>
  <c r="AM55" i="5"/>
  <c r="O55" i="5"/>
  <c r="BP39" i="5"/>
  <c r="BD39" i="5"/>
  <c r="AR39" i="5"/>
  <c r="AF39" i="5"/>
  <c r="T39" i="5"/>
  <c r="H39" i="5"/>
  <c r="AA84" i="2"/>
  <c r="I76" i="7"/>
  <c r="L76" i="7"/>
  <c r="R76" i="7"/>
  <c r="AX79" i="7"/>
  <c r="Q79" i="7"/>
  <c r="J77" i="7"/>
  <c r="R77" i="7"/>
  <c r="AK77" i="7"/>
  <c r="AS87" i="7"/>
  <c r="AT87" i="7"/>
  <c r="N87" i="7"/>
  <c r="BO85" i="7"/>
  <c r="AJ79" i="7"/>
  <c r="Z79" i="7"/>
  <c r="BR79" i="7"/>
  <c r="AC79" i="7"/>
  <c r="AV77" i="7"/>
  <c r="BR77" i="7"/>
  <c r="I89" i="7"/>
  <c r="S77" i="10"/>
  <c r="AU92" i="11"/>
  <c r="BP76" i="12"/>
  <c r="D54" i="5"/>
  <c r="D64" i="5"/>
  <c r="BE85" i="12"/>
  <c r="AG85" i="12"/>
  <c r="M85" i="12"/>
  <c r="BD85" i="12"/>
  <c r="AF85" i="12"/>
  <c r="L85" i="12"/>
  <c r="BC85" i="12"/>
  <c r="AE85" i="12"/>
  <c r="K85" i="12"/>
  <c r="BA85" i="12"/>
  <c r="AD85" i="12"/>
  <c r="I85" i="12"/>
  <c r="BS85" i="12"/>
  <c r="AU85" i="12"/>
  <c r="AC85" i="12"/>
  <c r="BM85" i="12"/>
  <c r="BR85" i="12"/>
  <c r="AT85" i="12"/>
  <c r="Z85" i="12"/>
  <c r="BQ85" i="12"/>
  <c r="AS85" i="12"/>
  <c r="Y85" i="12"/>
  <c r="BO85" i="12"/>
  <c r="AR85" i="12"/>
  <c r="W85" i="12"/>
  <c r="BI85" i="12"/>
  <c r="AQ85" i="12"/>
  <c r="S85" i="12"/>
  <c r="BH85" i="12"/>
  <c r="AP85" i="12"/>
  <c r="R85" i="12"/>
  <c r="BG85" i="12"/>
  <c r="AO85" i="12"/>
  <c r="Q85" i="12"/>
  <c r="BF85" i="12"/>
  <c r="AK85" i="12"/>
  <c r="N85" i="12"/>
  <c r="AH85" i="12"/>
  <c r="O85" i="12"/>
  <c r="AI85" i="12"/>
  <c r="T85" i="12"/>
  <c r="H85" i="12"/>
  <c r="J85" i="12"/>
  <c r="AV85" i="12"/>
  <c r="V85" i="12"/>
  <c r="X85" i="12"/>
  <c r="BL85" i="12"/>
  <c r="BJ85" i="12"/>
  <c r="AJ85" i="12"/>
  <c r="AL85" i="12"/>
  <c r="AZ85" i="12"/>
  <c r="AX85" i="12"/>
  <c r="BB85" i="12"/>
  <c r="AN85" i="12"/>
  <c r="U85" i="12"/>
  <c r="BN85" i="12"/>
  <c r="BP85" i="12"/>
  <c r="AB85" i="12"/>
  <c r="AW85" i="12"/>
  <c r="P85" i="12"/>
  <c r="BK85" i="12"/>
  <c r="AY85" i="12"/>
  <c r="AM85" i="12"/>
  <c r="Q84" i="11"/>
  <c r="U84" i="11"/>
  <c r="AJ84" i="11"/>
  <c r="AN84" i="11"/>
  <c r="BG84" i="11"/>
  <c r="BN84" i="11"/>
  <c r="BH84" i="11"/>
  <c r="AO84" i="11"/>
  <c r="BE84" i="11"/>
  <c r="R84" i="11"/>
  <c r="S84" i="11"/>
  <c r="Z84" i="11"/>
  <c r="J84" i="11"/>
  <c r="BB84" i="11"/>
  <c r="AP84" i="11"/>
  <c r="N84" i="11"/>
  <c r="BP84" i="11"/>
  <c r="BL84" i="11"/>
  <c r="BI84" i="11"/>
  <c r="BD84" i="11"/>
  <c r="P84" i="11"/>
  <c r="W84" i="11"/>
  <c r="AW84" i="11"/>
  <c r="AR84" i="11"/>
  <c r="AI84" i="11"/>
  <c r="AQ84" i="11"/>
  <c r="BK84" i="11"/>
  <c r="AK84" i="11"/>
  <c r="AF84" i="11"/>
  <c r="BC84" i="11"/>
  <c r="BM84" i="11"/>
  <c r="AY84" i="11"/>
  <c r="Y84" i="11"/>
  <c r="T84" i="11"/>
  <c r="AM84" i="11"/>
  <c r="M84" i="11"/>
  <c r="H84" i="11"/>
  <c r="AC84" i="11"/>
  <c r="I84" i="11"/>
  <c r="AA84" i="11"/>
  <c r="BR84" i="11"/>
  <c r="AB84" i="11"/>
  <c r="AV84" i="11"/>
  <c r="AD84" i="11"/>
  <c r="O84" i="11"/>
  <c r="BF84" i="11"/>
  <c r="AU84" i="11"/>
  <c r="BQ84" i="11"/>
  <c r="AZ84" i="11"/>
  <c r="K84" i="11"/>
  <c r="X84" i="11"/>
  <c r="BJ84" i="11"/>
  <c r="AT84" i="11"/>
  <c r="BO84" i="11"/>
  <c r="BS84" i="11"/>
  <c r="AE84" i="11"/>
  <c r="AS84" i="11"/>
  <c r="AX84" i="11"/>
  <c r="AH84" i="11"/>
  <c r="BA84" i="11"/>
  <c r="L84" i="11"/>
  <c r="AX83" i="10"/>
  <c r="AW83" i="10"/>
  <c r="BE83" i="10"/>
  <c r="BT83" i="10"/>
  <c r="AK83" i="10"/>
  <c r="BS83" i="10"/>
  <c r="T83" i="10"/>
  <c r="BL83" i="10"/>
  <c r="AI83" i="10"/>
  <c r="BR83" i="10"/>
  <c r="H83" i="10"/>
  <c r="AZ83" i="10"/>
  <c r="AH83" i="10"/>
  <c r="BQ83" i="10"/>
  <c r="R83" i="10"/>
  <c r="BO83" i="10"/>
  <c r="AN83" i="10"/>
  <c r="U83" i="10"/>
  <c r="BN83" i="10"/>
  <c r="O83" i="10"/>
  <c r="AJ83" i="10"/>
  <c r="BC83" i="10"/>
  <c r="AB83" i="10"/>
  <c r="V83" i="10"/>
  <c r="AG83" i="10"/>
  <c r="BB83" i="10"/>
  <c r="AQ83" i="10"/>
  <c r="P83" i="10"/>
  <c r="AY83" i="10"/>
  <c r="BI83" i="10"/>
  <c r="AE83" i="10"/>
  <c r="W83" i="10"/>
  <c r="N83" i="10"/>
  <c r="S83" i="10"/>
  <c r="AM83" i="10"/>
  <c r="J83" i="10"/>
  <c r="K83" i="10"/>
  <c r="AD83" i="10"/>
  <c r="AV83" i="10"/>
  <c r="BM83" i="10"/>
  <c r="BG83" i="10"/>
  <c r="Z83" i="10"/>
  <c r="AA83" i="10"/>
  <c r="BF83" i="10"/>
  <c r="BP83" i="10"/>
  <c r="BA83" i="10"/>
  <c r="X83" i="10"/>
  <c r="AT83" i="10"/>
  <c r="AU83" i="10"/>
  <c r="M83" i="10"/>
  <c r="BD83" i="10"/>
  <c r="AO83" i="10"/>
  <c r="AP83" i="10"/>
  <c r="BJ83" i="10"/>
  <c r="BK83" i="10"/>
  <c r="L83" i="10"/>
  <c r="AS83" i="10"/>
  <c r="AR83" i="10"/>
  <c r="AC83" i="10"/>
  <c r="BH83" i="10"/>
  <c r="AQ79" i="10"/>
  <c r="V79" i="10"/>
  <c r="AC79" i="10"/>
  <c r="Y79" i="10"/>
  <c r="W79" i="10"/>
  <c r="Z79" i="10"/>
  <c r="AK79" i="10"/>
  <c r="U79" i="10"/>
  <c r="BO79" i="10"/>
  <c r="AP79" i="10"/>
  <c r="AV79" i="10"/>
  <c r="AD79" i="10"/>
  <c r="AF79" i="10"/>
  <c r="AE79" i="10"/>
  <c r="AG79" i="10"/>
  <c r="AA79" i="10"/>
  <c r="AB79" i="10"/>
  <c r="AI79" i="10"/>
  <c r="AL79" i="10"/>
  <c r="X79" i="10"/>
  <c r="AH79" i="10"/>
  <c r="BQ79" i="10"/>
  <c r="AX79" i="10"/>
  <c r="BS79" i="10"/>
  <c r="BC79" i="10"/>
  <c r="L79" i="10"/>
  <c r="AM79" i="10"/>
  <c r="AO79" i="10"/>
  <c r="BJ79" i="10"/>
  <c r="H79" i="10"/>
  <c r="P79" i="10"/>
  <c r="AU79" i="10"/>
  <c r="BR79" i="10"/>
  <c r="BP79" i="10"/>
  <c r="J79" i="10"/>
  <c r="BK79" i="10"/>
  <c r="BB79" i="10"/>
  <c r="BH79" i="10"/>
  <c r="BG79" i="10"/>
  <c r="AJ79" i="10"/>
  <c r="AN79" i="10"/>
  <c r="AT79" i="10"/>
  <c r="BE79" i="10"/>
  <c r="N79" i="10"/>
  <c r="O79" i="10"/>
  <c r="I79" i="10"/>
  <c r="BD79" i="10"/>
  <c r="K79" i="10"/>
  <c r="BL79" i="10"/>
  <c r="BN79" i="10"/>
  <c r="BT79" i="10"/>
  <c r="BA79" i="10"/>
  <c r="R79" i="10"/>
  <c r="AZ79" i="10"/>
  <c r="AY79" i="10"/>
  <c r="BF79" i="10"/>
  <c r="T79" i="10"/>
  <c r="BI79" i="10"/>
  <c r="M79" i="10"/>
  <c r="AR79" i="10"/>
  <c r="AS79" i="10"/>
  <c r="D23" i="5"/>
  <c r="BS67" i="5"/>
  <c r="BG67" i="5"/>
  <c r="W67" i="5"/>
  <c r="K67" i="5"/>
  <c r="BL54" i="5"/>
  <c r="P54" i="5"/>
  <c r="BQ64" i="5"/>
  <c r="BE64" i="5"/>
  <c r="U64" i="5"/>
  <c r="I64" i="5"/>
  <c r="BM32" i="5"/>
  <c r="BA32" i="5"/>
  <c r="AC32" i="5"/>
  <c r="BK47" i="5"/>
  <c r="AY47" i="5"/>
  <c r="AM47" i="5"/>
  <c r="AA47" i="5"/>
  <c r="O47" i="5"/>
  <c r="BP46" i="5"/>
  <c r="BD46" i="5"/>
  <c r="H46" i="5"/>
  <c r="BI45" i="5"/>
  <c r="AW45" i="5"/>
  <c r="AK45" i="5"/>
  <c r="Y45" i="5"/>
  <c r="M45" i="5"/>
  <c r="BN44" i="5"/>
  <c r="AD44" i="5"/>
  <c r="R44" i="5"/>
  <c r="BS60" i="5"/>
  <c r="BG60" i="5"/>
  <c r="W60" i="5"/>
  <c r="K60" i="5"/>
  <c r="BL23" i="5"/>
  <c r="BQ41" i="5"/>
  <c r="BE41" i="5"/>
  <c r="AS41" i="5"/>
  <c r="AG41" i="5"/>
  <c r="U41" i="5"/>
  <c r="I41" i="5"/>
  <c r="BJ55" i="5"/>
  <c r="AX55" i="5"/>
  <c r="N55" i="5"/>
  <c r="BO39" i="5"/>
  <c r="BC39" i="5"/>
  <c r="AQ39" i="5"/>
  <c r="AE39" i="5"/>
  <c r="S39" i="5"/>
  <c r="BF76" i="7"/>
  <c r="J82" i="7"/>
  <c r="AL82" i="7"/>
  <c r="X76" i="7"/>
  <c r="BL77" i="7"/>
  <c r="AA77" i="7"/>
  <c r="AH77" i="7"/>
  <c r="AW77" i="7"/>
  <c r="BL87" i="7"/>
  <c r="BH87" i="7"/>
  <c r="Z87" i="7"/>
  <c r="BA79" i="7"/>
  <c r="AQ79" i="7"/>
  <c r="O79" i="7"/>
  <c r="AD79" i="7"/>
  <c r="P77" i="7"/>
  <c r="BH89" i="7"/>
  <c r="J89" i="7"/>
  <c r="BF89" i="7"/>
  <c r="BF85" i="10"/>
  <c r="BR77" i="10"/>
  <c r="I83" i="10"/>
  <c r="BI76" i="11"/>
  <c r="AA85" i="12"/>
  <c r="BR83" i="12"/>
  <c r="BH76" i="12"/>
  <c r="BL92" i="11"/>
  <c r="T92" i="11"/>
  <c r="BJ92" i="11"/>
  <c r="AI92" i="11"/>
  <c r="U92" i="11"/>
  <c r="H92" i="11"/>
  <c r="AY92" i="11"/>
  <c r="BR92" i="11"/>
  <c r="AN92" i="11"/>
  <c r="I92" i="11"/>
  <c r="AW92" i="11"/>
  <c r="BK92" i="11"/>
  <c r="AH92" i="11"/>
  <c r="BD92" i="11"/>
  <c r="Z92" i="11"/>
  <c r="AK92" i="11"/>
  <c r="R92" i="11"/>
  <c r="AP92" i="11"/>
  <c r="K92" i="11"/>
  <c r="Y92" i="11"/>
  <c r="BF92" i="11"/>
  <c r="AB92" i="11"/>
  <c r="BO92" i="11"/>
  <c r="BT92" i="11"/>
  <c r="AR92" i="11"/>
  <c r="N92" i="11"/>
  <c r="BA92" i="11"/>
  <c r="BH92" i="11"/>
  <c r="AD92" i="11"/>
  <c r="BQ92" i="11"/>
  <c r="AM92" i="11"/>
  <c r="AV92" i="11"/>
  <c r="P92" i="11"/>
  <c r="BC92" i="11"/>
  <c r="W92" i="11"/>
  <c r="Q92" i="11"/>
  <c r="AJ92" i="11"/>
  <c r="BS92" i="11"/>
  <c r="AO92" i="11"/>
  <c r="J92" i="11"/>
  <c r="AE92" i="11"/>
  <c r="X92" i="11"/>
  <c r="BE92" i="11"/>
  <c r="AA92" i="11"/>
  <c r="BN92" i="11"/>
  <c r="AS92" i="11"/>
  <c r="L92" i="11"/>
  <c r="AX92" i="11"/>
  <c r="AQ92" i="11"/>
  <c r="M92" i="11"/>
  <c r="AZ92" i="11"/>
  <c r="BG92" i="11"/>
  <c r="S92" i="11"/>
  <c r="AC92" i="11"/>
  <c r="BP92" i="11"/>
  <c r="AL92" i="11"/>
  <c r="AF92" i="11"/>
  <c r="AG92" i="11"/>
  <c r="BG86" i="12"/>
  <c r="D47" i="5"/>
  <c r="AO81" i="12"/>
  <c r="AR81" i="12"/>
  <c r="AQ81" i="12"/>
  <c r="W81" i="12"/>
  <c r="AP80" i="11"/>
  <c r="BK80" i="11"/>
  <c r="BC80" i="11"/>
  <c r="U80" i="11"/>
  <c r="AO80" i="11"/>
  <c r="AN80" i="11"/>
  <c r="N80" i="11"/>
  <c r="AC80" i="11"/>
  <c r="O80" i="11"/>
  <c r="Q80" i="11"/>
  <c r="AM80" i="11"/>
  <c r="BH80" i="11"/>
  <c r="I80" i="11"/>
  <c r="AW80" i="11"/>
  <c r="AG80" i="11"/>
  <c r="BB80" i="11"/>
  <c r="H80" i="11"/>
  <c r="P80" i="11"/>
  <c r="BL80" i="11"/>
  <c r="BT80" i="11"/>
  <c r="AB80" i="11"/>
  <c r="AA80" i="11"/>
  <c r="BD80" i="11"/>
  <c r="Z80" i="11"/>
  <c r="BG80" i="11"/>
  <c r="BI80" i="11"/>
  <c r="AV80" i="11"/>
  <c r="BA80" i="11"/>
  <c r="AU80" i="11"/>
  <c r="BP80" i="11"/>
  <c r="BR80" i="11"/>
  <c r="BF80" i="11"/>
  <c r="J80" i="11"/>
  <c r="AT80" i="11"/>
  <c r="V80" i="11"/>
  <c r="AH80" i="11"/>
  <c r="AI80" i="11"/>
  <c r="K80" i="11"/>
  <c r="L80" i="11"/>
  <c r="BQ80" i="11"/>
  <c r="S80" i="11"/>
  <c r="AX80" i="11"/>
  <c r="W80" i="11"/>
  <c r="X80" i="11"/>
  <c r="BE80" i="11"/>
  <c r="AE80" i="11"/>
  <c r="BM80" i="11"/>
  <c r="AJ80" i="11"/>
  <c r="AK80" i="11"/>
  <c r="AS80" i="11"/>
  <c r="AR80" i="11"/>
  <c r="AY80" i="11"/>
  <c r="AZ80" i="11"/>
  <c r="R80" i="11"/>
  <c r="BJ80" i="11"/>
  <c r="BN80" i="11"/>
  <c r="BO80" i="11"/>
  <c r="M80" i="11"/>
  <c r="AD80" i="11"/>
  <c r="Y80" i="11"/>
  <c r="D60" i="5"/>
  <c r="X68" i="2"/>
  <c r="BR67" i="5"/>
  <c r="BF67" i="5"/>
  <c r="V67" i="5"/>
  <c r="J67" i="5"/>
  <c r="BK54" i="5"/>
  <c r="O54" i="5"/>
  <c r="BP64" i="5"/>
  <c r="BD64" i="5"/>
  <c r="T64" i="5"/>
  <c r="H64" i="5"/>
  <c r="BL32" i="5"/>
  <c r="AZ32" i="5"/>
  <c r="AB32" i="5"/>
  <c r="BJ47" i="5"/>
  <c r="AX47" i="5"/>
  <c r="AL47" i="5"/>
  <c r="Z47" i="5"/>
  <c r="N47" i="5"/>
  <c r="BO46" i="5"/>
  <c r="BC46" i="5"/>
  <c r="BT45" i="5"/>
  <c r="BH45" i="5"/>
  <c r="AV45" i="5"/>
  <c r="AJ45" i="5"/>
  <c r="X45" i="5"/>
  <c r="L45" i="5"/>
  <c r="BM44" i="5"/>
  <c r="Q44" i="5"/>
  <c r="BR60" i="5"/>
  <c r="BF60" i="5"/>
  <c r="V60" i="5"/>
  <c r="J60" i="5"/>
  <c r="BK23" i="5"/>
  <c r="BP41" i="5"/>
  <c r="BD41" i="5"/>
  <c r="AR41" i="5"/>
  <c r="AF41" i="5"/>
  <c r="T41" i="5"/>
  <c r="H41" i="5"/>
  <c r="BI55" i="5"/>
  <c r="AW55" i="5"/>
  <c r="M55" i="5"/>
  <c r="BN39" i="5"/>
  <c r="BB39" i="5"/>
  <c r="AP39" i="5"/>
  <c r="AD39" i="5"/>
  <c r="R39" i="5"/>
  <c r="AP76" i="7"/>
  <c r="AJ76" i="7"/>
  <c r="AR87" i="7"/>
  <c r="AI77" i="7"/>
  <c r="AP77" i="7"/>
  <c r="AY77" i="7"/>
  <c r="BI77" i="7"/>
  <c r="H87" i="7"/>
  <c r="I87" i="7"/>
  <c r="AL87" i="7"/>
  <c r="BP79" i="7"/>
  <c r="BG79" i="7"/>
  <c r="AA79" i="7"/>
  <c r="Y89" i="7"/>
  <c r="AK89" i="7"/>
  <c r="H79" i="7"/>
  <c r="AG79" i="7"/>
  <c r="BA77" i="7"/>
  <c r="AT85" i="10"/>
  <c r="BE77" i="10"/>
  <c r="BQ86" i="11"/>
  <c r="BQ80" i="10"/>
  <c r="AX76" i="12"/>
  <c r="AS76" i="12"/>
  <c r="AT76" i="12"/>
  <c r="BA76" i="12"/>
  <c r="L76" i="12"/>
  <c r="BS76" i="12"/>
  <c r="Y76" i="12"/>
  <c r="AG76" i="12"/>
  <c r="AE76" i="12"/>
  <c r="AM76" i="12"/>
  <c r="BD76" i="12"/>
  <c r="AW76" i="12"/>
  <c r="U76" i="12"/>
  <c r="R76" i="12"/>
  <c r="Z76" i="12"/>
  <c r="AI76" i="12"/>
  <c r="X76" i="12"/>
  <c r="I76" i="12"/>
  <c r="BG76" i="12"/>
  <c r="M76" i="12"/>
  <c r="K76" i="12"/>
  <c r="BR76" i="12"/>
  <c r="BO76" i="12"/>
  <c r="AR76" i="12"/>
  <c r="BL76" i="12"/>
  <c r="BB76" i="12"/>
  <c r="AU76" i="12"/>
  <c r="BC76" i="12"/>
  <c r="AD76" i="12"/>
  <c r="AL76" i="12"/>
  <c r="AF76" i="12"/>
  <c r="W76" i="12"/>
  <c r="AQ76" i="12"/>
  <c r="Q76" i="12"/>
  <c r="O76" i="12"/>
  <c r="J76" i="12"/>
  <c r="BN76" i="12"/>
  <c r="BJ76" i="12"/>
  <c r="BF76" i="12"/>
  <c r="BK76" i="12"/>
  <c r="AZ76" i="12"/>
  <c r="AO76" i="12"/>
  <c r="AV76" i="12"/>
  <c r="AP76" i="12"/>
  <c r="AK76" i="12"/>
  <c r="AB76" i="12"/>
  <c r="V76" i="12"/>
  <c r="AH76" i="12"/>
  <c r="AC76" i="12"/>
  <c r="N76" i="12"/>
  <c r="H76" i="12"/>
  <c r="BM76" i="12"/>
  <c r="BQ76" i="12"/>
  <c r="T76" i="12"/>
  <c r="P76" i="12"/>
  <c r="BI76" i="12"/>
  <c r="AY76" i="12"/>
  <c r="AN76" i="12"/>
  <c r="L69" i="2"/>
  <c r="K43" i="5"/>
  <c r="U63" i="2"/>
  <c r="BQ67" i="5"/>
  <c r="BE67" i="5"/>
  <c r="AS67" i="5"/>
  <c r="U67" i="5"/>
  <c r="I67" i="5"/>
  <c r="BJ54" i="5"/>
  <c r="BO64" i="5"/>
  <c r="BC64" i="5"/>
  <c r="S64" i="5"/>
  <c r="BK32" i="5"/>
  <c r="AY32" i="5"/>
  <c r="BI47" i="5"/>
  <c r="AW47" i="5"/>
  <c r="AK47" i="5"/>
  <c r="Y47" i="5"/>
  <c r="M47" i="5"/>
  <c r="BN46" i="5"/>
  <c r="BB46" i="5"/>
  <c r="BS45" i="5"/>
  <c r="BG45" i="5"/>
  <c r="AU45" i="5"/>
  <c r="AI45" i="5"/>
  <c r="W45" i="5"/>
  <c r="K45" i="5"/>
  <c r="BL44" i="5"/>
  <c r="P44" i="5"/>
  <c r="BQ60" i="5"/>
  <c r="BE60" i="5"/>
  <c r="U60" i="5"/>
  <c r="I60" i="5"/>
  <c r="BJ23" i="5"/>
  <c r="BO41" i="5"/>
  <c r="BC41" i="5"/>
  <c r="AQ41" i="5"/>
  <c r="AE41" i="5"/>
  <c r="S41" i="5"/>
  <c r="BT55" i="5"/>
  <c r="BH55" i="5"/>
  <c r="L55" i="5"/>
  <c r="BM39" i="5"/>
  <c r="BA39" i="5"/>
  <c r="AO39" i="5"/>
  <c r="AC39" i="5"/>
  <c r="Q39" i="5"/>
  <c r="I77" i="2"/>
  <c r="AB76" i="7"/>
  <c r="BQ76" i="7"/>
  <c r="AV76" i="7"/>
  <c r="BC88" i="7"/>
  <c r="L87" i="7"/>
  <c r="BO79" i="7"/>
  <c r="BF77" i="7"/>
  <c r="BN77" i="7"/>
  <c r="N77" i="7"/>
  <c r="BR87" i="7"/>
  <c r="AB87" i="7"/>
  <c r="W87" i="7"/>
  <c r="AX87" i="7"/>
  <c r="BK87" i="7"/>
  <c r="W79" i="7"/>
  <c r="N79" i="7"/>
  <c r="AM79" i="7"/>
  <c r="BB79" i="7"/>
  <c r="AI79" i="7"/>
  <c r="Q77" i="7"/>
  <c r="J85" i="10"/>
  <c r="AT92" i="11"/>
  <c r="L86" i="11"/>
  <c r="AQ80" i="11"/>
  <c r="BK77" i="11"/>
  <c r="L77" i="11"/>
  <c r="AP87" i="12"/>
  <c r="BR92" i="10"/>
  <c r="BO92" i="10"/>
  <c r="AX92" i="10"/>
  <c r="AR92" i="10"/>
  <c r="AB92" i="10"/>
  <c r="R92" i="10"/>
  <c r="J92" i="10"/>
  <c r="I92" i="10"/>
  <c r="BE92" i="10"/>
  <c r="O92" i="10"/>
  <c r="BL92" i="10"/>
  <c r="BA92" i="10"/>
  <c r="AS92" i="10"/>
  <c r="AG92" i="10"/>
  <c r="AN92" i="10"/>
  <c r="AE92" i="10"/>
  <c r="BK92" i="10"/>
  <c r="AW92" i="10"/>
  <c r="AU92" i="10"/>
  <c r="BF92" i="10"/>
  <c r="AY92" i="10"/>
  <c r="AK92" i="10"/>
  <c r="AI92" i="10"/>
  <c r="AO92" i="10"/>
  <c r="AF92" i="10"/>
  <c r="U92" i="10"/>
  <c r="Y92" i="10"/>
  <c r="W92" i="10"/>
  <c r="V92" i="10"/>
  <c r="P92" i="10"/>
  <c r="M92" i="10"/>
  <c r="K92" i="10"/>
  <c r="BD92" i="10"/>
  <c r="BM92" i="10"/>
  <c r="BT92" i="10"/>
  <c r="BN92" i="10"/>
  <c r="AM92" i="10"/>
  <c r="AT92" i="10"/>
  <c r="BH92" i="10"/>
  <c r="BB92" i="10"/>
  <c r="T92" i="10"/>
  <c r="AC92" i="10"/>
  <c r="AV92" i="10"/>
  <c r="AP92" i="10"/>
  <c r="BC92" i="10"/>
  <c r="N92" i="10"/>
  <c r="AJ92" i="10"/>
  <c r="AD92" i="10"/>
  <c r="AL92" i="10"/>
  <c r="AH92" i="10"/>
  <c r="X92" i="10"/>
  <c r="BJ92" i="10"/>
  <c r="S92" i="10"/>
  <c r="L92" i="10"/>
  <c r="AQ92" i="10"/>
  <c r="BQ92" i="10"/>
  <c r="Q92" i="10"/>
  <c r="BS92" i="10"/>
  <c r="Z92" i="10"/>
  <c r="AZ92" i="10"/>
  <c r="X79" i="2"/>
  <c r="U78" i="2"/>
  <c r="D48" i="5"/>
  <c r="AA75" i="2"/>
  <c r="M81" i="11"/>
  <c r="AH80" i="10"/>
  <c r="BE80" i="10"/>
  <c r="U80" i="10"/>
  <c r="V80" i="10"/>
  <c r="AF80" i="10"/>
  <c r="Z80" i="10"/>
  <c r="AC80" i="10"/>
  <c r="AD80" i="10"/>
  <c r="BN80" i="10"/>
  <c r="AB80" i="10"/>
  <c r="AE80" i="10"/>
  <c r="AL80" i="10"/>
  <c r="X80" i="10"/>
  <c r="AJ80" i="10"/>
  <c r="T80" i="10"/>
  <c r="Y80" i="10"/>
  <c r="AI80" i="10"/>
  <c r="AK80" i="10"/>
  <c r="AA80" i="10"/>
  <c r="W80" i="10"/>
  <c r="BM80" i="10"/>
  <c r="K80" i="10"/>
  <c r="S80" i="10"/>
  <c r="M80" i="10"/>
  <c r="BA80" i="10"/>
  <c r="BR80" i="10"/>
  <c r="BI80" i="10"/>
  <c r="AS80" i="10"/>
  <c r="AO80" i="10"/>
  <c r="BC80" i="10"/>
  <c r="AT80" i="10"/>
  <c r="L80" i="10"/>
  <c r="Q80" i="10"/>
  <c r="AM80" i="10"/>
  <c r="R80" i="10"/>
  <c r="AQ80" i="10"/>
  <c r="BL80" i="10"/>
  <c r="J80" i="10"/>
  <c r="BG80" i="10"/>
  <c r="I80" i="10"/>
  <c r="AZ80" i="10"/>
  <c r="BP80" i="10"/>
  <c r="AR80" i="10"/>
  <c r="AP80" i="10"/>
  <c r="BJ80" i="10"/>
  <c r="AY80" i="10"/>
  <c r="O80" i="10"/>
  <c r="BT80" i="10"/>
  <c r="AX80" i="10"/>
  <c r="H80" i="10"/>
  <c r="BH80" i="10"/>
  <c r="AG80" i="10"/>
  <c r="N80" i="10"/>
  <c r="BO80" i="10"/>
  <c r="BF80" i="10"/>
  <c r="BS80" i="10"/>
  <c r="AW80" i="10"/>
  <c r="BB80" i="10"/>
  <c r="BD80" i="10"/>
  <c r="BK80" i="10"/>
  <c r="P80" i="10"/>
  <c r="S78" i="8"/>
  <c r="AA70" i="2"/>
  <c r="L70" i="2"/>
  <c r="BP67" i="5"/>
  <c r="BD67" i="5"/>
  <c r="AR67" i="5"/>
  <c r="T67" i="5"/>
  <c r="H67" i="5"/>
  <c r="BI54" i="5"/>
  <c r="M54" i="5"/>
  <c r="BN64" i="5"/>
  <c r="R64" i="5"/>
  <c r="BJ32" i="5"/>
  <c r="AX32" i="5"/>
  <c r="BT47" i="5"/>
  <c r="BH47" i="5"/>
  <c r="AV47" i="5"/>
  <c r="AJ47" i="5"/>
  <c r="X47" i="5"/>
  <c r="L47" i="5"/>
  <c r="BM46" i="5"/>
  <c r="BA46" i="5"/>
  <c r="BR45" i="5"/>
  <c r="BF45" i="5"/>
  <c r="AT45" i="5"/>
  <c r="AH45" i="5"/>
  <c r="V45" i="5"/>
  <c r="J45" i="5"/>
  <c r="BK44" i="5"/>
  <c r="O44" i="5"/>
  <c r="BP60" i="5"/>
  <c r="BD60" i="5"/>
  <c r="T60" i="5"/>
  <c r="H60" i="5"/>
  <c r="BI23" i="5"/>
  <c r="M23" i="5"/>
  <c r="BN41" i="5"/>
  <c r="BB41" i="5"/>
  <c r="AP41" i="5"/>
  <c r="AD41" i="5"/>
  <c r="R41" i="5"/>
  <c r="BS55" i="5"/>
  <c r="BG55" i="5"/>
  <c r="W55" i="5"/>
  <c r="K55" i="5"/>
  <c r="BL39" i="5"/>
  <c r="AZ39" i="5"/>
  <c r="AN39" i="5"/>
  <c r="AB39" i="5"/>
  <c r="P39" i="5"/>
  <c r="I78" i="2"/>
  <c r="S89" i="7"/>
  <c r="N76" i="7"/>
  <c r="AW88" i="7"/>
  <c r="BA76" i="7"/>
  <c r="BD87" i="7"/>
  <c r="AV84" i="7"/>
  <c r="AV87" i="7"/>
  <c r="BT79" i="7"/>
  <c r="BO88" i="7"/>
  <c r="AO79" i="7"/>
  <c r="L77" i="7"/>
  <c r="H77" i="7"/>
  <c r="Z77" i="7"/>
  <c r="AI87" i="7"/>
  <c r="AU87" i="7"/>
  <c r="AK87" i="7"/>
  <c r="BJ87" i="7"/>
  <c r="AD87" i="7"/>
  <c r="AL79" i="7"/>
  <c r="AE79" i="7"/>
  <c r="AY79" i="7"/>
  <c r="L79" i="7"/>
  <c r="AK79" i="7"/>
  <c r="BB77" i="7"/>
  <c r="H92" i="10"/>
  <c r="Q83" i="10"/>
  <c r="AU80" i="10"/>
  <c r="V92" i="11"/>
  <c r="BS80" i="11"/>
  <c r="BD77" i="11"/>
  <c r="H87" i="12"/>
  <c r="BK87" i="12"/>
  <c r="AR87" i="12"/>
  <c r="P87" i="12"/>
  <c r="BL87" i="12"/>
  <c r="O87" i="12"/>
  <c r="AW87" i="12"/>
  <c r="AE87" i="12"/>
  <c r="V87" i="12"/>
  <c r="X87" i="12"/>
  <c r="BB87" i="12"/>
  <c r="L87" i="12"/>
  <c r="AN87" i="12"/>
  <c r="Z87" i="12"/>
  <c r="U87" i="12"/>
  <c r="AK87" i="12"/>
  <c r="AM87" i="12"/>
  <c r="AG87" i="12"/>
  <c r="BJ87" i="12"/>
  <c r="AV87" i="12"/>
  <c r="AJ87" i="12"/>
  <c r="AZ87" i="12"/>
  <c r="BE87" i="12"/>
  <c r="BG87" i="12"/>
  <c r="N87" i="12"/>
  <c r="Y87" i="12"/>
  <c r="AY87" i="12"/>
  <c r="BR87" i="12"/>
  <c r="Q87" i="12"/>
  <c r="AL87" i="12"/>
  <c r="W87" i="12"/>
  <c r="AU87" i="12"/>
  <c r="BQ87" i="12"/>
  <c r="AC87" i="12"/>
  <c r="BI87" i="12"/>
  <c r="AT87" i="12"/>
  <c r="K87" i="12"/>
  <c r="BN87" i="12"/>
  <c r="AO87" i="12"/>
  <c r="BS87" i="12"/>
  <c r="AF87" i="12"/>
  <c r="T87" i="12"/>
  <c r="BA87" i="12"/>
  <c r="AX87" i="12"/>
  <c r="BM87" i="12"/>
  <c r="M87" i="12"/>
  <c r="I87" i="12"/>
  <c r="AI87" i="12"/>
  <c r="BH87" i="12"/>
  <c r="S87" i="12"/>
  <c r="AB87" i="12"/>
  <c r="BO87" i="12"/>
  <c r="R87" i="12"/>
  <c r="BF87" i="12"/>
  <c r="AH87" i="12"/>
  <c r="AS87" i="12"/>
  <c r="BP87" i="12"/>
  <c r="BD87" i="12"/>
  <c r="BC87" i="12"/>
  <c r="AD87" i="12"/>
  <c r="O76" i="7"/>
  <c r="AR76" i="7"/>
  <c r="AO76" i="7"/>
  <c r="AN76" i="7"/>
  <c r="P76" i="7"/>
  <c r="U76" i="7"/>
  <c r="BG76" i="7"/>
  <c r="AX76" i="7"/>
  <c r="AC76" i="7"/>
  <c r="AG76" i="7"/>
  <c r="AS76" i="7"/>
  <c r="BE76" i="7"/>
  <c r="BK76" i="7"/>
  <c r="S76" i="7"/>
  <c r="AA76" i="7"/>
  <c r="BL76" i="7"/>
  <c r="BP76" i="7"/>
  <c r="BD76" i="7"/>
  <c r="AD76" i="7"/>
  <c r="J76" i="7"/>
  <c r="Q76" i="7"/>
  <c r="BJ76" i="7"/>
  <c r="AI76" i="7"/>
  <c r="BM76" i="7"/>
  <c r="Z76" i="7"/>
  <c r="BS76" i="7"/>
  <c r="K76" i="7"/>
  <c r="AZ76" i="7"/>
  <c r="S98" i="5"/>
  <c r="BO67" i="5"/>
  <c r="BC67" i="5"/>
  <c r="AQ67" i="5"/>
  <c r="S67" i="5"/>
  <c r="BT54" i="5"/>
  <c r="BH54" i="5"/>
  <c r="L54" i="5"/>
  <c r="BM64" i="5"/>
  <c r="Q64" i="5"/>
  <c r="BI32" i="5"/>
  <c r="AW32" i="5"/>
  <c r="M32" i="5"/>
  <c r="BS47" i="5"/>
  <c r="BG47" i="5"/>
  <c r="AU47" i="5"/>
  <c r="AI47" i="5"/>
  <c r="W47" i="5"/>
  <c r="K47" i="5"/>
  <c r="BL46" i="5"/>
  <c r="AZ46" i="5"/>
  <c r="BQ45" i="5"/>
  <c r="BE45" i="5"/>
  <c r="AS45" i="5"/>
  <c r="AG45" i="5"/>
  <c r="U45" i="5"/>
  <c r="I45" i="5"/>
  <c r="BJ44" i="5"/>
  <c r="N44" i="5"/>
  <c r="BO60" i="5"/>
  <c r="S60" i="5"/>
  <c r="BT23" i="5"/>
  <c r="BH23" i="5"/>
  <c r="L23" i="5"/>
  <c r="BM41" i="5"/>
  <c r="BA41" i="5"/>
  <c r="AO41" i="5"/>
  <c r="AC41" i="5"/>
  <c r="Q41" i="5"/>
  <c r="BR55" i="5"/>
  <c r="BF55" i="5"/>
  <c r="AH55" i="5"/>
  <c r="V55" i="5"/>
  <c r="J55" i="5"/>
  <c r="BK39" i="5"/>
  <c r="AY39" i="5"/>
  <c r="AM39" i="5"/>
  <c r="AA39" i="5"/>
  <c r="O39" i="5"/>
  <c r="BF82" i="7"/>
  <c r="BK82" i="7"/>
  <c r="AL76" i="7"/>
  <c r="BN76" i="7"/>
  <c r="BT76" i="7"/>
  <c r="U87" i="7"/>
  <c r="AZ84" i="7"/>
  <c r="O87" i="7"/>
  <c r="AS79" i="7"/>
  <c r="AB88" i="7"/>
  <c r="M79" i="7"/>
  <c r="AC77" i="7"/>
  <c r="T77" i="7"/>
  <c r="AL77" i="7"/>
  <c r="T87" i="7"/>
  <c r="BM87" i="7"/>
  <c r="AZ87" i="7"/>
  <c r="S87" i="7"/>
  <c r="BL85" i="7"/>
  <c r="AN85" i="7"/>
  <c r="BC79" i="7"/>
  <c r="AU79" i="7"/>
  <c r="BK79" i="7"/>
  <c r="BD79" i="7"/>
  <c r="AV79" i="7"/>
  <c r="BG92" i="10"/>
  <c r="AF83" i="10"/>
  <c r="AN80" i="10"/>
  <c r="Y83" i="10"/>
  <c r="BB92" i="11"/>
  <c r="BT84" i="11"/>
  <c r="V84" i="11"/>
  <c r="BF77" i="11"/>
  <c r="AI77" i="11"/>
  <c r="L81" i="2"/>
  <c r="AI86" i="11"/>
  <c r="BB86" i="11"/>
  <c r="AL86" i="11"/>
  <c r="AK86" i="11"/>
  <c r="S86" i="11"/>
  <c r="W86" i="11"/>
  <c r="BJ86" i="11"/>
  <c r="R86" i="11"/>
  <c r="AG86" i="11"/>
  <c r="N86" i="11"/>
  <c r="BI86" i="11"/>
  <c r="K86" i="11"/>
  <c r="BO86" i="11"/>
  <c r="AF86" i="11"/>
  <c r="I86" i="11"/>
  <c r="AP86" i="11"/>
  <c r="BD86" i="11"/>
  <c r="BE86" i="11"/>
  <c r="AQ86" i="11"/>
  <c r="AE86" i="11"/>
  <c r="M86" i="11"/>
  <c r="BC86" i="11"/>
  <c r="BN86" i="11"/>
  <c r="U86" i="11"/>
  <c r="P86" i="11"/>
  <c r="BS86" i="11"/>
  <c r="BK86" i="11"/>
  <c r="BG86" i="11"/>
  <c r="AY86" i="11"/>
  <c r="AU86" i="11"/>
  <c r="T86" i="11"/>
  <c r="BM86" i="11"/>
  <c r="AM86" i="11"/>
  <c r="BR86" i="11"/>
  <c r="BA86" i="11"/>
  <c r="AA86" i="11"/>
  <c r="BF86" i="11"/>
  <c r="Z86" i="11"/>
  <c r="AO86" i="11"/>
  <c r="O86" i="11"/>
  <c r="AT86" i="11"/>
  <c r="AW86" i="11"/>
  <c r="AC86" i="11"/>
  <c r="BT86" i="11"/>
  <c r="AH86" i="11"/>
  <c r="Q86" i="11"/>
  <c r="BH86" i="11"/>
  <c r="V86" i="11"/>
  <c r="BL86" i="11"/>
  <c r="AV86" i="11"/>
  <c r="J86" i="11"/>
  <c r="H86" i="11"/>
  <c r="AZ86" i="11"/>
  <c r="AJ86" i="11"/>
  <c r="Y86" i="11"/>
  <c r="AD86" i="11"/>
  <c r="AR86" i="11"/>
  <c r="AN86" i="11"/>
  <c r="X86" i="11"/>
  <c r="AS86" i="11"/>
  <c r="AX86" i="11"/>
  <c r="I79" i="2"/>
  <c r="AL85" i="10"/>
  <c r="K85" i="10"/>
  <c r="AX85" i="10"/>
  <c r="O85" i="10"/>
  <c r="X85" i="10"/>
  <c r="Y85" i="10"/>
  <c r="BJ85" i="10"/>
  <c r="N85" i="10"/>
  <c r="AM85" i="10"/>
  <c r="BD85" i="10"/>
  <c r="BA85" i="10"/>
  <c r="AR85" i="10"/>
  <c r="AW85" i="10"/>
  <c r="AK85" i="10"/>
  <c r="Z85" i="10"/>
  <c r="M85" i="10"/>
  <c r="Q85" i="10"/>
  <c r="H85" i="10"/>
  <c r="AO85" i="10"/>
  <c r="BT85" i="10"/>
  <c r="BI85" i="10"/>
  <c r="L85" i="10"/>
  <c r="AZ85" i="10"/>
  <c r="AI85" i="10"/>
  <c r="BP85" i="10"/>
  <c r="W85" i="10"/>
  <c r="AJ85" i="10"/>
  <c r="BR85" i="10"/>
  <c r="AC85" i="10"/>
  <c r="BG85" i="10"/>
  <c r="P85" i="10"/>
  <c r="BH85" i="10"/>
  <c r="BM85" i="10"/>
  <c r="BS85" i="10"/>
  <c r="BK85" i="10"/>
  <c r="AF85" i="10"/>
  <c r="AB85" i="10"/>
  <c r="BL85" i="10"/>
  <c r="AY85" i="10"/>
  <c r="AU85" i="10"/>
  <c r="AV85" i="10"/>
  <c r="AP85" i="10"/>
  <c r="BQ85" i="10"/>
  <c r="V85" i="10"/>
  <c r="BB85" i="10"/>
  <c r="AH85" i="10"/>
  <c r="BN85" i="10"/>
  <c r="S85" i="10"/>
  <c r="AA85" i="10"/>
  <c r="AE85" i="10"/>
  <c r="T85" i="10"/>
  <c r="AQ85" i="10"/>
  <c r="BC85" i="10"/>
  <c r="BO85" i="10"/>
  <c r="I85" i="10"/>
  <c r="U85" i="10"/>
  <c r="AG85" i="10"/>
  <c r="AN85" i="10"/>
  <c r="R85" i="10"/>
  <c r="AS85" i="10"/>
  <c r="BG82" i="7"/>
  <c r="AU82" i="7"/>
  <c r="O82" i="7"/>
  <c r="BH82" i="7"/>
  <c r="AA72" i="2"/>
  <c r="BO77" i="12"/>
  <c r="AX77" i="12"/>
  <c r="W77" i="12"/>
  <c r="AE77" i="12"/>
  <c r="Z77" i="12"/>
  <c r="BM77" i="12"/>
  <c r="AF77" i="12"/>
  <c r="Q77" i="12"/>
  <c r="H77" i="12"/>
  <c r="BL77" i="12"/>
  <c r="BH77" i="12"/>
  <c r="AK77" i="12"/>
  <c r="AH77" i="12"/>
  <c r="S77" i="12"/>
  <c r="O77" i="12"/>
  <c r="BT77" i="7"/>
  <c r="BS76" i="11"/>
  <c r="BR76" i="11"/>
  <c r="BA76" i="11"/>
  <c r="AI76" i="11"/>
  <c r="Q76" i="11"/>
  <c r="O76" i="11"/>
  <c r="AK76" i="11"/>
  <c r="P76" i="11"/>
  <c r="BJ76" i="11"/>
  <c r="AU76" i="11"/>
  <c r="L76" i="11"/>
  <c r="U76" i="11"/>
  <c r="AJ76" i="11"/>
  <c r="BK76" i="11"/>
  <c r="AB76" i="11"/>
  <c r="M76" i="11"/>
  <c r="AG76" i="11"/>
  <c r="AZ76" i="11"/>
  <c r="AV76" i="11"/>
  <c r="AC76" i="11"/>
  <c r="AS76" i="11"/>
  <c r="BT76" i="11"/>
  <c r="BL76" i="11"/>
  <c r="AW76" i="11"/>
  <c r="BE76" i="11"/>
  <c r="BM76" i="11"/>
  <c r="R76" i="11"/>
  <c r="AD76" i="11"/>
  <c r="H76" i="11"/>
  <c r="AP76" i="11"/>
  <c r="S76" i="11"/>
  <c r="T76" i="11"/>
  <c r="BB76" i="11"/>
  <c r="AE76" i="11"/>
  <c r="AF76" i="11"/>
  <c r="V76" i="11"/>
  <c r="W76" i="11"/>
  <c r="X76" i="11"/>
  <c r="BQ76" i="11"/>
  <c r="BN76" i="11"/>
  <c r="AQ76" i="11"/>
  <c r="AR76" i="11"/>
  <c r="AL76" i="11"/>
  <c r="AM76" i="11"/>
  <c r="AN76" i="11"/>
  <c r="Y76" i="11"/>
  <c r="J76" i="11"/>
  <c r="N76" i="11"/>
  <c r="BC76" i="11"/>
  <c r="BD76" i="11"/>
  <c r="BF76" i="11"/>
  <c r="BG76" i="11"/>
  <c r="BH76" i="11"/>
  <c r="AO76" i="11"/>
  <c r="Z76" i="11"/>
  <c r="K76" i="11"/>
  <c r="AH76" i="11"/>
  <c r="BO76" i="11"/>
  <c r="BP76" i="11"/>
  <c r="X66" i="2"/>
  <c r="I37" i="5"/>
  <c r="BN67" i="5"/>
  <c r="BB67" i="5"/>
  <c r="AP67" i="5"/>
  <c r="R67" i="5"/>
  <c r="BS54" i="5"/>
  <c r="BG54" i="5"/>
  <c r="W54" i="5"/>
  <c r="K54" i="5"/>
  <c r="BL64" i="5"/>
  <c r="P64" i="5"/>
  <c r="BT32" i="5"/>
  <c r="BH32" i="5"/>
  <c r="AV32" i="5"/>
  <c r="L32" i="5"/>
  <c r="BR47" i="5"/>
  <c r="BF47" i="5"/>
  <c r="AT47" i="5"/>
  <c r="AH47" i="5"/>
  <c r="V47" i="5"/>
  <c r="J47" i="5"/>
  <c r="BK46" i="5"/>
  <c r="AY46" i="5"/>
  <c r="BP45" i="5"/>
  <c r="BD45" i="5"/>
  <c r="AR45" i="5"/>
  <c r="AF45" i="5"/>
  <c r="T45" i="5"/>
  <c r="H45" i="5"/>
  <c r="BI44" i="5"/>
  <c r="M44" i="5"/>
  <c r="BN60" i="5"/>
  <c r="R60" i="5"/>
  <c r="BS23" i="5"/>
  <c r="BG23" i="5"/>
  <c r="W23" i="5"/>
  <c r="K23" i="5"/>
  <c r="BL41" i="5"/>
  <c r="AZ41" i="5"/>
  <c r="AN41" i="5"/>
  <c r="AB41" i="5"/>
  <c r="P41" i="5"/>
  <c r="BQ55" i="5"/>
  <c r="BE55" i="5"/>
  <c r="AG55" i="5"/>
  <c r="U55" i="5"/>
  <c r="I55" i="5"/>
  <c r="BJ39" i="5"/>
  <c r="AX39" i="5"/>
  <c r="AL39" i="5"/>
  <c r="Z39" i="5"/>
  <c r="N39" i="5"/>
  <c r="V76" i="7"/>
  <c r="AY76" i="7"/>
  <c r="M76" i="7"/>
  <c r="AI82" i="7"/>
  <c r="R79" i="7"/>
  <c r="AO87" i="7"/>
  <c r="BG77" i="7"/>
  <c r="AS77" i="7"/>
  <c r="AF77" i="7"/>
  <c r="AX77" i="7"/>
  <c r="AN87" i="7"/>
  <c r="M87" i="7"/>
  <c r="BN87" i="7"/>
  <c r="AE87" i="7"/>
  <c r="BS79" i="7"/>
  <c r="BJ79" i="7"/>
  <c r="P79" i="7"/>
  <c r="BK80" i="7"/>
  <c r="S79" i="7"/>
  <c r="AM77" i="7"/>
  <c r="BE77" i="7"/>
  <c r="BQ87" i="7"/>
  <c r="BI92" i="10"/>
  <c r="Q79" i="10"/>
  <c r="O92" i="11"/>
  <c r="AL84" i="11"/>
  <c r="BC77" i="12"/>
  <c r="L84" i="2"/>
  <c r="AK90" i="12"/>
  <c r="AG90" i="12"/>
  <c r="BN90" i="12"/>
  <c r="Y90" i="12"/>
  <c r="BM90" i="12"/>
  <c r="X90" i="12"/>
  <c r="BL90" i="12"/>
  <c r="T90" i="12"/>
  <c r="BK90" i="12"/>
  <c r="S90" i="12"/>
  <c r="BA90" i="12"/>
  <c r="Q90" i="12"/>
  <c r="AW90" i="12"/>
  <c r="I90" i="12"/>
  <c r="AS90" i="12"/>
  <c r="AY90" i="12"/>
  <c r="AQ90" i="12"/>
  <c r="AM90" i="12"/>
  <c r="AL90" i="12"/>
  <c r="R90" i="12"/>
  <c r="AV90" i="12"/>
  <c r="BO90" i="12"/>
  <c r="U90" i="12"/>
  <c r="BI90" i="12"/>
  <c r="K90" i="12"/>
  <c r="AB90" i="12"/>
  <c r="AC90" i="12"/>
  <c r="BR90" i="12"/>
  <c r="N90" i="12"/>
  <c r="AX90" i="12"/>
  <c r="BF90" i="12"/>
  <c r="BQ90" i="12"/>
  <c r="AT90" i="12"/>
  <c r="BC90" i="12"/>
  <c r="O90" i="12"/>
  <c r="V90" i="12"/>
  <c r="AO90" i="12"/>
  <c r="H90" i="12"/>
  <c r="AJ90" i="12"/>
  <c r="AH90" i="12"/>
  <c r="AI90" i="12"/>
  <c r="J90" i="12"/>
  <c r="AA90" i="12"/>
  <c r="AE90" i="12"/>
  <c r="AF90" i="12"/>
  <c r="BE90" i="12"/>
  <c r="BH90" i="12"/>
  <c r="M90" i="12"/>
  <c r="AZ90" i="12"/>
  <c r="AR90" i="12"/>
  <c r="BP90" i="12"/>
  <c r="BS90" i="12"/>
  <c r="AD90" i="12"/>
  <c r="BB90" i="12"/>
  <c r="BG90" i="12"/>
  <c r="P90" i="12"/>
  <c r="AN90" i="12"/>
  <c r="AU90" i="12"/>
  <c r="BD90" i="12"/>
  <c r="Z90" i="12"/>
  <c r="AH89" i="12"/>
  <c r="H89" i="12"/>
  <c r="BM89" i="12"/>
  <c r="V89" i="12"/>
  <c r="BS89" i="12"/>
  <c r="AM89" i="12"/>
  <c r="BI89" i="12"/>
  <c r="J89" i="12"/>
  <c r="BC89" i="12"/>
  <c r="Y89" i="12"/>
  <c r="AK89" i="12"/>
  <c r="BQ89" i="12"/>
  <c r="AO89" i="12"/>
  <c r="K89" i="12"/>
  <c r="Q89" i="12"/>
  <c r="AB89" i="12"/>
  <c r="BE89" i="12"/>
  <c r="AA89" i="12"/>
  <c r="BL89" i="12"/>
  <c r="BH89" i="12"/>
  <c r="AF89" i="12"/>
  <c r="AS89" i="12"/>
  <c r="M89" i="12"/>
  <c r="AR89" i="12"/>
  <c r="AJ89" i="12"/>
  <c r="AW89" i="12"/>
  <c r="AG89" i="12"/>
  <c r="BP89" i="12"/>
  <c r="T89" i="12"/>
  <c r="P89" i="12"/>
  <c r="BD89" i="12"/>
  <c r="U89" i="12"/>
  <c r="BB89" i="12"/>
  <c r="BK89" i="12"/>
  <c r="AY89" i="12"/>
  <c r="N89" i="12"/>
  <c r="I89" i="12"/>
  <c r="AN89" i="12"/>
  <c r="AP89" i="12"/>
  <c r="AE89" i="12"/>
  <c r="BG89" i="12"/>
  <c r="Z89" i="12"/>
  <c r="S89" i="12"/>
  <c r="BN89" i="12"/>
  <c r="W89" i="12"/>
  <c r="BR89" i="12"/>
  <c r="AQ89" i="12"/>
  <c r="L89" i="12"/>
  <c r="BJ89" i="12"/>
  <c r="AV89" i="12"/>
  <c r="AI89" i="12"/>
  <c r="BF89" i="12"/>
  <c r="AC89" i="12"/>
  <c r="BO89" i="12"/>
  <c r="AL89" i="12"/>
  <c r="X89" i="12"/>
  <c r="AD89" i="12"/>
  <c r="AU89" i="12"/>
  <c r="AX89" i="12"/>
  <c r="AN88" i="7"/>
  <c r="I80" i="2"/>
  <c r="U79" i="2"/>
  <c r="AH83" i="12"/>
  <c r="BE83" i="12"/>
  <c r="AB83" i="12"/>
  <c r="BS83" i="12"/>
  <c r="AQ83" i="12"/>
  <c r="AR83" i="12"/>
  <c r="Q83" i="12"/>
  <c r="AA83" i="12"/>
  <c r="AD83" i="12"/>
  <c r="AY83" i="12"/>
  <c r="AW83" i="12"/>
  <c r="AC83" i="12"/>
  <c r="W83" i="12"/>
  <c r="J83" i="12"/>
  <c r="U83" i="12"/>
  <c r="M83" i="12"/>
  <c r="BB83" i="12"/>
  <c r="AT83" i="12"/>
  <c r="BM83" i="12"/>
  <c r="X75" i="2"/>
  <c r="D44" i="5"/>
  <c r="L72" i="2"/>
  <c r="BK78" i="12"/>
  <c r="AO78" i="12"/>
  <c r="O78" i="12"/>
  <c r="BJ78" i="12"/>
  <c r="AM78" i="12"/>
  <c r="N78" i="12"/>
  <c r="BI78" i="12"/>
  <c r="AH78" i="12"/>
  <c r="M78" i="12"/>
  <c r="BH78" i="12"/>
  <c r="AF78" i="12"/>
  <c r="L78" i="12"/>
  <c r="BF78" i="12"/>
  <c r="AD78" i="12"/>
  <c r="J78" i="12"/>
  <c r="BB78" i="12"/>
  <c r="AC78" i="12"/>
  <c r="BP78" i="12"/>
  <c r="AX78" i="12"/>
  <c r="AB78" i="12"/>
  <c r="AW78" i="12"/>
  <c r="AA78" i="12"/>
  <c r="AV78" i="12"/>
  <c r="Z78" i="12"/>
  <c r="AT78" i="12"/>
  <c r="X78" i="12"/>
  <c r="BM78" i="12"/>
  <c r="AR78" i="12"/>
  <c r="Q78" i="12"/>
  <c r="BL78" i="12"/>
  <c r="AP78" i="12"/>
  <c r="P78" i="12"/>
  <c r="AJ78" i="12"/>
  <c r="U78" i="12"/>
  <c r="AY78" i="12"/>
  <c r="I78" i="12"/>
  <c r="BN78" i="12"/>
  <c r="BS78" i="12"/>
  <c r="BO78" i="12"/>
  <c r="BG78" i="12"/>
  <c r="BC78" i="12"/>
  <c r="T78" i="12"/>
  <c r="AU78" i="12"/>
  <c r="AQ78" i="12"/>
  <c r="AK78" i="12"/>
  <c r="AI78" i="12"/>
  <c r="AE78" i="12"/>
  <c r="H78" i="12"/>
  <c r="AZ78" i="12"/>
  <c r="W78" i="12"/>
  <c r="S78" i="12"/>
  <c r="Y78" i="12"/>
  <c r="K78" i="12"/>
  <c r="V78" i="12"/>
  <c r="AN78" i="12"/>
  <c r="BQ78" i="12"/>
  <c r="AL78" i="12"/>
  <c r="BD78" i="12"/>
  <c r="BE78" i="12"/>
  <c r="BA78" i="12"/>
  <c r="AS78" i="12"/>
  <c r="BR78" i="12"/>
  <c r="X70" i="2"/>
  <c r="I70" i="2"/>
  <c r="Z76" i="10"/>
  <c r="L67" i="2"/>
  <c r="BM67" i="5"/>
  <c r="BA67" i="5"/>
  <c r="AO67" i="5"/>
  <c r="Q67" i="5"/>
  <c r="BR54" i="5"/>
  <c r="BF54" i="5"/>
  <c r="J54" i="5"/>
  <c r="BK64" i="5"/>
  <c r="O64" i="5"/>
  <c r="BS32" i="5"/>
  <c r="BG32" i="5"/>
  <c r="AU32" i="5"/>
  <c r="K32" i="5"/>
  <c r="BQ47" i="5"/>
  <c r="BE47" i="5"/>
  <c r="AS47" i="5"/>
  <c r="AG47" i="5"/>
  <c r="U47" i="5"/>
  <c r="I47" i="5"/>
  <c r="BJ46" i="5"/>
  <c r="AX46" i="5"/>
  <c r="BO45" i="5"/>
  <c r="BC45" i="5"/>
  <c r="AQ45" i="5"/>
  <c r="AE45" i="5"/>
  <c r="S45" i="5"/>
  <c r="BT44" i="5"/>
  <c r="BH44" i="5"/>
  <c r="AJ44" i="5"/>
  <c r="X44" i="5"/>
  <c r="L44" i="5"/>
  <c r="BM60" i="5"/>
  <c r="Q60" i="5"/>
  <c r="BR23" i="5"/>
  <c r="BF23" i="5"/>
  <c r="V23" i="5"/>
  <c r="J23" i="5"/>
  <c r="BK41" i="5"/>
  <c r="AY41" i="5"/>
  <c r="AM41" i="5"/>
  <c r="AA41" i="5"/>
  <c r="O41" i="5"/>
  <c r="BP55" i="5"/>
  <c r="BD55" i="5"/>
  <c r="AR55" i="5"/>
  <c r="AF55" i="5"/>
  <c r="T55" i="5"/>
  <c r="H55" i="5"/>
  <c r="BI39" i="5"/>
  <c r="AW39" i="5"/>
  <c r="AK39" i="5"/>
  <c r="Y39" i="5"/>
  <c r="M39" i="5"/>
  <c r="U73" i="2"/>
  <c r="V82" i="7"/>
  <c r="H76" i="7"/>
  <c r="AH76" i="7"/>
  <c r="Y76" i="7"/>
  <c r="BB82" i="7"/>
  <c r="BM77" i="7"/>
  <c r="AA84" i="7"/>
  <c r="K87" i="7"/>
  <c r="AG77" i="7"/>
  <c r="BH77" i="7"/>
  <c r="AR77" i="7"/>
  <c r="BJ77" i="7"/>
  <c r="BF87" i="7"/>
  <c r="AG87" i="7"/>
  <c r="J87" i="7"/>
  <c r="AQ87" i="7"/>
  <c r="I79" i="7"/>
  <c r="J79" i="7"/>
  <c r="AB79" i="7"/>
  <c r="BI79" i="7"/>
  <c r="AO77" i="7"/>
  <c r="U77" i="7"/>
  <c r="Y87" i="7"/>
  <c r="S79" i="10"/>
  <c r="AF80" i="11"/>
  <c r="AQ87" i="12"/>
  <c r="R89" i="12"/>
  <c r="O88" i="11"/>
  <c r="M88" i="11"/>
  <c r="BI88" i="11"/>
  <c r="AI88" i="11"/>
  <c r="U88" i="11"/>
  <c r="BP88" i="11"/>
  <c r="BB88" i="11"/>
  <c r="AQ88" i="11"/>
  <c r="BE87" i="11"/>
  <c r="O87" i="11"/>
  <c r="T87" i="11"/>
  <c r="AT87" i="11"/>
  <c r="AQ87" i="11"/>
  <c r="BP87" i="11"/>
  <c r="U87" i="11"/>
  <c r="BM87" i="11"/>
  <c r="AE87" i="11"/>
  <c r="BH87" i="11"/>
  <c r="BC87" i="11"/>
  <c r="I87" i="11"/>
  <c r="D32" i="5"/>
  <c r="BM84" i="8"/>
  <c r="AA79" i="12"/>
  <c r="AP78" i="7"/>
  <c r="AM76" i="10"/>
  <c r="AU76" i="10"/>
  <c r="AR76" i="10"/>
  <c r="BI76" i="10"/>
  <c r="O76" i="10"/>
  <c r="BM76" i="10"/>
  <c r="BS76" i="10"/>
  <c r="W76" i="10"/>
  <c r="AO76" i="10"/>
  <c r="AL76" i="10"/>
  <c r="N76" i="10"/>
  <c r="AI76" i="10"/>
  <c r="BG76" i="10"/>
  <c r="AF76" i="10"/>
  <c r="BJ76" i="10"/>
  <c r="AC76" i="10"/>
  <c r="BP76" i="10"/>
  <c r="BA76" i="10"/>
  <c r="BD76" i="10"/>
  <c r="K76" i="10"/>
  <c r="AY76" i="10"/>
  <c r="AA76" i="10"/>
  <c r="BK76" i="10"/>
  <c r="T76" i="10"/>
  <c r="AX76" i="10"/>
  <c r="H76" i="10"/>
  <c r="P76" i="10"/>
  <c r="R76" i="10"/>
  <c r="AB76" i="10"/>
  <c r="AD76" i="10"/>
  <c r="S76" i="10"/>
  <c r="AN76" i="10"/>
  <c r="AP76" i="10"/>
  <c r="AE76" i="10"/>
  <c r="BQ76" i="10"/>
  <c r="AZ76" i="10"/>
  <c r="BB76" i="10"/>
  <c r="AQ76" i="10"/>
  <c r="BL76" i="10"/>
  <c r="BN76" i="10"/>
  <c r="BC76" i="10"/>
  <c r="BO76" i="10"/>
  <c r="L76" i="10"/>
  <c r="I76" i="10"/>
  <c r="J76" i="10"/>
  <c r="X76" i="10"/>
  <c r="U76" i="10"/>
  <c r="V76" i="10"/>
  <c r="AJ76" i="10"/>
  <c r="M76" i="10"/>
  <c r="AG76" i="10"/>
  <c r="AH76" i="10"/>
  <c r="AV76" i="10"/>
  <c r="Y76" i="10"/>
  <c r="Q76" i="10"/>
  <c r="AS76" i="10"/>
  <c r="AT76" i="10"/>
  <c r="BH76" i="10"/>
  <c r="AK76" i="10"/>
  <c r="BE76" i="10"/>
  <c r="BF76" i="10"/>
  <c r="BT76" i="10"/>
  <c r="AW76" i="10"/>
  <c r="D39" i="5"/>
  <c r="BL67" i="5"/>
  <c r="AZ67" i="5"/>
  <c r="AN67" i="5"/>
  <c r="P67" i="5"/>
  <c r="BQ54" i="5"/>
  <c r="BE54" i="5"/>
  <c r="I54" i="5"/>
  <c r="BJ64" i="5"/>
  <c r="AL64" i="5"/>
  <c r="Z64" i="5"/>
  <c r="N64" i="5"/>
  <c r="BR32" i="5"/>
  <c r="BF32" i="5"/>
  <c r="AT32" i="5"/>
  <c r="J32" i="5"/>
  <c r="BP47" i="5"/>
  <c r="BD47" i="5"/>
  <c r="AR47" i="5"/>
  <c r="AF47" i="5"/>
  <c r="T47" i="5"/>
  <c r="H47" i="5"/>
  <c r="BI46" i="5"/>
  <c r="AW46" i="5"/>
  <c r="M46" i="5"/>
  <c r="BN45" i="5"/>
  <c r="BB45" i="5"/>
  <c r="AP45" i="5"/>
  <c r="AD45" i="5"/>
  <c r="R45" i="5"/>
  <c r="BS44" i="5"/>
  <c r="BG44" i="5"/>
  <c r="W44" i="5"/>
  <c r="K44" i="5"/>
  <c r="BL60" i="5"/>
  <c r="P60" i="5"/>
  <c r="BQ23" i="5"/>
  <c r="BE23" i="5"/>
  <c r="U23" i="5"/>
  <c r="I23" i="5"/>
  <c r="BJ41" i="5"/>
  <c r="AX41" i="5"/>
  <c r="AL41" i="5"/>
  <c r="Z41" i="5"/>
  <c r="N41" i="5"/>
  <c r="BO55" i="5"/>
  <c r="BC55" i="5"/>
  <c r="AQ55" i="5"/>
  <c r="AE55" i="5"/>
  <c r="S55" i="5"/>
  <c r="BT39" i="5"/>
  <c r="BH39" i="5"/>
  <c r="AV39" i="5"/>
  <c r="AJ39" i="5"/>
  <c r="X39" i="5"/>
  <c r="L39" i="5"/>
  <c r="BR76" i="7"/>
  <c r="AV88" i="7"/>
  <c r="AZ88" i="7"/>
  <c r="H88" i="7"/>
  <c r="T76" i="7"/>
  <c r="AK76" i="7"/>
  <c r="BB87" i="7"/>
  <c r="AJ77" i="7"/>
  <c r="W77" i="7"/>
  <c r="O77" i="7"/>
  <c r="BD77" i="7"/>
  <c r="BT87" i="7"/>
  <c r="V87" i="7"/>
  <c r="AY87" i="7"/>
  <c r="X87" i="7"/>
  <c r="BC87" i="7"/>
  <c r="Y79" i="7"/>
  <c r="V79" i="7"/>
  <c r="AN79" i="7"/>
  <c r="AQ77" i="7"/>
  <c r="BO77" i="7"/>
  <c r="AC87" i="7"/>
  <c r="BM79" i="10"/>
  <c r="BA89" i="12"/>
  <c r="AW79" i="7"/>
  <c r="BF78" i="11"/>
  <c r="BD78" i="11"/>
  <c r="AI78" i="11"/>
  <c r="AB77" i="11"/>
  <c r="BG77" i="11"/>
  <c r="BH77" i="11"/>
  <c r="AJ77" i="11"/>
  <c r="M77" i="11"/>
  <c r="W77" i="11"/>
  <c r="AT77" i="11"/>
  <c r="AR77" i="11"/>
  <c r="AY77" i="11"/>
  <c r="BB77" i="11"/>
  <c r="BI77" i="11"/>
  <c r="AK77" i="11"/>
  <c r="N77" i="11"/>
  <c r="AH77" i="11"/>
  <c r="AF77" i="11"/>
  <c r="AM77" i="11"/>
  <c r="BJ77" i="11"/>
  <c r="AL77" i="11"/>
  <c r="P77" i="11"/>
  <c r="V77" i="11"/>
  <c r="T77" i="11"/>
  <c r="AA77" i="11"/>
  <c r="BM77" i="11"/>
  <c r="AN77" i="11"/>
  <c r="J77" i="11"/>
  <c r="H77" i="11"/>
  <c r="O77" i="11"/>
  <c r="Y77" i="11"/>
  <c r="BN77" i="11"/>
  <c r="Q77" i="11"/>
  <c r="BQ77" i="11"/>
  <c r="BO77" i="11"/>
  <c r="Z77" i="11"/>
  <c r="BA77" i="11"/>
  <c r="AO77" i="11"/>
  <c r="R77" i="11"/>
  <c r="BE77" i="11"/>
  <c r="BC77" i="11"/>
  <c r="AV77" i="11"/>
  <c r="BS77" i="11"/>
  <c r="AP77" i="11"/>
  <c r="AS77" i="11"/>
  <c r="AQ77" i="11"/>
  <c r="BT77" i="11"/>
  <c r="AG77" i="11"/>
  <c r="AE77" i="11"/>
  <c r="K77" i="11"/>
  <c r="U77" i="11"/>
  <c r="S77" i="11"/>
  <c r="AC77" i="11"/>
  <c r="I77" i="11"/>
  <c r="BL77" i="11"/>
  <c r="AX77" i="11"/>
  <c r="X77" i="11"/>
  <c r="AW77" i="11"/>
  <c r="BR77" i="11"/>
  <c r="BP77" i="11"/>
  <c r="AZ77" i="11"/>
  <c r="AR74" i="7"/>
  <c r="BK67" i="5"/>
  <c r="AY67" i="5"/>
  <c r="BP54" i="5"/>
  <c r="BD54" i="5"/>
  <c r="BI64" i="5"/>
  <c r="AK64" i="5"/>
  <c r="Y64" i="5"/>
  <c r="BQ32" i="5"/>
  <c r="BE32" i="5"/>
  <c r="BO47" i="5"/>
  <c r="BC47" i="5"/>
  <c r="AQ47" i="5"/>
  <c r="AE47" i="5"/>
  <c r="BT46" i="5"/>
  <c r="BH46" i="5"/>
  <c r="AV46" i="5"/>
  <c r="BM45" i="5"/>
  <c r="BA45" i="5"/>
  <c r="AO45" i="5"/>
  <c r="AC45" i="5"/>
  <c r="BR44" i="5"/>
  <c r="BF44" i="5"/>
  <c r="V44" i="5"/>
  <c r="BK60" i="5"/>
  <c r="BP23" i="5"/>
  <c r="BD23" i="5"/>
  <c r="T23" i="5"/>
  <c r="BI41" i="5"/>
  <c r="AW41" i="5"/>
  <c r="AK41" i="5"/>
  <c r="Y41" i="5"/>
  <c r="BN55" i="5"/>
  <c r="BB55" i="5"/>
  <c r="AP55" i="5"/>
  <c r="AD55" i="5"/>
  <c r="BS39" i="5"/>
  <c r="BG39" i="5"/>
  <c r="AU39" i="5"/>
  <c r="AI39" i="5"/>
  <c r="W39" i="5"/>
  <c r="BB76" i="7"/>
  <c r="AC88" i="7"/>
  <c r="BP88" i="7"/>
  <c r="AQ76" i="7"/>
  <c r="AW76" i="7"/>
  <c r="R87" i="7"/>
  <c r="AW87" i="7"/>
  <c r="U82" i="7"/>
  <c r="I77" i="7"/>
  <c r="AN77" i="7"/>
  <c r="AD77" i="7"/>
  <c r="BP77" i="7"/>
  <c r="AJ87" i="7"/>
  <c r="AP87" i="7"/>
  <c r="BS87" i="7"/>
  <c r="AM87" i="7"/>
  <c r="BO87" i="7"/>
  <c r="X85" i="7"/>
  <c r="BH79" i="7"/>
  <c r="AP79" i="7"/>
  <c r="AH79" i="7"/>
  <c r="AZ79" i="7"/>
  <c r="BM79" i="7"/>
  <c r="AZ77" i="7"/>
  <c r="X77" i="7"/>
  <c r="AJ89" i="7"/>
  <c r="AW87" i="10"/>
  <c r="AW79" i="10"/>
  <c r="AL80" i="11"/>
  <c r="AA76" i="11"/>
  <c r="J87" i="12"/>
  <c r="L90" i="12"/>
  <c r="O89" i="12"/>
  <c r="S76" i="12"/>
  <c r="AY76" i="11"/>
  <c r="BN31" i="5"/>
  <c r="O43" i="11"/>
  <c r="BN43" i="11"/>
  <c r="BL43" i="11"/>
  <c r="BK43" i="11"/>
  <c r="BJ43" i="11"/>
  <c r="BS43" i="11"/>
  <c r="BM43" i="11"/>
  <c r="BO43" i="11"/>
  <c r="BI43" i="11"/>
  <c r="N43" i="11"/>
  <c r="M43" i="11"/>
  <c r="BT43" i="11"/>
  <c r="L43" i="11"/>
  <c r="I43" i="11"/>
  <c r="BR43" i="11"/>
  <c r="BP43" i="11"/>
  <c r="BH43" i="11"/>
  <c r="BF43" i="11"/>
  <c r="BD43" i="11"/>
  <c r="K43" i="11"/>
  <c r="J43" i="11"/>
  <c r="H43" i="11"/>
  <c r="BQ43" i="11"/>
  <c r="BE43" i="11"/>
  <c r="BG43" i="11"/>
  <c r="BR43" i="7"/>
  <c r="BT43" i="7"/>
  <c r="BN43" i="7"/>
  <c r="I43" i="7"/>
  <c r="BP43" i="7"/>
  <c r="BE43" i="7"/>
  <c r="L43" i="7"/>
  <c r="BJ43" i="7"/>
  <c r="BO43" i="7"/>
  <c r="BQ43" i="7"/>
  <c r="BI43" i="7"/>
  <c r="BK43" i="7"/>
  <c r="BM43" i="7"/>
  <c r="BH43" i="7"/>
  <c r="M43" i="7"/>
  <c r="BP29" i="10"/>
  <c r="S29" i="10"/>
  <c r="O29" i="10"/>
  <c r="I29" i="10"/>
  <c r="BM29" i="10"/>
  <c r="BH29" i="10"/>
  <c r="V29" i="10"/>
  <c r="BD29" i="10"/>
  <c r="BT29" i="10"/>
  <c r="R29" i="10"/>
  <c r="J29" i="10"/>
  <c r="N29" i="10"/>
  <c r="U29" i="10"/>
  <c r="W29" i="10"/>
  <c r="Q29" i="10"/>
  <c r="L29" i="10"/>
  <c r="H29" i="10"/>
  <c r="BL29" i="10"/>
  <c r="BG29" i="10"/>
  <c r="BN29" i="10"/>
  <c r="T29" i="10"/>
  <c r="BS29" i="10"/>
  <c r="BQ29" i="10"/>
  <c r="P29" i="10"/>
  <c r="K29" i="10"/>
  <c r="M29" i="10"/>
  <c r="BO29" i="10"/>
  <c r="BK29" i="10"/>
  <c r="BE29" i="10"/>
  <c r="BR29" i="10"/>
  <c r="BF29" i="10"/>
  <c r="BJ29" i="10"/>
  <c r="BI29" i="10"/>
  <c r="X32" i="2"/>
  <c r="L32" i="2"/>
  <c r="BA38" i="10"/>
  <c r="X29" i="2"/>
  <c r="BK31" i="10"/>
  <c r="BN31" i="10"/>
  <c r="BE31" i="10"/>
  <c r="R31" i="10"/>
  <c r="BD31" i="10"/>
  <c r="BP31" i="10"/>
  <c r="BM31" i="10"/>
  <c r="BL31" i="10"/>
  <c r="BQ31" i="10"/>
  <c r="M31" i="10"/>
  <c r="K31" i="10"/>
  <c r="BT31" i="10"/>
  <c r="BR31" i="10"/>
  <c r="BH31" i="10"/>
  <c r="BF31" i="10"/>
  <c r="BJ31" i="10"/>
  <c r="I31" i="10"/>
  <c r="J31" i="10"/>
  <c r="L31" i="10"/>
  <c r="BS31" i="10"/>
  <c r="BO31" i="10"/>
  <c r="BI31" i="10"/>
  <c r="BG31" i="10"/>
  <c r="H31" i="10"/>
  <c r="BM29" i="11"/>
  <c r="BL28" i="10"/>
  <c r="M28" i="10"/>
  <c r="BM28" i="10"/>
  <c r="J28" i="10"/>
  <c r="BO28" i="10"/>
  <c r="BQ28" i="10"/>
  <c r="Q28" i="10"/>
  <c r="BS28" i="10"/>
  <c r="BE28" i="10"/>
  <c r="BG28" i="10"/>
  <c r="L28" i="10"/>
  <c r="BI28" i="10"/>
  <c r="U28" i="10"/>
  <c r="S28" i="10"/>
  <c r="I28" i="10"/>
  <c r="BK28" i="10"/>
  <c r="W28" i="10"/>
  <c r="BP28" i="10"/>
  <c r="P28" i="10"/>
  <c r="K28" i="10"/>
  <c r="BD28" i="10"/>
  <c r="BN28" i="10"/>
  <c r="BR28" i="10"/>
  <c r="BT28" i="10"/>
  <c r="O28" i="10"/>
  <c r="BH28" i="10"/>
  <c r="R28" i="10"/>
  <c r="BF28" i="10"/>
  <c r="T28" i="10"/>
  <c r="BJ28" i="10"/>
  <c r="V28" i="10"/>
  <c r="H28" i="10"/>
  <c r="J26" i="11"/>
  <c r="BR26" i="11"/>
  <c r="BD26" i="11"/>
  <c r="O26" i="11"/>
  <c r="AY26" i="11"/>
  <c r="BI26" i="11"/>
  <c r="BT26" i="11"/>
  <c r="BF26" i="11"/>
  <c r="BK26" i="11"/>
  <c r="L26" i="11"/>
  <c r="H26" i="11"/>
  <c r="BO26" i="11"/>
  <c r="BQ26" i="11"/>
  <c r="BH26" i="11"/>
  <c r="N26" i="11"/>
  <c r="BA26" i="11"/>
  <c r="BE26" i="11"/>
  <c r="BS26" i="11"/>
  <c r="BL26" i="11"/>
  <c r="K26" i="11"/>
  <c r="BJ26" i="11"/>
  <c r="BG26" i="11"/>
  <c r="I26" i="11"/>
  <c r="BP26" i="11"/>
  <c r="BM26" i="11"/>
  <c r="M26" i="11"/>
  <c r="H57" i="10"/>
  <c r="BO57" i="10"/>
  <c r="BN57" i="10"/>
  <c r="BE57" i="10"/>
  <c r="BD57" i="10"/>
  <c r="I57" i="10"/>
  <c r="BR57" i="10"/>
  <c r="BS57" i="10"/>
  <c r="BL57" i="10"/>
  <c r="BJ57" i="10"/>
  <c r="BF57" i="10"/>
  <c r="K57" i="10"/>
  <c r="BP57" i="10"/>
  <c r="BQ57" i="10"/>
  <c r="BG57" i="10"/>
  <c r="BT57" i="10"/>
  <c r="BH57" i="10"/>
  <c r="M57" i="10"/>
  <c r="BK57" i="10"/>
  <c r="J57" i="10"/>
  <c r="BI57" i="10"/>
  <c r="L57" i="10"/>
  <c r="BM57" i="10"/>
  <c r="BR19" i="7"/>
  <c r="BK19" i="7"/>
  <c r="BQ19" i="7"/>
  <c r="BJ19" i="7"/>
  <c r="BI19" i="7"/>
  <c r="BE19" i="7"/>
  <c r="BN19" i="7"/>
  <c r="BO19" i="7"/>
  <c r="BP19" i="7"/>
  <c r="BD19" i="7"/>
  <c r="BS19" i="7"/>
  <c r="BM19" i="7"/>
  <c r="BF19" i="7"/>
  <c r="BG19" i="7"/>
  <c r="BL19" i="7"/>
  <c r="BT19" i="7"/>
  <c r="BH19" i="7"/>
  <c r="BO50" i="11"/>
  <c r="H50" i="11"/>
  <c r="BR50" i="11"/>
  <c r="BL50" i="11"/>
  <c r="BF50" i="11"/>
  <c r="BQ50" i="11"/>
  <c r="J50" i="11"/>
  <c r="BT50" i="11"/>
  <c r="BP50" i="11"/>
  <c r="BH50" i="11"/>
  <c r="BK50" i="11"/>
  <c r="BS50" i="11"/>
  <c r="BE50" i="11"/>
  <c r="BG50" i="11"/>
  <c r="BM50" i="11"/>
  <c r="I50" i="11"/>
  <c r="K50" i="11"/>
  <c r="BD50" i="11"/>
  <c r="BI50" i="11"/>
  <c r="AW50" i="11"/>
  <c r="BJ50" i="11"/>
  <c r="BJ44" i="12"/>
  <c r="AM44" i="12"/>
  <c r="AX44" i="12"/>
  <c r="R44" i="12"/>
  <c r="AL44" i="12"/>
  <c r="AW44" i="12"/>
  <c r="BM44" i="12"/>
  <c r="AZ44" i="12"/>
  <c r="AK44" i="12"/>
  <c r="BK44" i="12"/>
  <c r="K44" i="12"/>
  <c r="BA44" i="12"/>
  <c r="AO44" i="12"/>
  <c r="AD44" i="12"/>
  <c r="AP44" i="12"/>
  <c r="AS44" i="12"/>
  <c r="BR44" i="12"/>
  <c r="AA44" i="12"/>
  <c r="BE44" i="12"/>
  <c r="S44" i="12"/>
  <c r="BL44" i="12"/>
  <c r="BG44" i="12"/>
  <c r="AU44" i="12"/>
  <c r="U44" i="12"/>
  <c r="AI44" i="12"/>
  <c r="I44" i="12"/>
  <c r="BP44" i="12"/>
  <c r="BI44" i="12"/>
  <c r="L44" i="12"/>
  <c r="BD44" i="12"/>
  <c r="Y44" i="12"/>
  <c r="AV44" i="12"/>
  <c r="M44" i="12"/>
  <c r="J44" i="12"/>
  <c r="AJ44" i="12"/>
  <c r="AC44" i="12"/>
  <c r="AY44" i="12"/>
  <c r="H44" i="12"/>
  <c r="BN44" i="12"/>
  <c r="BS44" i="12"/>
  <c r="BO44" i="12"/>
  <c r="BC44" i="12"/>
  <c r="N44" i="12"/>
  <c r="BQ44" i="12"/>
  <c r="BB44" i="12"/>
  <c r="O44" i="12"/>
  <c r="BF44" i="12"/>
  <c r="BO58" i="11"/>
  <c r="U58" i="11"/>
  <c r="AA58" i="11"/>
  <c r="BI58" i="11"/>
  <c r="Q58" i="11"/>
  <c r="AK58" i="11"/>
  <c r="AC58" i="11"/>
  <c r="AH58" i="11"/>
  <c r="BP58" i="11"/>
  <c r="AG58" i="11"/>
  <c r="M58" i="11"/>
  <c r="BS58" i="11"/>
  <c r="O58" i="11"/>
  <c r="S58" i="11"/>
  <c r="AF58" i="11"/>
  <c r="K58" i="11"/>
  <c r="BN58" i="11"/>
  <c r="BQ58" i="11"/>
  <c r="AE58" i="11"/>
  <c r="BR58" i="11"/>
  <c r="N58" i="11"/>
  <c r="BJ58" i="11"/>
  <c r="BM58" i="11"/>
  <c r="L58" i="11"/>
  <c r="V58" i="11"/>
  <c r="AL58" i="11"/>
  <c r="BK58" i="11"/>
  <c r="BT58" i="11"/>
  <c r="BH58" i="11"/>
  <c r="T58" i="11"/>
  <c r="AI58" i="11"/>
  <c r="AJ58" i="11"/>
  <c r="I58" i="11"/>
  <c r="Y58" i="11"/>
  <c r="P58" i="11"/>
  <c r="AB58" i="11"/>
  <c r="R58" i="11"/>
  <c r="H58" i="11"/>
  <c r="BL58" i="11"/>
  <c r="AD58" i="11"/>
  <c r="X58" i="11"/>
  <c r="AM58" i="11"/>
  <c r="Z58" i="11"/>
  <c r="W58" i="11"/>
  <c r="J58" i="11"/>
  <c r="K47" i="10"/>
  <c r="BJ47" i="10"/>
  <c r="AW47" i="10"/>
  <c r="L47" i="10"/>
  <c r="Q47" i="10"/>
  <c r="BQ47" i="10"/>
  <c r="AU47" i="10"/>
  <c r="J47" i="10"/>
  <c r="BE47" i="10"/>
  <c r="AX47" i="10"/>
  <c r="BH47" i="10"/>
  <c r="BT47" i="10"/>
  <c r="BN47" i="10"/>
  <c r="BB47" i="10"/>
  <c r="AT47" i="10"/>
  <c r="W47" i="10"/>
  <c r="I47" i="10"/>
  <c r="BS47" i="10"/>
  <c r="BM47" i="10"/>
  <c r="AV47" i="10"/>
  <c r="AY47" i="10"/>
  <c r="U47" i="10"/>
  <c r="BG47" i="10"/>
  <c r="BI47" i="10"/>
  <c r="R47" i="10"/>
  <c r="AS47" i="10"/>
  <c r="BF47" i="10"/>
  <c r="M47" i="10"/>
  <c r="BK47" i="10"/>
  <c r="N47" i="10"/>
  <c r="S47" i="10"/>
  <c r="BL47" i="10"/>
  <c r="BP47" i="10"/>
  <c r="AZ47" i="10"/>
  <c r="BD47" i="10"/>
  <c r="AR47" i="10"/>
  <c r="P47" i="10"/>
  <c r="T47" i="10"/>
  <c r="V47" i="10"/>
  <c r="H47" i="10"/>
  <c r="BO47" i="10"/>
  <c r="BA47" i="10"/>
  <c r="BC47" i="10"/>
  <c r="BR47" i="10"/>
  <c r="AO26" i="10"/>
  <c r="AC56" i="7"/>
  <c r="S55" i="12"/>
  <c r="H68" i="11"/>
  <c r="BK68" i="11"/>
  <c r="BM68" i="11"/>
  <c r="BJ68" i="11"/>
  <c r="N68" i="11"/>
  <c r="I68" i="11"/>
  <c r="L68" i="11"/>
  <c r="W68" i="11"/>
  <c r="BS68" i="11"/>
  <c r="J68" i="11"/>
  <c r="BR68" i="11"/>
  <c r="BI68" i="11"/>
  <c r="BO68" i="11"/>
  <c r="K68" i="11"/>
  <c r="BL68" i="11"/>
  <c r="BP68" i="11"/>
  <c r="BT68" i="11"/>
  <c r="BQ68" i="11"/>
  <c r="BH68" i="11"/>
  <c r="O68" i="11"/>
  <c r="M68" i="11"/>
  <c r="BT62" i="11"/>
  <c r="BR62" i="11"/>
  <c r="BP62" i="11"/>
  <c r="BF62" i="11"/>
  <c r="BD62" i="11"/>
  <c r="BH62" i="11"/>
  <c r="J62" i="11"/>
  <c r="H62" i="11"/>
  <c r="BQ62" i="11"/>
  <c r="BO62" i="11"/>
  <c r="BG62" i="11"/>
  <c r="BE62" i="11"/>
  <c r="M62" i="11"/>
  <c r="BI62" i="11"/>
  <c r="BL62" i="11"/>
  <c r="K62" i="11"/>
  <c r="BN62" i="11"/>
  <c r="BJ62" i="11"/>
  <c r="O62" i="11"/>
  <c r="BK62" i="11"/>
  <c r="BM62" i="11"/>
  <c r="I62" i="11"/>
  <c r="D26" i="5"/>
  <c r="BG73" i="12"/>
  <c r="W73" i="12"/>
  <c r="AN73" i="12"/>
  <c r="M73" i="12"/>
  <c r="I73" i="12"/>
  <c r="BO73" i="12"/>
  <c r="Q73" i="12"/>
  <c r="S73" i="12"/>
  <c r="AB73" i="12"/>
  <c r="BH73" i="12"/>
  <c r="AC73" i="12"/>
  <c r="O73" i="12"/>
  <c r="AG73" i="12"/>
  <c r="AI73" i="12"/>
  <c r="P73" i="12"/>
  <c r="AV73" i="12"/>
  <c r="H73" i="12"/>
  <c r="AS73" i="12"/>
  <c r="AF73" i="12"/>
  <c r="BA73" i="12"/>
  <c r="AQ73" i="12"/>
  <c r="BC73" i="12"/>
  <c r="BJ73" i="12"/>
  <c r="AJ73" i="12"/>
  <c r="AA73" i="12"/>
  <c r="BM73" i="12"/>
  <c r="AY73" i="12"/>
  <c r="BR73" i="12"/>
  <c r="BD73" i="12"/>
  <c r="AX73" i="12"/>
  <c r="X73" i="12"/>
  <c r="AR73" i="12"/>
  <c r="K73" i="12"/>
  <c r="BQ73" i="12"/>
  <c r="AL73" i="12"/>
  <c r="L73" i="12"/>
  <c r="BK73" i="12"/>
  <c r="AE73" i="12"/>
  <c r="AM73" i="12"/>
  <c r="Z73" i="12"/>
  <c r="V73" i="12"/>
  <c r="AU73" i="12"/>
  <c r="N73" i="12"/>
  <c r="AP73" i="12"/>
  <c r="BP73" i="12"/>
  <c r="BE73" i="12"/>
  <c r="BI73" i="12"/>
  <c r="BF73" i="12"/>
  <c r="R73" i="12"/>
  <c r="AO73" i="12"/>
  <c r="BN73" i="12"/>
  <c r="AW73" i="12"/>
  <c r="J73" i="12"/>
  <c r="AH73" i="12"/>
  <c r="U73" i="12"/>
  <c r="BL73" i="12"/>
  <c r="AK73" i="12"/>
  <c r="AD73" i="12"/>
  <c r="BB73" i="12"/>
  <c r="AT73" i="12"/>
  <c r="BS73" i="12"/>
  <c r="AZ73" i="12"/>
  <c r="T73" i="12"/>
  <c r="Y73" i="12"/>
  <c r="Z73" i="7"/>
  <c r="AZ73" i="7"/>
  <c r="AY73" i="7"/>
  <c r="AV73" i="7"/>
  <c r="AE73" i="7"/>
  <c r="AB73" i="7"/>
  <c r="AA73" i="7"/>
  <c r="X73" i="7"/>
  <c r="BC73" i="7"/>
  <c r="BB73" i="7"/>
  <c r="H72" i="11"/>
  <c r="AW72" i="11"/>
  <c r="BO72" i="11"/>
  <c r="BP72" i="11"/>
  <c r="BS72" i="11"/>
  <c r="AX72" i="11"/>
  <c r="AN72" i="11"/>
  <c r="BD72" i="11"/>
  <c r="AR72" i="11"/>
  <c r="BG72" i="11"/>
  <c r="L72" i="11"/>
  <c r="N72" i="11"/>
  <c r="BK72" i="11"/>
  <c r="AS72" i="11"/>
  <c r="AU72" i="11"/>
  <c r="AV72" i="11"/>
  <c r="AY72" i="11"/>
  <c r="I72" i="11"/>
  <c r="BH72" i="11"/>
  <c r="M72" i="11"/>
  <c r="BJ72" i="11"/>
  <c r="BN72" i="11"/>
  <c r="BM72" i="11"/>
  <c r="AM72" i="11"/>
  <c r="J72" i="11"/>
  <c r="BA72" i="11"/>
  <c r="AP72" i="11"/>
  <c r="AT72" i="11"/>
  <c r="AO72" i="11"/>
  <c r="O72" i="11"/>
  <c r="BE72" i="11"/>
  <c r="AQ72" i="11"/>
  <c r="BI72" i="11"/>
  <c r="AK72" i="11"/>
  <c r="BT72" i="11"/>
  <c r="BF72" i="11"/>
  <c r="BL72" i="11"/>
  <c r="BB72" i="11"/>
  <c r="BR72" i="11"/>
  <c r="K72" i="11"/>
  <c r="AZ72" i="11"/>
  <c r="BQ72" i="11"/>
  <c r="AL72" i="11"/>
  <c r="AJ72" i="11"/>
  <c r="BC72" i="11"/>
  <c r="BR43" i="5"/>
  <c r="BF43" i="5"/>
  <c r="J43" i="5"/>
  <c r="BP37" i="5"/>
  <c r="BD37" i="5"/>
  <c r="AR37" i="5"/>
  <c r="AF37" i="5"/>
  <c r="T37" i="5"/>
  <c r="H37" i="5"/>
  <c r="BI99" i="5"/>
  <c r="AW99" i="5"/>
  <c r="Y99" i="5"/>
  <c r="M99" i="5"/>
  <c r="BN98" i="5"/>
  <c r="BB98" i="5"/>
  <c r="AP98" i="5"/>
  <c r="AD98" i="5"/>
  <c r="R98" i="5"/>
  <c r="BS49" i="5"/>
  <c r="BG49" i="5"/>
  <c r="K49" i="5"/>
  <c r="BL28" i="5"/>
  <c r="P28" i="5"/>
  <c r="BJ70" i="5"/>
  <c r="AX70" i="5"/>
  <c r="BO76" i="5"/>
  <c r="BC76" i="5"/>
  <c r="BT97" i="5"/>
  <c r="BH97" i="5"/>
  <c r="AV97" i="5"/>
  <c r="AJ97" i="5"/>
  <c r="X97" i="5"/>
  <c r="L97" i="5"/>
  <c r="BM83" i="5"/>
  <c r="BA83" i="5"/>
  <c r="AO83" i="5"/>
  <c r="BR85" i="5"/>
  <c r="BF85" i="5"/>
  <c r="AT85" i="5"/>
  <c r="AH85" i="5"/>
  <c r="V85" i="5"/>
  <c r="J85" i="5"/>
  <c r="T73" i="7"/>
  <c r="BR73" i="7"/>
  <c r="AT74" i="7"/>
  <c r="AP72" i="7"/>
  <c r="H72" i="7"/>
  <c r="I75" i="7"/>
  <c r="BJ69" i="7"/>
  <c r="BF48" i="7"/>
  <c r="BA70" i="7"/>
  <c r="BT56" i="7"/>
  <c r="BE75" i="7"/>
  <c r="AL75" i="7"/>
  <c r="BG75" i="7"/>
  <c r="AO72" i="7"/>
  <c r="BR69" i="7"/>
  <c r="BE60" i="7"/>
  <c r="BM72" i="7"/>
  <c r="BD56" i="7"/>
  <c r="BH58" i="7"/>
  <c r="AM68" i="7"/>
  <c r="Q68" i="7"/>
  <c r="BI73" i="7"/>
  <c r="O73" i="7"/>
  <c r="AL63" i="7"/>
  <c r="BL43" i="7"/>
  <c r="J34" i="7"/>
  <c r="BP63" i="7"/>
  <c r="AV61" i="7"/>
  <c r="AZ61" i="7"/>
  <c r="J61" i="7"/>
  <c r="AA59" i="7"/>
  <c r="AV59" i="7"/>
  <c r="T59" i="7"/>
  <c r="BB67" i="7"/>
  <c r="AU63" i="7"/>
  <c r="X63" i="7"/>
  <c r="BG43" i="7"/>
  <c r="BD63" i="7"/>
  <c r="J57" i="7"/>
  <c r="BG57" i="7"/>
  <c r="BA45" i="7"/>
  <c r="BL45" i="7"/>
  <c r="N65" i="7"/>
  <c r="K67" i="7"/>
  <c r="BT52" i="10"/>
  <c r="BJ52" i="10"/>
  <c r="BD52" i="10"/>
  <c r="BA52" i="10"/>
  <c r="BP52" i="10"/>
  <c r="AZ52" i="10"/>
  <c r="BM52" i="10"/>
  <c r="BL52" i="10"/>
  <c r="BC52" i="10"/>
  <c r="BK52" i="10"/>
  <c r="BI52" i="10"/>
  <c r="BB52" i="10"/>
  <c r="BN52" i="10"/>
  <c r="BO52" i="10"/>
  <c r="BF52" i="10"/>
  <c r="BR52" i="10"/>
  <c r="BG52" i="10"/>
  <c r="BE52" i="10"/>
  <c r="BS52" i="10"/>
  <c r="BH52" i="10"/>
  <c r="BQ52" i="10"/>
  <c r="M40" i="12"/>
  <c r="S40" i="12"/>
  <c r="BG40" i="12"/>
  <c r="AH40" i="12"/>
  <c r="AT40" i="12"/>
  <c r="R40" i="12"/>
  <c r="BP40" i="12"/>
  <c r="Y40" i="12"/>
  <c r="N40" i="12"/>
  <c r="X40" i="12"/>
  <c r="BI40" i="12"/>
  <c r="BS40" i="12"/>
  <c r="BD40" i="12"/>
  <c r="BH40" i="12"/>
  <c r="L40" i="12"/>
  <c r="K40" i="12"/>
  <c r="AK40" i="12"/>
  <c r="AG40" i="12"/>
  <c r="W40" i="12"/>
  <c r="P40" i="12"/>
  <c r="I40" i="12"/>
  <c r="BK40" i="12"/>
  <c r="AA40" i="12"/>
  <c r="BN40" i="12"/>
  <c r="O40" i="12"/>
  <c r="U40" i="12"/>
  <c r="H40" i="12"/>
  <c r="BQ40" i="12"/>
  <c r="Z40" i="12"/>
  <c r="J40" i="12"/>
  <c r="BM40" i="12"/>
  <c r="BJ40" i="12"/>
  <c r="AC40" i="12"/>
  <c r="AS40" i="12"/>
  <c r="AM40" i="12"/>
  <c r="BO40" i="12"/>
  <c r="Q40" i="12"/>
  <c r="T40" i="12"/>
  <c r="BL40" i="12"/>
  <c r="V40" i="12"/>
  <c r="BR40" i="12"/>
  <c r="BH38" i="10"/>
  <c r="K38" i="10"/>
  <c r="BG38" i="10"/>
  <c r="I38" i="10"/>
  <c r="BD38" i="10"/>
  <c r="BL38" i="10"/>
  <c r="BC38" i="10"/>
  <c r="BR38" i="10"/>
  <c r="AV38" i="10"/>
  <c r="AU38" i="10"/>
  <c r="BT38" i="10"/>
  <c r="BS38" i="10"/>
  <c r="BM38" i="10"/>
  <c r="BK38" i="10"/>
  <c r="BJ38" i="10"/>
  <c r="L38" i="10"/>
  <c r="M38" i="10"/>
  <c r="BI38" i="10"/>
  <c r="P38" i="10"/>
  <c r="BO38" i="10"/>
  <c r="H38" i="10"/>
  <c r="AZ38" i="10"/>
  <c r="BQ38" i="10"/>
  <c r="BP38" i="10"/>
  <c r="BE38" i="10"/>
  <c r="AW38" i="10"/>
  <c r="J38" i="10"/>
  <c r="BB38" i="10"/>
  <c r="BN38" i="10"/>
  <c r="BF38" i="10"/>
  <c r="BT32" i="7"/>
  <c r="BG32" i="7"/>
  <c r="BQ32" i="7"/>
  <c r="BR32" i="7"/>
  <c r="BS32" i="7"/>
  <c r="BH32" i="7"/>
  <c r="BM32" i="7"/>
  <c r="BE32" i="7"/>
  <c r="BK32" i="7"/>
  <c r="BO32" i="7"/>
  <c r="BI32" i="7"/>
  <c r="BL32" i="7"/>
  <c r="BP32" i="7"/>
  <c r="BJ32" i="7"/>
  <c r="BN32" i="7"/>
  <c r="BD32" i="7"/>
  <c r="BF32" i="7"/>
  <c r="BN29" i="11"/>
  <c r="H29" i="11"/>
  <c r="BL29" i="11"/>
  <c r="I29" i="11"/>
  <c r="BP29" i="11"/>
  <c r="BO29" i="11"/>
  <c r="BJ29" i="11"/>
  <c r="J29" i="11"/>
  <c r="BS29" i="11"/>
  <c r="BI29" i="11"/>
  <c r="BQ29" i="11"/>
  <c r="K29" i="11"/>
  <c r="BK29" i="11"/>
  <c r="BT29" i="11"/>
  <c r="BR29" i="11"/>
  <c r="BH29" i="11"/>
  <c r="BT29" i="7"/>
  <c r="W29" i="7"/>
  <c r="BI29" i="7"/>
  <c r="U29" i="7"/>
  <c r="AL29" i="7"/>
  <c r="H29" i="7"/>
  <c r="BG29" i="7"/>
  <c r="BM29" i="7"/>
  <c r="M29" i="7"/>
  <c r="BP29" i="7"/>
  <c r="BS29" i="7"/>
  <c r="Q29" i="7"/>
  <c r="O29" i="7"/>
  <c r="S29" i="7"/>
  <c r="I29" i="7"/>
  <c r="T29" i="7"/>
  <c r="BD29" i="7"/>
  <c r="BR29" i="7"/>
  <c r="BL29" i="7"/>
  <c r="AO29" i="7"/>
  <c r="AN29" i="7"/>
  <c r="BO29" i="7"/>
  <c r="P29" i="7"/>
  <c r="K29" i="7"/>
  <c r="R29" i="7"/>
  <c r="L29" i="7"/>
  <c r="V29" i="7"/>
  <c r="AF29" i="7"/>
  <c r="AJ29" i="7"/>
  <c r="BC29" i="7"/>
  <c r="AI29" i="7"/>
  <c r="BF29" i="7"/>
  <c r="BK29" i="7"/>
  <c r="BB29" i="7"/>
  <c r="BQ29" i="7"/>
  <c r="J29" i="7"/>
  <c r="BN29" i="7"/>
  <c r="BH29" i="7"/>
  <c r="AY29" i="7"/>
  <c r="BE29" i="7"/>
  <c r="Z29" i="7"/>
  <c r="AS29" i="7"/>
  <c r="AR29" i="7"/>
  <c r="AG29" i="7"/>
  <c r="BJ29" i="7"/>
  <c r="N29" i="7"/>
  <c r="BQ24" i="11"/>
  <c r="BR24" i="11"/>
  <c r="AV24" i="11"/>
  <c r="BP24" i="11"/>
  <c r="BB24" i="11"/>
  <c r="O24" i="11"/>
  <c r="BI24" i="11"/>
  <c r="BE24" i="11"/>
  <c r="AW24" i="11"/>
  <c r="BD24" i="11"/>
  <c r="BH24" i="11"/>
  <c r="BA24" i="11"/>
  <c r="I24" i="11"/>
  <c r="J24" i="11"/>
  <c r="H24" i="11"/>
  <c r="BJ24" i="11"/>
  <c r="N24" i="11"/>
  <c r="BN24" i="11"/>
  <c r="AZ24" i="11"/>
  <c r="BF24" i="11"/>
  <c r="BM24" i="11"/>
  <c r="BS24" i="11"/>
  <c r="K24" i="11"/>
  <c r="L24" i="11"/>
  <c r="BO24" i="11"/>
  <c r="AX24" i="11"/>
  <c r="BC24" i="11"/>
  <c r="BK24" i="11"/>
  <c r="AY24" i="11"/>
  <c r="BG24" i="11"/>
  <c r="BL24" i="11"/>
  <c r="BT24" i="11"/>
  <c r="M24" i="11"/>
  <c r="BP24" i="10"/>
  <c r="BK24" i="10"/>
  <c r="O24" i="10"/>
  <c r="M24" i="10"/>
  <c r="BR24" i="10"/>
  <c r="N24" i="10"/>
  <c r="J24" i="10"/>
  <c r="R24" i="10"/>
  <c r="Q24" i="10"/>
  <c r="S24" i="10"/>
  <c r="BL24" i="10"/>
  <c r="L24" i="10"/>
  <c r="BQ24" i="10"/>
  <c r="I24" i="10"/>
  <c r="BF24" i="10"/>
  <c r="BN24" i="10"/>
  <c r="H24" i="10"/>
  <c r="BO24" i="10"/>
  <c r="BH24" i="10"/>
  <c r="P24" i="10"/>
  <c r="BE24" i="10"/>
  <c r="K24" i="10"/>
  <c r="BJ24" i="10"/>
  <c r="BD24" i="10"/>
  <c r="BT24" i="10"/>
  <c r="BS24" i="10"/>
  <c r="BM24" i="10"/>
  <c r="BG24" i="10"/>
  <c r="BO21" i="12"/>
  <c r="W21" i="12"/>
  <c r="BQ21" i="12"/>
  <c r="BH21" i="12"/>
  <c r="BI21" i="12"/>
  <c r="X21" i="12"/>
  <c r="O21" i="12"/>
  <c r="BL21" i="12"/>
  <c r="BJ21" i="12"/>
  <c r="BN21" i="12"/>
  <c r="H21" i="12"/>
  <c r="BK21" i="12"/>
  <c r="T21" i="12"/>
  <c r="AA21" i="12"/>
  <c r="K21" i="12"/>
  <c r="L21" i="12"/>
  <c r="Z21" i="12"/>
  <c r="Y21" i="12"/>
  <c r="BR21" i="12"/>
  <c r="S21" i="12"/>
  <c r="BS21" i="12"/>
  <c r="N21" i="12"/>
  <c r="BM21" i="12"/>
  <c r="BP21" i="12"/>
  <c r="Q21" i="12"/>
  <c r="I21" i="12"/>
  <c r="M21" i="12"/>
  <c r="P21" i="12"/>
  <c r="U21" i="12"/>
  <c r="J21" i="12"/>
  <c r="V21" i="12"/>
  <c r="R21" i="12"/>
  <c r="BJ21" i="7"/>
  <c r="BQ21" i="7"/>
  <c r="BN21" i="7"/>
  <c r="AW21" i="7"/>
  <c r="I21" i="7"/>
  <c r="AY21" i="7"/>
  <c r="BT21" i="7"/>
  <c r="BR21" i="7"/>
  <c r="AV21" i="7"/>
  <c r="BA21" i="7"/>
  <c r="BE21" i="7"/>
  <c r="BH21" i="7"/>
  <c r="BF21" i="7"/>
  <c r="BS21" i="7"/>
  <c r="AT21" i="7"/>
  <c r="H21" i="7"/>
  <c r="BK21" i="7"/>
  <c r="BM21" i="7"/>
  <c r="J21" i="7"/>
  <c r="AX21" i="7"/>
  <c r="BP21" i="7"/>
  <c r="BD21" i="7"/>
  <c r="BB21" i="7"/>
  <c r="BO21" i="7"/>
  <c r="BL21" i="7"/>
  <c r="BI21" i="7"/>
  <c r="BG21" i="7"/>
  <c r="AZ21" i="7"/>
  <c r="AU21" i="7"/>
  <c r="BC21" i="7"/>
  <c r="K21" i="7"/>
  <c r="BP47" i="11"/>
  <c r="BL47" i="11"/>
  <c r="BK47" i="11"/>
  <c r="BI47" i="11"/>
  <c r="BM47" i="11"/>
  <c r="BO47" i="11"/>
  <c r="M47" i="11"/>
  <c r="K47" i="11"/>
  <c r="O47" i="11"/>
  <c r="BT47" i="11"/>
  <c r="BQ47" i="11"/>
  <c r="H47" i="11"/>
  <c r="BH47" i="11"/>
  <c r="BN47" i="11"/>
  <c r="BJ47" i="11"/>
  <c r="J47" i="11"/>
  <c r="BR47" i="11"/>
  <c r="L47" i="11"/>
  <c r="I47" i="11"/>
  <c r="N47" i="11"/>
  <c r="BS47" i="11"/>
  <c r="BD53" i="7"/>
  <c r="BR53" i="7"/>
  <c r="J53" i="7"/>
  <c r="BN53" i="7"/>
  <c r="BJ53" i="7"/>
  <c r="BF53" i="7"/>
  <c r="AW53" i="7"/>
  <c r="BP53" i="7"/>
  <c r="BB53" i="7"/>
  <c r="AY53" i="7"/>
  <c r="BS53" i="7"/>
  <c r="K53" i="7"/>
  <c r="BH53" i="7"/>
  <c r="BE53" i="7"/>
  <c r="BO53" i="7"/>
  <c r="BC53" i="7"/>
  <c r="H53" i="7"/>
  <c r="BT53" i="7"/>
  <c r="BG53" i="7"/>
  <c r="BK53" i="7"/>
  <c r="AX53" i="7"/>
  <c r="AZ87" i="5"/>
  <c r="BM69" i="11"/>
  <c r="BN69" i="11"/>
  <c r="BQ69" i="11"/>
  <c r="BB69" i="11"/>
  <c r="AY69" i="11"/>
  <c r="H69" i="11"/>
  <c r="AZ69" i="11"/>
  <c r="BD69" i="11"/>
  <c r="BI69" i="11"/>
  <c r="BO69" i="11"/>
  <c r="BS69" i="11"/>
  <c r="BL69" i="11"/>
  <c r="AW69" i="11"/>
  <c r="BE69" i="11"/>
  <c r="BA69" i="11"/>
  <c r="BT69" i="11"/>
  <c r="BP69" i="11"/>
  <c r="BH69" i="11"/>
  <c r="I69" i="11"/>
  <c r="BG69" i="11"/>
  <c r="BK69" i="11"/>
  <c r="BJ69" i="11"/>
  <c r="AV69" i="11"/>
  <c r="BF69" i="11"/>
  <c r="BC69" i="11"/>
  <c r="BR69" i="11"/>
  <c r="K69" i="11"/>
  <c r="AX69" i="11"/>
  <c r="J69" i="11"/>
  <c r="BP69" i="7"/>
  <c r="BO69" i="7"/>
  <c r="L69" i="7"/>
  <c r="BM69" i="7"/>
  <c r="J69" i="7"/>
  <c r="BL69" i="7"/>
  <c r="BK69" i="7"/>
  <c r="BQ69" i="7"/>
  <c r="D70" i="5"/>
  <c r="S65" i="12"/>
  <c r="O65" i="12"/>
  <c r="BJ65" i="12"/>
  <c r="BH65" i="12"/>
  <c r="BI65" i="12"/>
  <c r="BN65" i="12"/>
  <c r="BS65" i="12"/>
  <c r="AS65" i="12"/>
  <c r="N65" i="12"/>
  <c r="BK65" i="12"/>
  <c r="AC65" i="12"/>
  <c r="AW65" i="12"/>
  <c r="AV65" i="12"/>
  <c r="BP65" i="12"/>
  <c r="BR65" i="12"/>
  <c r="AQ65" i="12"/>
  <c r="BD65" i="12"/>
  <c r="K65" i="12"/>
  <c r="BG65" i="12"/>
  <c r="AR65" i="12"/>
  <c r="U65" i="12"/>
  <c r="AY65" i="12"/>
  <c r="L65" i="12"/>
  <c r="BQ65" i="12"/>
  <c r="AX65" i="12"/>
  <c r="J65" i="12"/>
  <c r="BE65" i="12"/>
  <c r="AP65" i="12"/>
  <c r="H65" i="12"/>
  <c r="BO65" i="12"/>
  <c r="BF65" i="12"/>
  <c r="BM65" i="12"/>
  <c r="BA65" i="12"/>
  <c r="BC65" i="12"/>
  <c r="I65" i="12"/>
  <c r="BL65" i="12"/>
  <c r="W65" i="12"/>
  <c r="AZ65" i="12"/>
  <c r="AK65" i="12"/>
  <c r="M65" i="12"/>
  <c r="BB65" i="12"/>
  <c r="BN64" i="7"/>
  <c r="BM64" i="7"/>
  <c r="BL64" i="7"/>
  <c r="BP64" i="7"/>
  <c r="BQ64" i="7"/>
  <c r="BD64" i="7"/>
  <c r="I64" i="7"/>
  <c r="BJ64" i="7"/>
  <c r="J64" i="7"/>
  <c r="BO64" i="7"/>
  <c r="BK64" i="7"/>
  <c r="L64" i="7"/>
  <c r="K64" i="7"/>
  <c r="BS63" i="11"/>
  <c r="AA63" i="11"/>
  <c r="L63" i="11"/>
  <c r="Z63" i="11"/>
  <c r="BO63" i="11"/>
  <c r="BT63" i="11"/>
  <c r="BH63" i="11"/>
  <c r="BL63" i="11"/>
  <c r="BI63" i="11"/>
  <c r="M63" i="11"/>
  <c r="BP63" i="11"/>
  <c r="BK63" i="11"/>
  <c r="R63" i="11"/>
  <c r="BR63" i="11"/>
  <c r="BM63" i="11"/>
  <c r="K63" i="11"/>
  <c r="BN63" i="11"/>
  <c r="I63" i="11"/>
  <c r="N63" i="11"/>
  <c r="H63" i="11"/>
  <c r="T63" i="11"/>
  <c r="V63" i="11"/>
  <c r="O63" i="11"/>
  <c r="BQ63" i="11"/>
  <c r="AF63" i="11"/>
  <c r="J63" i="11"/>
  <c r="BJ63" i="11"/>
  <c r="D90" i="5"/>
  <c r="BN60" i="10"/>
  <c r="BB60" i="10"/>
  <c r="AY60" i="10"/>
  <c r="BL60" i="10"/>
  <c r="AV60" i="10"/>
  <c r="BK60" i="10"/>
  <c r="L60" i="10"/>
  <c r="BH60" i="10"/>
  <c r="BQ60" i="10"/>
  <c r="BR60" i="10"/>
  <c r="AZ60" i="10"/>
  <c r="BF60" i="10"/>
  <c r="AT60" i="10"/>
  <c r="BA60" i="10"/>
  <c r="BT60" i="10"/>
  <c r="J60" i="10"/>
  <c r="BS60" i="10"/>
  <c r="BP60" i="10"/>
  <c r="BG60" i="10"/>
  <c r="BO60" i="10"/>
  <c r="AU60" i="10"/>
  <c r="BC60" i="10"/>
  <c r="AX60" i="10"/>
  <c r="BM60" i="10"/>
  <c r="K60" i="10"/>
  <c r="I60" i="10"/>
  <c r="M60" i="10"/>
  <c r="H60" i="10"/>
  <c r="BE60" i="10"/>
  <c r="BI60" i="10"/>
  <c r="BJ60" i="10"/>
  <c r="BD60" i="10"/>
  <c r="BF71" i="10"/>
  <c r="BH71" i="10"/>
  <c r="BB71" i="10"/>
  <c r="BJ71" i="10"/>
  <c r="BR71" i="10"/>
  <c r="AZ71" i="10"/>
  <c r="AV71" i="10"/>
  <c r="BS71" i="10"/>
  <c r="AX71" i="10"/>
  <c r="BT71" i="10"/>
  <c r="AM71" i="10"/>
  <c r="AY71" i="10"/>
  <c r="BE71" i="10"/>
  <c r="BN71" i="10"/>
  <c r="BQ71" i="10"/>
  <c r="L71" i="10"/>
  <c r="I71" i="10"/>
  <c r="BO71" i="10"/>
  <c r="BC71" i="10"/>
  <c r="M71" i="10"/>
  <c r="K71" i="10"/>
  <c r="BM71" i="10"/>
  <c r="BG71" i="10"/>
  <c r="BP71" i="10"/>
  <c r="BA71" i="10"/>
  <c r="J71" i="10"/>
  <c r="AU71" i="10"/>
  <c r="BD71" i="10"/>
  <c r="BL71" i="10"/>
  <c r="AT71" i="10"/>
  <c r="BK71" i="10"/>
  <c r="BI71" i="10"/>
  <c r="H71" i="10"/>
  <c r="AW71" i="10"/>
  <c r="BQ43" i="5"/>
  <c r="BE43" i="5"/>
  <c r="U43" i="5"/>
  <c r="I43" i="5"/>
  <c r="BO37" i="5"/>
  <c r="BC37" i="5"/>
  <c r="AQ37" i="5"/>
  <c r="AE37" i="5"/>
  <c r="S37" i="5"/>
  <c r="BT99" i="5"/>
  <c r="BH99" i="5"/>
  <c r="AV99" i="5"/>
  <c r="L99" i="5"/>
  <c r="BM98" i="5"/>
  <c r="BA98" i="5"/>
  <c r="AO98" i="5"/>
  <c r="AC98" i="5"/>
  <c r="Q98" i="5"/>
  <c r="BR49" i="5"/>
  <c r="BF49" i="5"/>
  <c r="J49" i="5"/>
  <c r="BK28" i="5"/>
  <c r="BI70" i="5"/>
  <c r="AW70" i="5"/>
  <c r="M70" i="5"/>
  <c r="BN76" i="5"/>
  <c r="BB76" i="5"/>
  <c r="BS97" i="5"/>
  <c r="BG97" i="5"/>
  <c r="AU97" i="5"/>
  <c r="W97" i="5"/>
  <c r="K97" i="5"/>
  <c r="BL83" i="5"/>
  <c r="AZ83" i="5"/>
  <c r="BQ85" i="5"/>
  <c r="BE85" i="5"/>
  <c r="AS85" i="5"/>
  <c r="AG85" i="5"/>
  <c r="U85" i="5"/>
  <c r="I85" i="5"/>
  <c r="I73" i="7"/>
  <c r="BF74" i="7"/>
  <c r="BF72" i="7"/>
  <c r="BT73" i="7"/>
  <c r="AT48" i="7"/>
  <c r="BM70" i="7"/>
  <c r="BN70" i="7"/>
  <c r="K68" i="7"/>
  <c r="BF64" i="7"/>
  <c r="BG56" i="7"/>
  <c r="Z75" i="7"/>
  <c r="Q75" i="7"/>
  <c r="BS75" i="7"/>
  <c r="V60" i="7"/>
  <c r="BQ60" i="7"/>
  <c r="AN72" i="7"/>
  <c r="Y68" i="7"/>
  <c r="AQ56" i="7"/>
  <c r="BG70" i="7"/>
  <c r="BE58" i="7"/>
  <c r="BT58" i="7"/>
  <c r="BL75" i="7"/>
  <c r="AF73" i="7"/>
  <c r="AC73" i="7"/>
  <c r="M63" i="7"/>
  <c r="BE33" i="7"/>
  <c r="AK63" i="7"/>
  <c r="BM61" i="7"/>
  <c r="BP61" i="7"/>
  <c r="L59" i="7"/>
  <c r="BL59" i="7"/>
  <c r="AF59" i="7"/>
  <c r="BI63" i="7"/>
  <c r="BL63" i="7"/>
  <c r="AJ63" i="7"/>
  <c r="BA67" i="7"/>
  <c r="BN33" i="7"/>
  <c r="AG63" i="7"/>
  <c r="BA57" i="7"/>
  <c r="BT57" i="7"/>
  <c r="BE55" i="7"/>
  <c r="D17" i="10"/>
  <c r="D68" i="5"/>
  <c r="D17" i="9"/>
  <c r="D102" i="5"/>
  <c r="D18" i="5"/>
  <c r="E17" i="10"/>
  <c r="AJ17" i="10" s="1"/>
  <c r="AN23" i="11"/>
  <c r="BI39" i="11"/>
  <c r="BH39" i="11"/>
  <c r="P39" i="11"/>
  <c r="O39" i="11"/>
  <c r="AA39" i="11"/>
  <c r="T39" i="11"/>
  <c r="BS39" i="11"/>
  <c r="Z39" i="11"/>
  <c r="BT39" i="11"/>
  <c r="N39" i="11"/>
  <c r="BR39" i="11"/>
  <c r="BN39" i="11"/>
  <c r="M39" i="11"/>
  <c r="BJ39" i="11"/>
  <c r="L39" i="11"/>
  <c r="BL39" i="11"/>
  <c r="J39" i="11"/>
  <c r="BM39" i="11"/>
  <c r="I39" i="11"/>
  <c r="X39" i="11"/>
  <c r="W39" i="11"/>
  <c r="BP39" i="11"/>
  <c r="Q39" i="11"/>
  <c r="BO39" i="11"/>
  <c r="K39" i="11"/>
  <c r="U39" i="11"/>
  <c r="Y39" i="11"/>
  <c r="H39" i="11"/>
  <c r="BK39" i="11"/>
  <c r="V39" i="11"/>
  <c r="R39" i="11"/>
  <c r="BQ39" i="11"/>
  <c r="BA39" i="7"/>
  <c r="BN39" i="7"/>
  <c r="AY39" i="7"/>
  <c r="BF39" i="7"/>
  <c r="AF39" i="7"/>
  <c r="BK39" i="7"/>
  <c r="I39" i="7"/>
  <c r="BJ39" i="7"/>
  <c r="BS39" i="7"/>
  <c r="BC39" i="7"/>
  <c r="H39" i="7"/>
  <c r="AJ39" i="7"/>
  <c r="V39" i="7"/>
  <c r="AR39" i="7"/>
  <c r="BB39" i="7"/>
  <c r="AZ39" i="7"/>
  <c r="BL39" i="7"/>
  <c r="J39" i="7"/>
  <c r="AV39" i="7"/>
  <c r="BQ39" i="7"/>
  <c r="BI39" i="7"/>
  <c r="BE39" i="7"/>
  <c r="BH39" i="7"/>
  <c r="BT39" i="7"/>
  <c r="AW39" i="7"/>
  <c r="BG39" i="7"/>
  <c r="L39" i="7"/>
  <c r="M39" i="7"/>
  <c r="BM39" i="7"/>
  <c r="BD39" i="7"/>
  <c r="K39" i="7"/>
  <c r="BO39" i="7"/>
  <c r="BP39" i="7"/>
  <c r="BR39" i="7"/>
  <c r="AX39" i="7"/>
  <c r="BG36" i="11"/>
  <c r="BE36" i="11"/>
  <c r="O36" i="11"/>
  <c r="M36" i="11"/>
  <c r="BJ36" i="11"/>
  <c r="I36" i="11"/>
  <c r="BN36" i="11"/>
  <c r="BH36" i="11"/>
  <c r="K36" i="11"/>
  <c r="BT36" i="11"/>
  <c r="BP36" i="11"/>
  <c r="BI36" i="11"/>
  <c r="BS36" i="11"/>
  <c r="N36" i="11"/>
  <c r="V36" i="11"/>
  <c r="BL36" i="11"/>
  <c r="BR36" i="11"/>
  <c r="H36" i="11"/>
  <c r="BD36" i="11"/>
  <c r="BK36" i="11"/>
  <c r="J36" i="11"/>
  <c r="BF36" i="11"/>
  <c r="BO36" i="11"/>
  <c r="L36" i="11"/>
  <c r="BM36" i="11"/>
  <c r="BQ36" i="11"/>
  <c r="AU36" i="7"/>
  <c r="BI36" i="7"/>
  <c r="BL36" i="7"/>
  <c r="L36" i="7"/>
  <c r="H36" i="7"/>
  <c r="K36" i="7"/>
  <c r="BQ36" i="7"/>
  <c r="BN36" i="7"/>
  <c r="BM36" i="7"/>
  <c r="AK36" i="7"/>
  <c r="AE36" i="7"/>
  <c r="BE36" i="7"/>
  <c r="BC36" i="7"/>
  <c r="AX36" i="7"/>
  <c r="BR36" i="7"/>
  <c r="J36" i="7"/>
  <c r="AW36" i="7"/>
  <c r="BF36" i="7"/>
  <c r="AG36" i="7"/>
  <c r="Y36" i="7"/>
  <c r="Q36" i="7"/>
  <c r="BB36" i="7"/>
  <c r="BS36" i="7"/>
  <c r="BJ36" i="7"/>
  <c r="I36" i="7"/>
  <c r="BA36" i="7"/>
  <c r="AT36" i="7"/>
  <c r="BK36" i="7"/>
  <c r="BT36" i="7"/>
  <c r="BP36" i="7"/>
  <c r="AL36" i="7"/>
  <c r="BH36" i="7"/>
  <c r="BD36" i="7"/>
  <c r="AV36" i="7"/>
  <c r="BO36" i="7"/>
  <c r="BG36" i="7"/>
  <c r="M36" i="7"/>
  <c r="S36" i="7"/>
  <c r="AY36" i="7"/>
  <c r="AQ36" i="7"/>
  <c r="AZ36" i="7"/>
  <c r="L35" i="10"/>
  <c r="AK35" i="10"/>
  <c r="BP35" i="10"/>
  <c r="BR35" i="10"/>
  <c r="J35" i="10"/>
  <c r="AN35" i="10"/>
  <c r="BI35" i="10"/>
  <c r="I35" i="10"/>
  <c r="AD35" i="10"/>
  <c r="M35" i="10"/>
  <c r="X35" i="10"/>
  <c r="AB35" i="10"/>
  <c r="AC35" i="10"/>
  <c r="BN35" i="10"/>
  <c r="BS35" i="10"/>
  <c r="Y35" i="10"/>
  <c r="BT35" i="10"/>
  <c r="P35" i="10"/>
  <c r="N35" i="10"/>
  <c r="BQ35" i="10"/>
  <c r="W35" i="10"/>
  <c r="Z35" i="10"/>
  <c r="K35" i="10"/>
  <c r="AO35" i="10"/>
  <c r="AU35" i="10"/>
  <c r="AE35" i="10"/>
  <c r="H35" i="10"/>
  <c r="BG35" i="10"/>
  <c r="S35" i="10"/>
  <c r="V35" i="10"/>
  <c r="BF35" i="10"/>
  <c r="BK35" i="10"/>
  <c r="AJ35" i="10"/>
  <c r="BB35" i="10"/>
  <c r="Q35" i="10"/>
  <c r="AY35" i="10"/>
  <c r="AX35" i="10"/>
  <c r="AF35" i="10"/>
  <c r="AM35" i="10"/>
  <c r="AT35" i="10"/>
  <c r="AA35" i="10"/>
  <c r="AZ35" i="10"/>
  <c r="BH35" i="10"/>
  <c r="O35" i="10"/>
  <c r="T35" i="10"/>
  <c r="U35" i="10"/>
  <c r="AS35" i="10"/>
  <c r="AH35" i="10"/>
  <c r="AI35" i="10"/>
  <c r="BE35" i="10"/>
  <c r="AR35" i="10"/>
  <c r="BO35" i="10"/>
  <c r="AV35" i="10"/>
  <c r="AW35" i="10"/>
  <c r="BA35" i="10"/>
  <c r="AP35" i="10"/>
  <c r="R35" i="10"/>
  <c r="BC35" i="10"/>
  <c r="BJ35" i="10"/>
  <c r="BL35" i="10"/>
  <c r="BD35" i="10"/>
  <c r="AG35" i="10"/>
  <c r="AQ35" i="10"/>
  <c r="BM35" i="10"/>
  <c r="BP32" i="11"/>
  <c r="BE32" i="11"/>
  <c r="BD32" i="11"/>
  <c r="BF32" i="11"/>
  <c r="R32" i="11"/>
  <c r="Q32" i="11"/>
  <c r="S32" i="11"/>
  <c r="P32" i="11"/>
  <c r="M32" i="11"/>
  <c r="K32" i="11"/>
  <c r="BT32" i="11"/>
  <c r="I32" i="11"/>
  <c r="O32" i="11"/>
  <c r="BH32" i="11"/>
  <c r="BJ32" i="11"/>
  <c r="BO32" i="11"/>
  <c r="BR32" i="11"/>
  <c r="T32" i="11"/>
  <c r="L32" i="11"/>
  <c r="H32" i="11"/>
  <c r="U32" i="11"/>
  <c r="N32" i="11"/>
  <c r="BS32" i="11"/>
  <c r="BL32" i="11"/>
  <c r="BI32" i="11"/>
  <c r="BG32" i="11"/>
  <c r="BM32" i="11"/>
  <c r="V32" i="11"/>
  <c r="BQ32" i="11"/>
  <c r="BK32" i="11"/>
  <c r="J32" i="11"/>
  <c r="W32" i="11"/>
  <c r="L27" i="12"/>
  <c r="BP27" i="12"/>
  <c r="BO27" i="12"/>
  <c r="O27" i="12"/>
  <c r="BS27" i="12"/>
  <c r="BJ27" i="12"/>
  <c r="I27" i="12"/>
  <c r="BL27" i="12"/>
  <c r="BQ27" i="12"/>
  <c r="H27" i="12"/>
  <c r="N27" i="12"/>
  <c r="K27" i="12"/>
  <c r="BN27" i="12"/>
  <c r="BM27" i="12"/>
  <c r="BI27" i="12"/>
  <c r="BR27" i="12"/>
  <c r="BH27" i="12"/>
  <c r="BK27" i="12"/>
  <c r="BE27" i="12"/>
  <c r="J27" i="12"/>
  <c r="M27" i="12"/>
  <c r="BS19" i="11"/>
  <c r="O19" i="11"/>
  <c r="N19" i="11"/>
  <c r="K19" i="11"/>
  <c r="I19" i="11"/>
  <c r="BP19" i="11"/>
  <c r="BT19" i="11"/>
  <c r="BK19" i="11"/>
  <c r="BJ19" i="11"/>
  <c r="BG19" i="11"/>
  <c r="BE19" i="11"/>
  <c r="BQ19" i="11"/>
  <c r="BH19" i="11"/>
  <c r="BI19" i="11"/>
  <c r="U19" i="11"/>
  <c r="L19" i="11"/>
  <c r="BM19" i="11"/>
  <c r="J19" i="11"/>
  <c r="V19" i="11"/>
  <c r="W19" i="11"/>
  <c r="BF19" i="11"/>
  <c r="BR19" i="11"/>
  <c r="Q19" i="11"/>
  <c r="BL19" i="11"/>
  <c r="M19" i="11"/>
  <c r="P19" i="11"/>
  <c r="BD19" i="11"/>
  <c r="BN19" i="11"/>
  <c r="BO19" i="11"/>
  <c r="H19" i="11"/>
  <c r="T19" i="11"/>
  <c r="R19" i="11"/>
  <c r="S19" i="11"/>
  <c r="J19" i="5"/>
  <c r="K19" i="5"/>
  <c r="BI19" i="5"/>
  <c r="BH75" i="5"/>
  <c r="X51" i="2"/>
  <c r="X40" i="2"/>
  <c r="H51" i="10"/>
  <c r="BQ51" i="10"/>
  <c r="BR51" i="10"/>
  <c r="K51" i="10"/>
  <c r="BS51" i="10"/>
  <c r="BL51" i="10"/>
  <c r="BG51" i="10"/>
  <c r="BD51" i="10"/>
  <c r="BJ51" i="10"/>
  <c r="BI51" i="10"/>
  <c r="BH51" i="10"/>
  <c r="BK51" i="10"/>
  <c r="BP51" i="10"/>
  <c r="I51" i="10"/>
  <c r="BE51" i="10"/>
  <c r="J51" i="10"/>
  <c r="BN51" i="10"/>
  <c r="BO51" i="10"/>
  <c r="BF51" i="10"/>
  <c r="D19" i="5"/>
  <c r="Z48" i="12"/>
  <c r="V48" i="12"/>
  <c r="R48" i="12"/>
  <c r="P48" i="12"/>
  <c r="O48" i="12"/>
  <c r="N48" i="12"/>
  <c r="J48" i="12"/>
  <c r="BJ48" i="12"/>
  <c r="BR48" i="12"/>
  <c r="BL48" i="12"/>
  <c r="BN48" i="12"/>
  <c r="AA48" i="12"/>
  <c r="AN48" i="12"/>
  <c r="AM48" i="12"/>
  <c r="BB48" i="12"/>
  <c r="AL48" i="12"/>
  <c r="AT48" i="12"/>
  <c r="AP48" i="12"/>
  <c r="AF48" i="12"/>
  <c r="AY48" i="12"/>
  <c r="AB48" i="12"/>
  <c r="BF48" i="12"/>
  <c r="AW48" i="12"/>
  <c r="AI48" i="12"/>
  <c r="T48" i="12"/>
  <c r="AH48" i="12"/>
  <c r="AK48" i="12"/>
  <c r="W48" i="12"/>
  <c r="H48" i="12"/>
  <c r="BK48" i="12"/>
  <c r="Y48" i="12"/>
  <c r="K48" i="12"/>
  <c r="BO48" i="12"/>
  <c r="M48" i="12"/>
  <c r="BQ48" i="12"/>
  <c r="BC48" i="12"/>
  <c r="AD48" i="12"/>
  <c r="BH48" i="12"/>
  <c r="BE48" i="12"/>
  <c r="AQ48" i="12"/>
  <c r="AV48" i="12"/>
  <c r="AS48" i="12"/>
  <c r="AE48" i="12"/>
  <c r="AX48" i="12"/>
  <c r="AJ48" i="12"/>
  <c r="AG48" i="12"/>
  <c r="S48" i="12"/>
  <c r="X48" i="12"/>
  <c r="U48" i="12"/>
  <c r="BM48" i="12"/>
  <c r="L48" i="12"/>
  <c r="I48" i="12"/>
  <c r="BA48" i="12"/>
  <c r="BS48" i="12"/>
  <c r="BP48" i="12"/>
  <c r="AO48" i="12"/>
  <c r="BG48" i="12"/>
  <c r="BD48" i="12"/>
  <c r="AC48" i="12"/>
  <c r="BI48" i="12"/>
  <c r="AU48" i="12"/>
  <c r="AR48" i="12"/>
  <c r="Q48" i="12"/>
  <c r="BQ46" i="10"/>
  <c r="AJ46" i="10"/>
  <c r="AH46" i="10"/>
  <c r="U46" i="10"/>
  <c r="S46" i="10"/>
  <c r="I46" i="10"/>
  <c r="P46" i="10"/>
  <c r="BP46" i="10"/>
  <c r="BE46" i="10"/>
  <c r="BT46" i="10"/>
  <c r="AZ46" i="10"/>
  <c r="BO46" i="10"/>
  <c r="BD46" i="10"/>
  <c r="BL46" i="10"/>
  <c r="W46" i="10"/>
  <c r="H46" i="10"/>
  <c r="AN46" i="10"/>
  <c r="T46" i="10"/>
  <c r="BN46" i="10"/>
  <c r="BA46" i="10"/>
  <c r="BR46" i="10"/>
  <c r="J46" i="10"/>
  <c r="Q46" i="10"/>
  <c r="K46" i="10"/>
  <c r="L46" i="10"/>
  <c r="O46" i="10"/>
  <c r="BJ46" i="10"/>
  <c r="AQ46" i="10"/>
  <c r="AA46" i="10"/>
  <c r="BF46" i="10"/>
  <c r="M46" i="10"/>
  <c r="AU46" i="10"/>
  <c r="BG46" i="10"/>
  <c r="BH46" i="10"/>
  <c r="AE46" i="10"/>
  <c r="BK46" i="10"/>
  <c r="N46" i="10"/>
  <c r="BI46" i="10"/>
  <c r="V46" i="10"/>
  <c r="BM46" i="10"/>
  <c r="AF46" i="10"/>
  <c r="R46" i="10"/>
  <c r="AD46" i="10"/>
  <c r="AP46" i="10"/>
  <c r="D86" i="5"/>
  <c r="D80" i="5"/>
  <c r="D81" i="5"/>
  <c r="BP54" i="12"/>
  <c r="S54" i="12"/>
  <c r="BO54" i="12"/>
  <c r="BN54" i="12"/>
  <c r="BM54" i="12"/>
  <c r="BL54" i="12"/>
  <c r="O54" i="12"/>
  <c r="BK54" i="12"/>
  <c r="N54" i="12"/>
  <c r="BI54" i="12"/>
  <c r="L54" i="12"/>
  <c r="BJ54" i="12"/>
  <c r="BH54" i="12"/>
  <c r="M54" i="12"/>
  <c r="H54" i="12"/>
  <c r="J54" i="12"/>
  <c r="BS54" i="12"/>
  <c r="BQ54" i="12"/>
  <c r="K54" i="12"/>
  <c r="I54" i="12"/>
  <c r="BR54" i="12"/>
  <c r="BT54" i="7"/>
  <c r="BE54" i="7"/>
  <c r="BC54" i="7"/>
  <c r="AY54" i="7"/>
  <c r="BL54" i="7"/>
  <c r="AX54" i="7"/>
  <c r="AV54" i="7"/>
  <c r="BH54" i="7"/>
  <c r="L54" i="7"/>
  <c r="BK54" i="7"/>
  <c r="BQ54" i="7"/>
  <c r="BR54" i="7"/>
  <c r="K54" i="7"/>
  <c r="BH53" i="11"/>
  <c r="BI53" i="11"/>
  <c r="BF53" i="11"/>
  <c r="BG53" i="11"/>
  <c r="BL53" i="11"/>
  <c r="BM53" i="11"/>
  <c r="BA53" i="11"/>
  <c r="I53" i="11"/>
  <c r="AZ53" i="11"/>
  <c r="BS53" i="11"/>
  <c r="BR53" i="11"/>
  <c r="AY53" i="11"/>
  <c r="BE53" i="11"/>
  <c r="AV53" i="11"/>
  <c r="BQ53" i="11"/>
  <c r="BT53" i="11"/>
  <c r="J53" i="11"/>
  <c r="BK53" i="11"/>
  <c r="K53" i="11"/>
  <c r="AW53" i="11"/>
  <c r="BP53" i="11"/>
  <c r="AX53" i="11"/>
  <c r="BB53" i="11"/>
  <c r="BN53" i="11"/>
  <c r="BJ53" i="11"/>
  <c r="BC53" i="11"/>
  <c r="BO53" i="11"/>
  <c r="H53" i="11"/>
  <c r="BD53" i="11"/>
  <c r="BT42" i="10"/>
  <c r="BJ42" i="10"/>
  <c r="N42" i="10"/>
  <c r="BI42" i="10"/>
  <c r="P42" i="10"/>
  <c r="BF42" i="10"/>
  <c r="R42" i="10"/>
  <c r="J42" i="10"/>
  <c r="BM42" i="10"/>
  <c r="S42" i="10"/>
  <c r="BO42" i="10"/>
  <c r="V42" i="10"/>
  <c r="O42" i="10"/>
  <c r="BL42" i="10"/>
  <c r="M42" i="10"/>
  <c r="BK42" i="10"/>
  <c r="BR42" i="10"/>
  <c r="Q42" i="10"/>
  <c r="I42" i="10"/>
  <c r="L42" i="10"/>
  <c r="BD42" i="10"/>
  <c r="U42" i="10"/>
  <c r="BP42" i="10"/>
  <c r="BE42" i="10"/>
  <c r="BH42" i="10"/>
  <c r="BQ42" i="10"/>
  <c r="K42" i="10"/>
  <c r="W42" i="10"/>
  <c r="H42" i="10"/>
  <c r="BG42" i="10"/>
  <c r="T42" i="10"/>
  <c r="BS42" i="10"/>
  <c r="BN42" i="10"/>
  <c r="D35" i="5"/>
  <c r="U61" i="2"/>
  <c r="D77" i="5"/>
  <c r="BH67" i="10"/>
  <c r="T67" i="10"/>
  <c r="R67" i="10"/>
  <c r="BP67" i="10"/>
  <c r="BO67" i="10"/>
  <c r="BS67" i="10"/>
  <c r="BN67" i="10"/>
  <c r="BJ67" i="10"/>
  <c r="L67" i="10"/>
  <c r="K67" i="10"/>
  <c r="H67" i="10"/>
  <c r="BM67" i="10"/>
  <c r="S67" i="10"/>
  <c r="BG67" i="10"/>
  <c r="BD67" i="10"/>
  <c r="BF67" i="10"/>
  <c r="BK67" i="10"/>
  <c r="BE67" i="10"/>
  <c r="BQ67" i="10"/>
  <c r="BT67" i="10"/>
  <c r="BR67" i="10"/>
  <c r="BI67" i="10"/>
  <c r="BL67" i="10"/>
  <c r="M67" i="10"/>
  <c r="I67" i="10"/>
  <c r="J67" i="10"/>
  <c r="BF65" i="7"/>
  <c r="BG65" i="7"/>
  <c r="BH65" i="7"/>
  <c r="BS64" i="11"/>
  <c r="M64" i="11"/>
  <c r="BI64" i="11"/>
  <c r="BT64" i="11"/>
  <c r="AY64" i="11"/>
  <c r="AW64" i="11"/>
  <c r="BA64" i="11"/>
  <c r="AX64" i="11"/>
  <c r="AZ64" i="11"/>
  <c r="BL64" i="11"/>
  <c r="N64" i="11"/>
  <c r="BK64" i="11"/>
  <c r="BJ64" i="11"/>
  <c r="BM64" i="11"/>
  <c r="H64" i="11"/>
  <c r="BP64" i="11"/>
  <c r="BD64" i="11"/>
  <c r="O64" i="11"/>
  <c r="J64" i="11"/>
  <c r="AV64" i="11"/>
  <c r="I64" i="11"/>
  <c r="BH64" i="11"/>
  <c r="K64" i="11"/>
  <c r="BF64" i="11"/>
  <c r="BE64" i="11"/>
  <c r="BR64" i="11"/>
  <c r="BQ64" i="11"/>
  <c r="BB64" i="11"/>
  <c r="BG64" i="11"/>
  <c r="BN64" i="11"/>
  <c r="BO64" i="11"/>
  <c r="L64" i="11"/>
  <c r="BC64" i="11"/>
  <c r="BM63" i="10"/>
  <c r="BK63" i="10"/>
  <c r="J63" i="10"/>
  <c r="BJ63" i="10"/>
  <c r="M63" i="10"/>
  <c r="BQ63" i="10"/>
  <c r="BH63" i="10"/>
  <c r="BE63" i="10"/>
  <c r="BG63" i="10"/>
  <c r="BT63" i="10"/>
  <c r="BD63" i="10"/>
  <c r="L63" i="10"/>
  <c r="I63" i="10"/>
  <c r="BP63" i="10"/>
  <c r="BS63" i="10"/>
  <c r="BL63" i="10"/>
  <c r="T63" i="10"/>
  <c r="BR63" i="10"/>
  <c r="BF63" i="10"/>
  <c r="BO63" i="10"/>
  <c r="BI63" i="10"/>
  <c r="H63" i="10"/>
  <c r="BH72" i="10"/>
  <c r="BF72" i="10"/>
  <c r="L72" i="10"/>
  <c r="AK72" i="10"/>
  <c r="AW72" i="10"/>
  <c r="J72" i="10"/>
  <c r="BG72" i="10"/>
  <c r="AZ72" i="10"/>
  <c r="BS72" i="10"/>
  <c r="AU72" i="10"/>
  <c r="M72" i="10"/>
  <c r="BT72" i="10"/>
  <c r="BO72" i="10"/>
  <c r="BI72" i="10"/>
  <c r="AT72" i="10"/>
  <c r="AY72" i="10"/>
  <c r="S72" i="10"/>
  <c r="BL72" i="10"/>
  <c r="BQ72" i="10"/>
  <c r="BC72" i="10"/>
  <c r="K72" i="10"/>
  <c r="BK72" i="10"/>
  <c r="BB72" i="10"/>
  <c r="BN72" i="10"/>
  <c r="I72" i="10"/>
  <c r="BJ72" i="10"/>
  <c r="U72" i="10"/>
  <c r="AX72" i="10"/>
  <c r="H72" i="10"/>
  <c r="BE72" i="10"/>
  <c r="BD72" i="10"/>
  <c r="AV72" i="10"/>
  <c r="BP72" i="10"/>
  <c r="BM72" i="10"/>
  <c r="BR72" i="10"/>
  <c r="BA72" i="10"/>
  <c r="D99" i="5"/>
  <c r="BP43" i="5"/>
  <c r="BD43" i="5"/>
  <c r="T43" i="5"/>
  <c r="H43" i="5"/>
  <c r="BN37" i="5"/>
  <c r="BB37" i="5"/>
  <c r="AP37" i="5"/>
  <c r="AD37" i="5"/>
  <c r="R37" i="5"/>
  <c r="BS99" i="5"/>
  <c r="BG99" i="5"/>
  <c r="W99" i="5"/>
  <c r="K99" i="5"/>
  <c r="BL98" i="5"/>
  <c r="AZ98" i="5"/>
  <c r="AN98" i="5"/>
  <c r="AB98" i="5"/>
  <c r="P98" i="5"/>
  <c r="BQ49" i="5"/>
  <c r="BE49" i="5"/>
  <c r="I49" i="5"/>
  <c r="BJ28" i="5"/>
  <c r="BT70" i="5"/>
  <c r="BH70" i="5"/>
  <c r="AV70" i="5"/>
  <c r="L70" i="5"/>
  <c r="BM76" i="5"/>
  <c r="BA76" i="5"/>
  <c r="BR97" i="5"/>
  <c r="BF97" i="5"/>
  <c r="AT97" i="5"/>
  <c r="AH97" i="5"/>
  <c r="V97" i="5"/>
  <c r="J97" i="5"/>
  <c r="BK83" i="5"/>
  <c r="AY83" i="5"/>
  <c r="BP85" i="5"/>
  <c r="BD85" i="5"/>
  <c r="AR85" i="5"/>
  <c r="AF85" i="5"/>
  <c r="T85" i="5"/>
  <c r="H85" i="5"/>
  <c r="U73" i="7"/>
  <c r="BR74" i="7"/>
  <c r="BT72" i="7"/>
  <c r="AU73" i="7"/>
  <c r="BG64" i="7"/>
  <c r="BT64" i="7"/>
  <c r="AS56" i="7"/>
  <c r="AT75" i="7"/>
  <c r="AE75" i="7"/>
  <c r="BN75" i="7"/>
  <c r="L75" i="7"/>
  <c r="BK71" i="7"/>
  <c r="BS60" i="7"/>
  <c r="N60" i="7"/>
  <c r="M72" i="7"/>
  <c r="H68" i="7"/>
  <c r="AD56" i="7"/>
  <c r="BN60" i="7"/>
  <c r="BS58" i="7"/>
  <c r="BP56" i="7"/>
  <c r="J71" i="7"/>
  <c r="BS71" i="7"/>
  <c r="M68" i="7"/>
  <c r="L73" i="7"/>
  <c r="AQ73" i="7"/>
  <c r="AB59" i="7"/>
  <c r="R59" i="7"/>
  <c r="AR59" i="7"/>
  <c r="BM65" i="7"/>
  <c r="I63" i="7"/>
  <c r="AV63" i="7"/>
  <c r="BO57" i="7"/>
  <c r="BN57" i="7"/>
  <c r="BQ55" i="7"/>
  <c r="BP65" i="7"/>
  <c r="L65" i="7"/>
  <c r="BB63" i="7"/>
  <c r="I53" i="7"/>
  <c r="AU67" i="7"/>
  <c r="V41" i="7"/>
  <c r="BN41" i="7"/>
  <c r="T41" i="7"/>
  <c r="BP41" i="7"/>
  <c r="BJ41" i="7"/>
  <c r="BE41" i="7"/>
  <c r="I41" i="7"/>
  <c r="BL41" i="7"/>
  <c r="W41" i="7"/>
  <c r="BR41" i="7"/>
  <c r="R41" i="7"/>
  <c r="O41" i="7"/>
  <c r="K41" i="7"/>
  <c r="BT41" i="7"/>
  <c r="U41" i="7"/>
  <c r="BH41" i="7"/>
  <c r="BQ41" i="7"/>
  <c r="N41" i="7"/>
  <c r="P41" i="7"/>
  <c r="S41" i="7"/>
  <c r="L41" i="7"/>
  <c r="BO41" i="7"/>
  <c r="BS41" i="7"/>
  <c r="BK41" i="7"/>
  <c r="BG41" i="7"/>
  <c r="AG57" i="10"/>
  <c r="AX20" i="11"/>
  <c r="AM84" i="5"/>
  <c r="BL31" i="5"/>
  <c r="AN94" i="5"/>
  <c r="AO30" i="7"/>
  <c r="D74" i="5"/>
  <c r="BJ31" i="5"/>
  <c r="E23" i="2"/>
  <c r="D103" i="5"/>
  <c r="BP17" i="11"/>
  <c r="BO17" i="11"/>
  <c r="V17" i="11"/>
  <c r="U17" i="11"/>
  <c r="T17" i="11"/>
  <c r="S17" i="11"/>
  <c r="BQ17" i="11"/>
  <c r="BR17" i="11"/>
  <c r="H17" i="11"/>
  <c r="Y17" i="11"/>
  <c r="W17" i="11"/>
  <c r="BT17" i="11"/>
  <c r="BH17" i="11"/>
  <c r="I17" i="11"/>
  <c r="BL17" i="11"/>
  <c r="Z17" i="11"/>
  <c r="X17" i="11"/>
  <c r="L17" i="11"/>
  <c r="P17" i="11"/>
  <c r="BS17" i="11"/>
  <c r="BN17" i="11"/>
  <c r="BI17" i="11"/>
  <c r="BJ17" i="11"/>
  <c r="R17" i="11"/>
  <c r="Q17" i="11"/>
  <c r="BM17" i="11"/>
  <c r="AA17" i="11"/>
  <c r="M17" i="11"/>
  <c r="J17" i="11"/>
  <c r="O17" i="11"/>
  <c r="N17" i="11"/>
  <c r="BK17" i="11"/>
  <c r="K17" i="11"/>
  <c r="BL20" i="10"/>
  <c r="BI20" i="10"/>
  <c r="M20" i="10"/>
  <c r="BP20" i="10"/>
  <c r="K20" i="10"/>
  <c r="BM20" i="10"/>
  <c r="BJ20" i="10"/>
  <c r="BQ20" i="10"/>
  <c r="BR20" i="10"/>
  <c r="H20" i="10"/>
  <c r="I20" i="10"/>
  <c r="BN20" i="10"/>
  <c r="BS20" i="10"/>
  <c r="L20" i="10"/>
  <c r="BG20" i="10"/>
  <c r="J20" i="10"/>
  <c r="BK20" i="10"/>
  <c r="BD20" i="10"/>
  <c r="BE20" i="10"/>
  <c r="BO20" i="10"/>
  <c r="BT20" i="10"/>
  <c r="BH20" i="10"/>
  <c r="BF20" i="10"/>
  <c r="O41" i="12"/>
  <c r="BJ41" i="12"/>
  <c r="N41" i="12"/>
  <c r="BK41" i="12"/>
  <c r="BI41" i="12"/>
  <c r="BP41" i="12"/>
  <c r="M41" i="12"/>
  <c r="BQ41" i="12"/>
  <c r="I41" i="12"/>
  <c r="BF41" i="12"/>
  <c r="H41" i="12"/>
  <c r="BE41" i="12"/>
  <c r="BD41" i="12"/>
  <c r="BL41" i="12"/>
  <c r="BS41" i="12"/>
  <c r="BO41" i="12"/>
  <c r="K41" i="12"/>
  <c r="BN41" i="12"/>
  <c r="BG41" i="12"/>
  <c r="BR41" i="12"/>
  <c r="L41" i="12"/>
  <c r="BM41" i="12"/>
  <c r="J41" i="12"/>
  <c r="BH41" i="12"/>
  <c r="U32" i="2"/>
  <c r="BQ37" i="12"/>
  <c r="BN37" i="12"/>
  <c r="K37" i="12"/>
  <c r="W37" i="12"/>
  <c r="BK37" i="12"/>
  <c r="I37" i="12"/>
  <c r="BR37" i="12"/>
  <c r="O37" i="12"/>
  <c r="BO37" i="12"/>
  <c r="H37" i="12"/>
  <c r="L37" i="12"/>
  <c r="BM37" i="12"/>
  <c r="Q37" i="12"/>
  <c r="J37" i="12"/>
  <c r="BI37" i="12"/>
  <c r="M37" i="12"/>
  <c r="BH37" i="12"/>
  <c r="BP37" i="12"/>
  <c r="BJ37" i="12"/>
  <c r="BL37" i="12"/>
  <c r="BS37" i="12"/>
  <c r="N37" i="12"/>
  <c r="U29" i="2"/>
  <c r="AA27" i="2"/>
  <c r="BN33" i="12"/>
  <c r="BR33" i="12"/>
  <c r="N33" i="12"/>
  <c r="H33" i="12"/>
  <c r="S33" i="12"/>
  <c r="BF33" i="12"/>
  <c r="BD33" i="12"/>
  <c r="J33" i="12"/>
  <c r="M33" i="12"/>
  <c r="BQ33" i="12"/>
  <c r="O33" i="12"/>
  <c r="BE33" i="12"/>
  <c r="L33" i="12"/>
  <c r="BC33" i="12"/>
  <c r="AZ33" i="12"/>
  <c r="BS33" i="12"/>
  <c r="BG33" i="12"/>
  <c r="P33" i="12"/>
  <c r="BK33" i="12"/>
  <c r="R33" i="12"/>
  <c r="BJ33" i="12"/>
  <c r="I33" i="12"/>
  <c r="K33" i="12"/>
  <c r="BB33" i="12"/>
  <c r="BM33" i="12"/>
  <c r="BP33" i="12"/>
  <c r="BH33" i="12"/>
  <c r="BL33" i="12"/>
  <c r="BO33" i="12"/>
  <c r="BA33" i="12"/>
  <c r="Q33" i="12"/>
  <c r="BI33" i="12"/>
  <c r="L26" i="2"/>
  <c r="U25" i="2"/>
  <c r="BR30" i="12"/>
  <c r="BQ30" i="12"/>
  <c r="O30" i="12"/>
  <c r="BP30" i="12"/>
  <c r="N30" i="12"/>
  <c r="BM30" i="12"/>
  <c r="M30" i="12"/>
  <c r="BL30" i="12"/>
  <c r="L30" i="12"/>
  <c r="BK30" i="12"/>
  <c r="K30" i="12"/>
  <c r="BJ30" i="12"/>
  <c r="J30" i="12"/>
  <c r="BI30" i="12"/>
  <c r="I30" i="12"/>
  <c r="BH30" i="12"/>
  <c r="H30" i="12"/>
  <c r="BO30" i="12"/>
  <c r="BS30" i="12"/>
  <c r="V30" i="12"/>
  <c r="BN30" i="12"/>
  <c r="L23" i="2"/>
  <c r="X20" i="2"/>
  <c r="BS62" i="10"/>
  <c r="BD62" i="10"/>
  <c r="BR62" i="10"/>
  <c r="BQ62" i="10"/>
  <c r="BL62" i="10"/>
  <c r="BK62" i="10"/>
  <c r="BH62" i="10"/>
  <c r="BG62" i="10"/>
  <c r="BF62" i="10"/>
  <c r="BT62" i="10"/>
  <c r="BI62" i="10"/>
  <c r="K62" i="10"/>
  <c r="BN62" i="10"/>
  <c r="BE62" i="10"/>
  <c r="BM62" i="10"/>
  <c r="BO62" i="10"/>
  <c r="BP62" i="10"/>
  <c r="L18" i="2"/>
  <c r="BE18" i="10"/>
  <c r="J18" i="10"/>
  <c r="BS18" i="10"/>
  <c r="BG18" i="10"/>
  <c r="BD18" i="10"/>
  <c r="I18" i="10"/>
  <c r="BF18" i="10"/>
  <c r="BR18" i="10"/>
  <c r="H18" i="10"/>
  <c r="BK18" i="10"/>
  <c r="BI18" i="10"/>
  <c r="BM18" i="10"/>
  <c r="M18" i="10"/>
  <c r="BJ18" i="10"/>
  <c r="BP18" i="10"/>
  <c r="BO18" i="10"/>
  <c r="N18" i="10"/>
  <c r="K18" i="10"/>
  <c r="BT18" i="10"/>
  <c r="O18" i="10"/>
  <c r="L18" i="10"/>
  <c r="BQ18" i="10"/>
  <c r="AY18" i="10"/>
  <c r="BB18" i="10"/>
  <c r="BN18" i="10"/>
  <c r="AX18" i="10"/>
  <c r="AW18" i="10"/>
  <c r="AZ18" i="10"/>
  <c r="BL18" i="10"/>
  <c r="AV18" i="10"/>
  <c r="BC18" i="10"/>
  <c r="BA18" i="10"/>
  <c r="Q23" i="12"/>
  <c r="BO23" i="12"/>
  <c r="BQ23" i="12"/>
  <c r="BK23" i="12"/>
  <c r="BM23" i="12"/>
  <c r="N23" i="12"/>
  <c r="BJ23" i="12"/>
  <c r="T23" i="12"/>
  <c r="H23" i="12"/>
  <c r="BR23" i="12"/>
  <c r="BL23" i="12"/>
  <c r="M23" i="12"/>
  <c r="P23" i="12"/>
  <c r="K23" i="12"/>
  <c r="R23" i="12"/>
  <c r="W23" i="12"/>
  <c r="S23" i="12"/>
  <c r="BI23" i="12"/>
  <c r="U23" i="12"/>
  <c r="Z23" i="12"/>
  <c r="BN23" i="12"/>
  <c r="BS23" i="12"/>
  <c r="AA23" i="12"/>
  <c r="BP23" i="12"/>
  <c r="Y23" i="12"/>
  <c r="J23" i="12"/>
  <c r="I23" i="12"/>
  <c r="O23" i="12"/>
  <c r="V23" i="12"/>
  <c r="L23" i="12"/>
  <c r="X23" i="12"/>
  <c r="BH23" i="12"/>
  <c r="O23" i="7"/>
  <c r="T23" i="7"/>
  <c r="BF23" i="7"/>
  <c r="BS23" i="7"/>
  <c r="J23" i="7"/>
  <c r="BD23" i="7"/>
  <c r="BK23" i="7"/>
  <c r="BN23" i="7"/>
  <c r="N23" i="7"/>
  <c r="BL23" i="7"/>
  <c r="I23" i="7"/>
  <c r="BI23" i="7"/>
  <c r="BM23" i="7"/>
  <c r="P23" i="7"/>
  <c r="L23" i="7"/>
  <c r="BR23" i="7"/>
  <c r="BQ23" i="7"/>
  <c r="BE23" i="7"/>
  <c r="V23" i="7"/>
  <c r="H23" i="7"/>
  <c r="BJ23" i="7"/>
  <c r="K23" i="7"/>
  <c r="BP23" i="7"/>
  <c r="BO23" i="7"/>
  <c r="BT23" i="7"/>
  <c r="S23" i="7"/>
  <c r="BH23" i="7"/>
  <c r="BG23" i="7"/>
  <c r="M23" i="7"/>
  <c r="BS21" i="11"/>
  <c r="AA11" i="2"/>
  <c r="AR19" i="5"/>
  <c r="BJ19" i="5"/>
  <c r="AN19" i="5"/>
  <c r="AU19" i="5"/>
  <c r="M19" i="5"/>
  <c r="BL94" i="5"/>
  <c r="X80" i="5"/>
  <c r="BS80" i="5"/>
  <c r="AA42" i="2"/>
  <c r="X41" i="2"/>
  <c r="M48" i="7"/>
  <c r="AA48" i="7"/>
  <c r="BH48" i="7"/>
  <c r="BG48" i="7"/>
  <c r="L48" i="7"/>
  <c r="BK48" i="7"/>
  <c r="BR48" i="7"/>
  <c r="H48" i="7"/>
  <c r="P48" i="7"/>
  <c r="W48" i="7"/>
  <c r="AO48" i="7"/>
  <c r="T48" i="7"/>
  <c r="BI48" i="7"/>
  <c r="AL48" i="7"/>
  <c r="AM48" i="7"/>
  <c r="BD48" i="7"/>
  <c r="N48" i="7"/>
  <c r="BL48" i="7"/>
  <c r="AY48" i="7"/>
  <c r="BS48" i="7"/>
  <c r="BT48" i="7"/>
  <c r="AC48" i="7"/>
  <c r="Q48" i="7"/>
  <c r="BP48" i="7"/>
  <c r="BJ48" i="7"/>
  <c r="I48" i="7"/>
  <c r="BM48" i="7"/>
  <c r="U48" i="7"/>
  <c r="Y48" i="7"/>
  <c r="O48" i="7"/>
  <c r="AK48" i="7"/>
  <c r="AN48" i="7"/>
  <c r="BE48" i="7"/>
  <c r="K48" i="7"/>
  <c r="BQ48" i="7"/>
  <c r="BI21" i="10"/>
  <c r="BH21" i="10"/>
  <c r="BR21" i="10"/>
  <c r="H21" i="10"/>
  <c r="K21" i="10"/>
  <c r="BM21" i="10"/>
  <c r="BD21" i="10"/>
  <c r="BL21" i="10"/>
  <c r="BP21" i="10"/>
  <c r="BS21" i="10"/>
  <c r="I21" i="10"/>
  <c r="J21" i="10"/>
  <c r="BG21" i="10"/>
  <c r="BJ21" i="10"/>
  <c r="BE21" i="10"/>
  <c r="BF21" i="10"/>
  <c r="BQ21" i="10"/>
  <c r="BT21" i="10"/>
  <c r="BO21" i="10"/>
  <c r="BN21" i="10"/>
  <c r="BK21" i="10"/>
  <c r="D79" i="5"/>
  <c r="AT44" i="11"/>
  <c r="AP44" i="11"/>
  <c r="BO44" i="11"/>
  <c r="BK44" i="11"/>
  <c r="BH44" i="11"/>
  <c r="AH44" i="11"/>
  <c r="BA44" i="11"/>
  <c r="AX44" i="11"/>
  <c r="AR44" i="11"/>
  <c r="BD44" i="11"/>
  <c r="V44" i="11"/>
  <c r="AK44" i="11"/>
  <c r="AE44" i="11"/>
  <c r="AB44" i="11"/>
  <c r="BC44" i="11"/>
  <c r="J44" i="11"/>
  <c r="S44" i="11"/>
  <c r="P44" i="11"/>
  <c r="M44" i="11"/>
  <c r="AN44" i="11"/>
  <c r="BS44" i="11"/>
  <c r="BQ44" i="11"/>
  <c r="BT44" i="11"/>
  <c r="BM44" i="11"/>
  <c r="BJ44" i="11"/>
  <c r="AM44" i="11"/>
  <c r="BG44" i="11"/>
  <c r="BE44" i="11"/>
  <c r="AZ44" i="11"/>
  <c r="AW44" i="11"/>
  <c r="AQ44" i="11"/>
  <c r="AL44" i="11"/>
  <c r="AU44" i="11"/>
  <c r="AS44" i="11"/>
  <c r="AJ44" i="11"/>
  <c r="AD44" i="11"/>
  <c r="AA44" i="11"/>
  <c r="Y44" i="11"/>
  <c r="AI44" i="11"/>
  <c r="AG44" i="11"/>
  <c r="R44" i="11"/>
  <c r="O44" i="11"/>
  <c r="L44" i="11"/>
  <c r="X44" i="11"/>
  <c r="W44" i="11"/>
  <c r="U44" i="11"/>
  <c r="BP44" i="11"/>
  <c r="BL44" i="11"/>
  <c r="BI44" i="11"/>
  <c r="T44" i="11"/>
  <c r="K44" i="11"/>
  <c r="I44" i="11"/>
  <c r="AY44" i="11"/>
  <c r="AV44" i="11"/>
  <c r="AO44" i="11"/>
  <c r="BR44" i="11"/>
  <c r="BN44" i="11"/>
  <c r="AF44" i="11"/>
  <c r="AC44" i="11"/>
  <c r="Z44" i="11"/>
  <c r="BF44" i="11"/>
  <c r="BB44" i="11"/>
  <c r="Q44" i="11"/>
  <c r="N44" i="11"/>
  <c r="H44" i="11"/>
  <c r="BT44" i="7"/>
  <c r="BO44" i="7"/>
  <c r="I44" i="7"/>
  <c r="BC44" i="7"/>
  <c r="H44" i="7"/>
  <c r="AZ44" i="7"/>
  <c r="BR44" i="7"/>
  <c r="BI44" i="7"/>
  <c r="BE44" i="7"/>
  <c r="M44" i="7"/>
  <c r="BD44" i="7"/>
  <c r="L44" i="7"/>
  <c r="BM44" i="7"/>
  <c r="BF44" i="7"/>
  <c r="K44" i="7"/>
  <c r="BJ44" i="7"/>
  <c r="J44" i="7"/>
  <c r="BL44" i="7"/>
  <c r="BP44" i="7"/>
  <c r="BG44" i="7"/>
  <c r="BS44" i="7"/>
  <c r="BQ44" i="7"/>
  <c r="BH44" i="7"/>
  <c r="BA44" i="7"/>
  <c r="BK44" i="7"/>
  <c r="BT58" i="10"/>
  <c r="BH58" i="10"/>
  <c r="BR58" i="10"/>
  <c r="BL58" i="10"/>
  <c r="BK58" i="10"/>
  <c r="BO58" i="10"/>
  <c r="AQ58" i="10"/>
  <c r="AE58" i="10"/>
  <c r="X58" i="10"/>
  <c r="AH58" i="10"/>
  <c r="AA58" i="10"/>
  <c r="O58" i="10"/>
  <c r="AM58" i="10"/>
  <c r="AJ58" i="10"/>
  <c r="AG58" i="10"/>
  <c r="AC58" i="10"/>
  <c r="U58" i="10"/>
  <c r="Q58" i="10"/>
  <c r="I58" i="10"/>
  <c r="W58" i="10"/>
  <c r="R58" i="10"/>
  <c r="BP58" i="10"/>
  <c r="AL58" i="10"/>
  <c r="AX58" i="10"/>
  <c r="AR58" i="10"/>
  <c r="BS58" i="10"/>
  <c r="S58" i="10"/>
  <c r="BN58" i="10"/>
  <c r="AF58" i="10"/>
  <c r="AV58" i="10"/>
  <c r="T58" i="10"/>
  <c r="V58" i="10"/>
  <c r="H58" i="10"/>
  <c r="AY58" i="10"/>
  <c r="AK58" i="10"/>
  <c r="BQ58" i="10"/>
  <c r="BM58" i="10"/>
  <c r="L58" i="10"/>
  <c r="P58" i="10"/>
  <c r="AZ58" i="10"/>
  <c r="BE58" i="10"/>
  <c r="BA58" i="10"/>
  <c r="AW58" i="10"/>
  <c r="BC58" i="10"/>
  <c r="AS58" i="10"/>
  <c r="AO58" i="10"/>
  <c r="BD58" i="10"/>
  <c r="AP58" i="10"/>
  <c r="AT58" i="10"/>
  <c r="AU58" i="10"/>
  <c r="BB58" i="10"/>
  <c r="J58" i="10"/>
  <c r="BG58" i="10"/>
  <c r="BI58" i="10"/>
  <c r="BJ58" i="10"/>
  <c r="Y58" i="10"/>
  <c r="AN58" i="10"/>
  <c r="BF58" i="10"/>
  <c r="AI58" i="10"/>
  <c r="K58" i="10"/>
  <c r="M58" i="10"/>
  <c r="N58" i="10"/>
  <c r="Z58" i="10"/>
  <c r="AB58" i="10"/>
  <c r="AD58" i="10"/>
  <c r="H55" i="12"/>
  <c r="BJ55" i="12"/>
  <c r="BQ55" i="12"/>
  <c r="N55" i="12"/>
  <c r="BO55" i="12"/>
  <c r="BI55" i="12"/>
  <c r="BN55" i="12"/>
  <c r="BR55" i="12"/>
  <c r="BH55" i="12"/>
  <c r="I55" i="12"/>
  <c r="J55" i="12"/>
  <c r="BP55" i="12"/>
  <c r="BL55" i="12"/>
  <c r="L55" i="12"/>
  <c r="BS55" i="12"/>
  <c r="O55" i="12"/>
  <c r="M55" i="12"/>
  <c r="BK55" i="12"/>
  <c r="BM55" i="12"/>
  <c r="K55" i="12"/>
  <c r="L48" i="2"/>
  <c r="X47" i="2"/>
  <c r="BR75" i="5"/>
  <c r="U46" i="2"/>
  <c r="D20" i="5"/>
  <c r="AR68" i="10"/>
  <c r="J68" i="10"/>
  <c r="BS68" i="10"/>
  <c r="BT68" i="10"/>
  <c r="BI68" i="10"/>
  <c r="BO68" i="10"/>
  <c r="BG68" i="10"/>
  <c r="H68" i="10"/>
  <c r="BF68" i="10"/>
  <c r="BL68" i="10"/>
  <c r="AG68" i="10"/>
  <c r="I68" i="10"/>
  <c r="AZ68" i="10"/>
  <c r="K68" i="10"/>
  <c r="BE68" i="10"/>
  <c r="BH68" i="10"/>
  <c r="U68" i="10"/>
  <c r="BQ68" i="10"/>
  <c r="M68" i="10"/>
  <c r="L68" i="10"/>
  <c r="AV68" i="10"/>
  <c r="BD68" i="10"/>
  <c r="BK68" i="10"/>
  <c r="BP68" i="10"/>
  <c r="BJ68" i="10"/>
  <c r="BN68" i="10"/>
  <c r="BM68" i="10"/>
  <c r="BR68" i="10"/>
  <c r="BB65" i="11"/>
  <c r="BK65" i="11"/>
  <c r="BA65" i="11"/>
  <c r="AZ65" i="11"/>
  <c r="AY65" i="11"/>
  <c r="L65" i="11"/>
  <c r="J65" i="11"/>
  <c r="H65" i="11"/>
  <c r="BS65" i="11"/>
  <c r="BQ65" i="11"/>
  <c r="BO65" i="11"/>
  <c r="AX65" i="11"/>
  <c r="BI65" i="11"/>
  <c r="BG65" i="11"/>
  <c r="BE65" i="11"/>
  <c r="BC65" i="11"/>
  <c r="BM65" i="11"/>
  <c r="M65" i="11"/>
  <c r="K65" i="11"/>
  <c r="I65" i="11"/>
  <c r="BJ65" i="11"/>
  <c r="BT65" i="11"/>
  <c r="BR65" i="11"/>
  <c r="BP65" i="11"/>
  <c r="BL65" i="11"/>
  <c r="BH65" i="11"/>
  <c r="BF65" i="11"/>
  <c r="BD65" i="11"/>
  <c r="AV65" i="11"/>
  <c r="BN65" i="11"/>
  <c r="O65" i="11"/>
  <c r="AW65" i="11"/>
  <c r="N65" i="11"/>
  <c r="BR22" i="10"/>
  <c r="BK22" i="10"/>
  <c r="AP22" i="10"/>
  <c r="M22" i="10"/>
  <c r="I22" i="10"/>
  <c r="BL22" i="10"/>
  <c r="BJ22" i="10"/>
  <c r="BE22" i="10"/>
  <c r="BT22" i="10"/>
  <c r="BO22" i="10"/>
  <c r="BS22" i="10"/>
  <c r="BI22" i="10"/>
  <c r="BD22" i="10"/>
  <c r="BG22" i="10"/>
  <c r="L22" i="10"/>
  <c r="BQ22" i="10"/>
  <c r="BH22" i="10"/>
  <c r="BM22" i="10"/>
  <c r="J22" i="10"/>
  <c r="K22" i="10"/>
  <c r="H22" i="10"/>
  <c r="BP22" i="10"/>
  <c r="BN22" i="10"/>
  <c r="BF22" i="10"/>
  <c r="D85" i="5"/>
  <c r="D27" i="5"/>
  <c r="AK60" i="12"/>
  <c r="AC26" i="5"/>
  <c r="AA68" i="2"/>
  <c r="AV74" i="12"/>
  <c r="AG74" i="12"/>
  <c r="P74" i="12"/>
  <c r="BK74" i="12"/>
  <c r="BR74" i="12"/>
  <c r="BN74" i="12"/>
  <c r="L74" i="12"/>
  <c r="U74" i="12"/>
  <c r="H74" i="12"/>
  <c r="K74" i="12"/>
  <c r="Z74" i="12"/>
  <c r="AJ74" i="12"/>
  <c r="V74" i="12"/>
  <c r="Y74" i="12"/>
  <c r="AP74" i="12"/>
  <c r="AY74" i="12"/>
  <c r="AK74" i="12"/>
  <c r="J74" i="12"/>
  <c r="AO74" i="12"/>
  <c r="BG74" i="12"/>
  <c r="N74" i="12"/>
  <c r="BP74" i="12"/>
  <c r="AZ74" i="12"/>
  <c r="X74" i="12"/>
  <c r="BE74" i="12"/>
  <c r="AC74" i="12"/>
  <c r="O74" i="12"/>
  <c r="BQ74" i="12"/>
  <c r="AM74" i="12"/>
  <c r="AT74" i="12"/>
  <c r="AD74" i="12"/>
  <c r="BD74" i="12"/>
  <c r="BI74" i="12"/>
  <c r="AU74" i="12"/>
  <c r="Q74" i="12"/>
  <c r="T74" i="12"/>
  <c r="I74" i="12"/>
  <c r="M74" i="12"/>
  <c r="AH74" i="12"/>
  <c r="AI74" i="12"/>
  <c r="W74" i="12"/>
  <c r="AB74" i="12"/>
  <c r="AW74" i="12"/>
  <c r="AX74" i="12"/>
  <c r="AL74" i="12"/>
  <c r="AR74" i="12"/>
  <c r="BB74" i="12"/>
  <c r="BH74" i="12"/>
  <c r="BM74" i="12"/>
  <c r="BO74" i="12"/>
  <c r="BL74" i="12"/>
  <c r="BC74" i="12"/>
  <c r="AQ74" i="12"/>
  <c r="AE74" i="12"/>
  <c r="AA74" i="12"/>
  <c r="S74" i="12"/>
  <c r="AN74" i="12"/>
  <c r="R74" i="12"/>
  <c r="BA74" i="12"/>
  <c r="AF74" i="12"/>
  <c r="AS74" i="12"/>
  <c r="BF74" i="12"/>
  <c r="BS74" i="12"/>
  <c r="AL74" i="7"/>
  <c r="BC74" i="7"/>
  <c r="BN74" i="7"/>
  <c r="AP74" i="7"/>
  <c r="AW74" i="7"/>
  <c r="AF74" i="7"/>
  <c r="AQ74" i="7"/>
  <c r="M74" i="7"/>
  <c r="X74" i="7"/>
  <c r="BT74" i="7"/>
  <c r="BA74" i="7"/>
  <c r="S74" i="7"/>
  <c r="R74" i="7"/>
  <c r="Y74" i="7"/>
  <c r="BO74" i="7"/>
  <c r="AE74" i="7"/>
  <c r="Q74" i="7"/>
  <c r="BI74" i="7"/>
  <c r="BE74" i="7"/>
  <c r="BJ74" i="7"/>
  <c r="AB74" i="7"/>
  <c r="AG74" i="7"/>
  <c r="I74" i="7"/>
  <c r="N74" i="7"/>
  <c r="BD74" i="7"/>
  <c r="BK74" i="7"/>
  <c r="AZ74" i="7"/>
  <c r="AS74" i="7"/>
  <c r="AC74" i="7"/>
  <c r="AM74" i="7"/>
  <c r="H74" i="7"/>
  <c r="AV74" i="7"/>
  <c r="O74" i="7"/>
  <c r="BQ74" i="7"/>
  <c r="AA74" i="7"/>
  <c r="BH74" i="7"/>
  <c r="AO74" i="7"/>
  <c r="I73" i="11"/>
  <c r="AX73" i="11"/>
  <c r="AT73" i="11"/>
  <c r="AS73" i="11"/>
  <c r="AR73" i="11"/>
  <c r="AQ73" i="11"/>
  <c r="K73" i="11"/>
  <c r="AH73" i="11"/>
  <c r="BO73" i="11"/>
  <c r="Y73" i="11"/>
  <c r="AE73" i="11"/>
  <c r="BR73" i="11"/>
  <c r="BJ73" i="11"/>
  <c r="J73" i="11"/>
  <c r="AA73" i="11"/>
  <c r="BI73" i="11"/>
  <c r="L73" i="11"/>
  <c r="BH73" i="11"/>
  <c r="Z73" i="11"/>
  <c r="BG73" i="11"/>
  <c r="S73" i="11"/>
  <c r="BT73" i="11"/>
  <c r="X73" i="11"/>
  <c r="AU73" i="11"/>
  <c r="M73" i="11"/>
  <c r="BP73" i="11"/>
  <c r="BQ73" i="11"/>
  <c r="P73" i="11"/>
  <c r="BA73" i="11"/>
  <c r="BK73" i="11"/>
  <c r="BM73" i="11"/>
  <c r="AY73" i="11"/>
  <c r="AM73" i="11"/>
  <c r="V73" i="11"/>
  <c r="T73" i="11"/>
  <c r="AO73" i="11"/>
  <c r="AK73" i="11"/>
  <c r="H73" i="11"/>
  <c r="AI73" i="11"/>
  <c r="AC73" i="11"/>
  <c r="BE73" i="11"/>
  <c r="W73" i="11"/>
  <c r="R73" i="11"/>
  <c r="BC73" i="11"/>
  <c r="Q73" i="11"/>
  <c r="AL73" i="11"/>
  <c r="AD73" i="11"/>
  <c r="BS73" i="11"/>
  <c r="BN73" i="11"/>
  <c r="BL73" i="11"/>
  <c r="BF73" i="11"/>
  <c r="AP73" i="11"/>
  <c r="AF73" i="11"/>
  <c r="AG73" i="11"/>
  <c r="AJ73" i="11"/>
  <c r="AN73" i="11"/>
  <c r="AV73" i="11"/>
  <c r="AW73" i="11"/>
  <c r="BD73" i="11"/>
  <c r="AB73" i="11"/>
  <c r="U73" i="11"/>
  <c r="AZ73" i="11"/>
  <c r="BB73" i="11"/>
  <c r="N73" i="11"/>
  <c r="O73" i="11"/>
  <c r="D37" i="5"/>
  <c r="AA63" i="2"/>
  <c r="BO43" i="5"/>
  <c r="S43" i="5"/>
  <c r="BM37" i="5"/>
  <c r="BA37" i="5"/>
  <c r="AO37" i="5"/>
  <c r="AC37" i="5"/>
  <c r="Q37" i="5"/>
  <c r="BR99" i="5"/>
  <c r="BF99" i="5"/>
  <c r="AT99" i="5"/>
  <c r="J99" i="5"/>
  <c r="BK98" i="5"/>
  <c r="AY98" i="5"/>
  <c r="AM98" i="5"/>
  <c r="AA98" i="5"/>
  <c r="O98" i="5"/>
  <c r="BP49" i="5"/>
  <c r="BD49" i="5"/>
  <c r="H49" i="5"/>
  <c r="BI28" i="5"/>
  <c r="M28" i="5"/>
  <c r="BS70" i="5"/>
  <c r="BG70" i="5"/>
  <c r="K70" i="5"/>
  <c r="BL76" i="5"/>
  <c r="AZ76" i="5"/>
  <c r="BQ97" i="5"/>
  <c r="BE97" i="5"/>
  <c r="AS97" i="5"/>
  <c r="AG97" i="5"/>
  <c r="I97" i="5"/>
  <c r="BJ83" i="5"/>
  <c r="AX83" i="5"/>
  <c r="BO85" i="5"/>
  <c r="BC85" i="5"/>
  <c r="AQ85" i="5"/>
  <c r="AE85" i="5"/>
  <c r="S85" i="5"/>
  <c r="AG73" i="7"/>
  <c r="K74" i="7"/>
  <c r="AD74" i="7"/>
  <c r="W73" i="7"/>
  <c r="I69" i="7"/>
  <c r="H60" i="7"/>
  <c r="V48" i="7"/>
  <c r="BF70" i="7"/>
  <c r="M64" i="7"/>
  <c r="AF56" i="7"/>
  <c r="BR75" i="7"/>
  <c r="AS75" i="7"/>
  <c r="M75" i="7"/>
  <c r="O60" i="7"/>
  <c r="BI71" i="7"/>
  <c r="Q56" i="7"/>
  <c r="BO75" i="7"/>
  <c r="BC56" i="7"/>
  <c r="BJ73" i="7"/>
  <c r="BA68" i="7"/>
  <c r="AD73" i="7"/>
  <c r="BG73" i="7"/>
  <c r="BM54" i="7"/>
  <c r="AS59" i="7"/>
  <c r="AH59" i="7"/>
  <c r="BD59" i="7"/>
  <c r="Z63" i="7"/>
  <c r="AB63" i="7"/>
  <c r="BH63" i="7"/>
  <c r="BL65" i="7"/>
  <c r="BJ54" i="7"/>
  <c r="K43" i="7"/>
  <c r="AX57" i="7"/>
  <c r="BG55" i="7"/>
  <c r="BJ55" i="7"/>
  <c r="BI54" i="7"/>
  <c r="AX67" i="7"/>
  <c r="BF54" i="7"/>
  <c r="BS43" i="7"/>
  <c r="BH67" i="7"/>
  <c r="AV34" i="12"/>
  <c r="AG34" i="10"/>
  <c r="D93" i="5"/>
  <c r="BK31" i="5"/>
  <c r="D71" i="5"/>
  <c r="D69" i="5"/>
  <c r="BH31" i="5"/>
  <c r="H37" i="7"/>
  <c r="X33" i="12"/>
  <c r="AJ33" i="10"/>
  <c r="BB55" i="10"/>
  <c r="Z26" i="12"/>
  <c r="M62" i="10"/>
  <c r="AE93" i="5"/>
  <c r="AN19" i="11"/>
  <c r="AC74" i="5"/>
  <c r="U24" i="2"/>
  <c r="AA35" i="2"/>
  <c r="X34" i="2"/>
  <c r="L34" i="2"/>
  <c r="N40" i="11"/>
  <c r="J40" i="11"/>
  <c r="L40" i="11"/>
  <c r="H40" i="11"/>
  <c r="BT40" i="11"/>
  <c r="BS40" i="11"/>
  <c r="M40" i="11"/>
  <c r="BQ40" i="11"/>
  <c r="I40" i="11"/>
  <c r="BR40" i="11"/>
  <c r="O40" i="11"/>
  <c r="K40" i="11"/>
  <c r="BO40" i="11"/>
  <c r="BJ40" i="11"/>
  <c r="BI40" i="11"/>
  <c r="BH40" i="11"/>
  <c r="BM40" i="11"/>
  <c r="BP40" i="11"/>
  <c r="BL40" i="11"/>
  <c r="BK40" i="11"/>
  <c r="BN40" i="11"/>
  <c r="BH40" i="7"/>
  <c r="BL40" i="7"/>
  <c r="BN40" i="7"/>
  <c r="BG40" i="7"/>
  <c r="BQ40" i="7"/>
  <c r="BP40" i="7"/>
  <c r="BK40" i="7"/>
  <c r="BR40" i="7"/>
  <c r="BI40" i="7"/>
  <c r="BJ40" i="7"/>
  <c r="BF40" i="7"/>
  <c r="BO40" i="7"/>
  <c r="BE40" i="7"/>
  <c r="BS40" i="7"/>
  <c r="BD40" i="7"/>
  <c r="BM40" i="7"/>
  <c r="BT40" i="7"/>
  <c r="X30" i="2"/>
  <c r="L30" i="2"/>
  <c r="AQ36" i="10"/>
  <c r="X26" i="2"/>
  <c r="BJ55" i="10"/>
  <c r="BM55" i="10"/>
  <c r="BK55" i="10"/>
  <c r="BI55" i="10"/>
  <c r="BL55" i="10"/>
  <c r="H55" i="10"/>
  <c r="J55" i="10"/>
  <c r="L55" i="10"/>
  <c r="BQ55" i="10"/>
  <c r="BS55" i="10"/>
  <c r="BE55" i="10"/>
  <c r="BO55" i="10"/>
  <c r="BG55" i="10"/>
  <c r="I55" i="10"/>
  <c r="N55" i="10"/>
  <c r="BP55" i="10"/>
  <c r="K55" i="10"/>
  <c r="BD55" i="10"/>
  <c r="BT55" i="10"/>
  <c r="BR55" i="10"/>
  <c r="BH55" i="10"/>
  <c r="BF55" i="10"/>
  <c r="BN55" i="10"/>
  <c r="M55" i="10"/>
  <c r="AA21" i="2"/>
  <c r="N27" i="11"/>
  <c r="BG27" i="7"/>
  <c r="AY27" i="7"/>
  <c r="I27" i="7"/>
  <c r="BO27" i="7"/>
  <c r="K27" i="7"/>
  <c r="BN27" i="7"/>
  <c r="O27" i="7"/>
  <c r="BJ27" i="7"/>
  <c r="BP27" i="7"/>
  <c r="BR27" i="7"/>
  <c r="BF27" i="7"/>
  <c r="H27" i="7"/>
  <c r="L27" i="7"/>
  <c r="M27" i="7"/>
  <c r="BD27" i="7"/>
  <c r="J27" i="7"/>
  <c r="BT27" i="7"/>
  <c r="BH27" i="7"/>
  <c r="BI27" i="7"/>
  <c r="BK27" i="7"/>
  <c r="BL27" i="7"/>
  <c r="BB27" i="7"/>
  <c r="BS27" i="7"/>
  <c r="BQ27" i="7"/>
  <c r="AV27" i="7"/>
  <c r="BE27" i="7"/>
  <c r="BM27" i="7"/>
  <c r="W25" i="12"/>
  <c r="BS25" i="12"/>
  <c r="U25" i="12"/>
  <c r="BQ25" i="12"/>
  <c r="S25" i="12"/>
  <c r="BO25" i="12"/>
  <c r="Q25" i="12"/>
  <c r="BM25" i="12"/>
  <c r="P25" i="12"/>
  <c r="BL25" i="12"/>
  <c r="O25" i="12"/>
  <c r="BK25" i="12"/>
  <c r="K25" i="12"/>
  <c r="I25" i="12"/>
  <c r="BJ25" i="12"/>
  <c r="BI25" i="12"/>
  <c r="BP25" i="12"/>
  <c r="AA25" i="12"/>
  <c r="L25" i="12"/>
  <c r="X25" i="12"/>
  <c r="J25" i="12"/>
  <c r="R25" i="12"/>
  <c r="V25" i="12"/>
  <c r="BH25" i="12"/>
  <c r="H25" i="12"/>
  <c r="BR25" i="12"/>
  <c r="M25" i="12"/>
  <c r="BN25" i="12"/>
  <c r="T25" i="12"/>
  <c r="Y25" i="12"/>
  <c r="N25" i="12"/>
  <c r="Z25" i="12"/>
  <c r="BI23" i="11"/>
  <c r="BG21" i="11"/>
  <c r="BI21" i="11"/>
  <c r="BJ21" i="11"/>
  <c r="K21" i="11"/>
  <c r="BR21" i="11"/>
  <c r="L21" i="11"/>
  <c r="BT21" i="11"/>
  <c r="BH21" i="11"/>
  <c r="M21" i="11"/>
  <c r="W21" i="11"/>
  <c r="N21" i="11"/>
  <c r="R21" i="11"/>
  <c r="BD21" i="11"/>
  <c r="BP21" i="11"/>
  <c r="BE21" i="11"/>
  <c r="O21" i="11"/>
  <c r="BQ21" i="11"/>
  <c r="P21" i="11"/>
  <c r="BO21" i="11"/>
  <c r="BN21" i="11"/>
  <c r="Q21" i="11"/>
  <c r="BK21" i="11"/>
  <c r="J21" i="11"/>
  <c r="BL21" i="11"/>
  <c r="V21" i="11"/>
  <c r="H21" i="11"/>
  <c r="BM21" i="11"/>
  <c r="T21" i="11"/>
  <c r="I21" i="11"/>
  <c r="U21" i="11"/>
  <c r="BF21" i="11"/>
  <c r="S21" i="11"/>
  <c r="L50" i="10"/>
  <c r="BN50" i="10"/>
  <c r="BO50" i="10"/>
  <c r="BM50" i="10"/>
  <c r="BF50" i="10"/>
  <c r="AY50" i="10"/>
  <c r="J50" i="10"/>
  <c r="BK50" i="10"/>
  <c r="BP50" i="10"/>
  <c r="BH50" i="10"/>
  <c r="BL50" i="10"/>
  <c r="BQ50" i="10"/>
  <c r="M50" i="10"/>
  <c r="BS50" i="10"/>
  <c r="BG50" i="10"/>
  <c r="H50" i="10"/>
  <c r="I50" i="10"/>
  <c r="BJ50" i="10"/>
  <c r="BC50" i="10"/>
  <c r="AX50" i="10"/>
  <c r="BR50" i="10"/>
  <c r="BD50" i="10"/>
  <c r="BE50" i="10"/>
  <c r="K50" i="10"/>
  <c r="BT50" i="10"/>
  <c r="BI50" i="10"/>
  <c r="BO19" i="5"/>
  <c r="BB19" i="5"/>
  <c r="BH19" i="5"/>
  <c r="L80" i="5"/>
  <c r="L47" i="2"/>
  <c r="AA38" i="2"/>
  <c r="I51" i="2"/>
  <c r="O50" i="11"/>
  <c r="BA50" i="7"/>
  <c r="S19" i="5"/>
  <c r="I41" i="2"/>
  <c r="AC46" i="10"/>
  <c r="U37" i="2"/>
  <c r="AT58" i="11"/>
  <c r="AC47" i="10"/>
  <c r="X48" i="2"/>
  <c r="BF55" i="7"/>
  <c r="AQ42" i="10"/>
  <c r="Z52" i="7"/>
  <c r="AE35" i="5"/>
  <c r="BF69" i="10"/>
  <c r="BD69" i="10"/>
  <c r="J69" i="10"/>
  <c r="AT69" i="10"/>
  <c r="BQ69" i="10"/>
  <c r="BH69" i="10"/>
  <c r="BR69" i="10"/>
  <c r="BK69" i="10"/>
  <c r="AW69" i="10"/>
  <c r="AY69" i="10"/>
  <c r="M69" i="10"/>
  <c r="H69" i="10"/>
  <c r="BO69" i="10"/>
  <c r="BE69" i="10"/>
  <c r="AV69" i="10"/>
  <c r="BS69" i="10"/>
  <c r="AX69" i="10"/>
  <c r="AZ69" i="10"/>
  <c r="BN69" i="10"/>
  <c r="BG69" i="10"/>
  <c r="L69" i="10"/>
  <c r="BT69" i="10"/>
  <c r="AU69" i="10"/>
  <c r="BJ69" i="10"/>
  <c r="BC69" i="10"/>
  <c r="W69" i="10"/>
  <c r="Z69" i="10"/>
  <c r="S69" i="10"/>
  <c r="BA69" i="10"/>
  <c r="BB69" i="10"/>
  <c r="K69" i="10"/>
  <c r="I69" i="10"/>
  <c r="BM69" i="10"/>
  <c r="BP69" i="10"/>
  <c r="BI69" i="10"/>
  <c r="U58" i="2"/>
  <c r="V61" i="12"/>
  <c r="L68" i="2"/>
  <c r="AU74" i="11"/>
  <c r="I67" i="2"/>
  <c r="U66" i="2"/>
  <c r="BN43" i="5"/>
  <c r="R43" i="5"/>
  <c r="BL37" i="5"/>
  <c r="AZ37" i="5"/>
  <c r="AN37" i="5"/>
  <c r="AB37" i="5"/>
  <c r="P37" i="5"/>
  <c r="BQ99" i="5"/>
  <c r="BE99" i="5"/>
  <c r="AS99" i="5"/>
  <c r="I99" i="5"/>
  <c r="BJ98" i="5"/>
  <c r="AX98" i="5"/>
  <c r="AL98" i="5"/>
  <c r="Z98" i="5"/>
  <c r="N98" i="5"/>
  <c r="BO49" i="5"/>
  <c r="BC49" i="5"/>
  <c r="BT28" i="5"/>
  <c r="BH28" i="5"/>
  <c r="L28" i="5"/>
  <c r="BR70" i="5"/>
  <c r="BF70" i="5"/>
  <c r="J70" i="5"/>
  <c r="BK76" i="5"/>
  <c r="AY76" i="5"/>
  <c r="BP97" i="5"/>
  <c r="BD97" i="5"/>
  <c r="AR97" i="5"/>
  <c r="AF97" i="5"/>
  <c r="T97" i="5"/>
  <c r="H97" i="5"/>
  <c r="BI83" i="5"/>
  <c r="AW83" i="5"/>
  <c r="M83" i="5"/>
  <c r="BN85" i="5"/>
  <c r="BB85" i="5"/>
  <c r="AP85" i="5"/>
  <c r="AD85" i="5"/>
  <c r="R85" i="5"/>
  <c r="BP74" i="7"/>
  <c r="AS73" i="7"/>
  <c r="W74" i="7"/>
  <c r="P74" i="7"/>
  <c r="BD72" i="7"/>
  <c r="AU72" i="7"/>
  <c r="BL68" i="7"/>
  <c r="BF58" i="7"/>
  <c r="J48" i="7"/>
  <c r="BS73" i="7"/>
  <c r="M70" i="7"/>
  <c r="BS70" i="7"/>
  <c r="BC70" i="7"/>
  <c r="S56" i="7"/>
  <c r="J75" i="7"/>
  <c r="BI75" i="7"/>
  <c r="BO48" i="7"/>
  <c r="AP56" i="7"/>
  <c r="AI73" i="7"/>
  <c r="BO71" i="7"/>
  <c r="BM68" i="7"/>
  <c r="AW73" i="7"/>
  <c r="K73" i="7"/>
  <c r="BQ61" i="7"/>
  <c r="AW54" i="7"/>
  <c r="BM41" i="7"/>
  <c r="BJ61" i="7"/>
  <c r="BF61" i="7"/>
  <c r="BH59" i="7"/>
  <c r="AX59" i="7"/>
  <c r="BP59" i="7"/>
  <c r="I65" i="7"/>
  <c r="AS63" i="7"/>
  <c r="AQ63" i="7"/>
  <c r="BT63" i="7"/>
  <c r="AM65" i="7"/>
  <c r="BI41" i="7"/>
  <c r="BG61" i="7"/>
  <c r="BK57" i="7"/>
  <c r="BJ65" i="7"/>
  <c r="BQ62" i="7"/>
  <c r="BS54" i="7"/>
  <c r="BD43" i="7"/>
  <c r="H67" i="7"/>
  <c r="BF42" i="12"/>
  <c r="Q42" i="12"/>
  <c r="BS42" i="12"/>
  <c r="BE42" i="12"/>
  <c r="BR42" i="12"/>
  <c r="BD42" i="12"/>
  <c r="O42" i="12"/>
  <c r="BQ42" i="12"/>
  <c r="N42" i="12"/>
  <c r="BP42" i="12"/>
  <c r="M42" i="12"/>
  <c r="BM42" i="12"/>
  <c r="Z42" i="12"/>
  <c r="L42" i="12"/>
  <c r="BL42" i="12"/>
  <c r="K42" i="12"/>
  <c r="BK42" i="12"/>
  <c r="J42" i="12"/>
  <c r="BJ42" i="12"/>
  <c r="I42" i="12"/>
  <c r="BH42" i="12"/>
  <c r="U42" i="12"/>
  <c r="BO42" i="12"/>
  <c r="H42" i="12"/>
  <c r="BI42" i="12"/>
  <c r="AZ42" i="12"/>
  <c r="AY42" i="12"/>
  <c r="AU42" i="12"/>
  <c r="AC42" i="12"/>
  <c r="AW42" i="12"/>
  <c r="AX42" i="12"/>
  <c r="BB42" i="12"/>
  <c r="BN42" i="12"/>
  <c r="BC42" i="12"/>
  <c r="AE27" i="12"/>
  <c r="AG27" i="7"/>
  <c r="BA42" i="12"/>
  <c r="BA42" i="11"/>
  <c r="X29" i="10"/>
  <c r="BS31" i="5"/>
  <c r="E27" i="2"/>
  <c r="D73" i="5"/>
  <c r="D88" i="5"/>
  <c r="D25" i="5"/>
  <c r="D24" i="5"/>
  <c r="D29" i="5"/>
  <c r="BB24" i="10"/>
  <c r="AP22" i="7"/>
  <c r="Y22" i="11"/>
  <c r="D72" i="5"/>
  <c r="BJ73" i="5"/>
  <c r="I30" i="2"/>
  <c r="I35" i="2"/>
  <c r="BH17" i="12"/>
  <c r="BS17" i="12"/>
  <c r="P17" i="12"/>
  <c r="BE17" i="12"/>
  <c r="M17" i="12"/>
  <c r="N17" i="12"/>
  <c r="BN17" i="12"/>
  <c r="J17" i="12"/>
  <c r="K17" i="12"/>
  <c r="L17" i="12"/>
  <c r="O17" i="12"/>
  <c r="U17" i="12"/>
  <c r="S17" i="12"/>
  <c r="BI17" i="12"/>
  <c r="BJ17" i="12"/>
  <c r="BL17" i="12"/>
  <c r="BF17" i="12"/>
  <c r="BG17" i="12"/>
  <c r="BK17" i="12"/>
  <c r="BQ17" i="12"/>
  <c r="V17" i="12"/>
  <c r="BO17" i="12"/>
  <c r="T17" i="12"/>
  <c r="BR17" i="12"/>
  <c r="BM17" i="12"/>
  <c r="H17" i="12"/>
  <c r="W17" i="12"/>
  <c r="BP17" i="12"/>
  <c r="I17" i="12"/>
  <c r="R17" i="12"/>
  <c r="Q17" i="12"/>
  <c r="BD17" i="12"/>
  <c r="U33" i="2"/>
  <c r="I33" i="2"/>
  <c r="BQ39" i="10"/>
  <c r="BK39" i="10"/>
  <c r="I39" i="10"/>
  <c r="BN39" i="10"/>
  <c r="BJ39" i="10"/>
  <c r="K39" i="10"/>
  <c r="BI39" i="10"/>
  <c r="BD39" i="10"/>
  <c r="AY39" i="10"/>
  <c r="BR39" i="10"/>
  <c r="BF39" i="10"/>
  <c r="M39" i="10"/>
  <c r="H39" i="10"/>
  <c r="BM39" i="10"/>
  <c r="BH39" i="10"/>
  <c r="BT39" i="10"/>
  <c r="J39" i="10"/>
  <c r="BS39" i="10"/>
  <c r="BO39" i="10"/>
  <c r="L39" i="10"/>
  <c r="BL39" i="10"/>
  <c r="BG39" i="10"/>
  <c r="BE39" i="10"/>
  <c r="BP39" i="10"/>
  <c r="AA31" i="2"/>
  <c r="BQ36" i="10"/>
  <c r="BR36" i="10"/>
  <c r="AY36" i="10"/>
  <c r="BC36" i="10"/>
  <c r="BF36" i="10"/>
  <c r="BN36" i="10"/>
  <c r="BB36" i="10"/>
  <c r="AV36" i="10"/>
  <c r="BT36" i="10"/>
  <c r="AP36" i="10"/>
  <c r="BI36" i="10"/>
  <c r="BJ36" i="10"/>
  <c r="BS36" i="10"/>
  <c r="AO36" i="10"/>
  <c r="BA36" i="10"/>
  <c r="BH36" i="10"/>
  <c r="BE36" i="10"/>
  <c r="AT36" i="10"/>
  <c r="BG36" i="10"/>
  <c r="BO36" i="10"/>
  <c r="BD36" i="10"/>
  <c r="AW36" i="10"/>
  <c r="AR36" i="10"/>
  <c r="BK36" i="10"/>
  <c r="AU36" i="10"/>
  <c r="BL36" i="10"/>
  <c r="AZ36" i="10"/>
  <c r="AN36" i="10"/>
  <c r="AX36" i="10"/>
  <c r="BM36" i="10"/>
  <c r="BP36" i="10"/>
  <c r="I34" i="12"/>
  <c r="BO34" i="12"/>
  <c r="AK34" i="12"/>
  <c r="BK34" i="12"/>
  <c r="AY34" i="12"/>
  <c r="AP34" i="12"/>
  <c r="Y34" i="12"/>
  <c r="T34" i="12"/>
  <c r="BM34" i="12"/>
  <c r="BN34" i="12"/>
  <c r="Z34" i="12"/>
  <c r="BI34" i="12"/>
  <c r="BL34" i="12"/>
  <c r="BQ34" i="12"/>
  <c r="BP34" i="12"/>
  <c r="BS34" i="12"/>
  <c r="BG34" i="12"/>
  <c r="O34" i="12"/>
  <c r="S34" i="12"/>
  <c r="W34" i="12"/>
  <c r="K34" i="12"/>
  <c r="BE34" i="12"/>
  <c r="BR34" i="12"/>
  <c r="BF34" i="12"/>
  <c r="N34" i="12"/>
  <c r="P34" i="12"/>
  <c r="V34" i="12"/>
  <c r="H34" i="12"/>
  <c r="M34" i="12"/>
  <c r="BD34" i="12"/>
  <c r="BH34" i="12"/>
  <c r="Q34" i="12"/>
  <c r="U34" i="12"/>
  <c r="L34" i="12"/>
  <c r="AA34" i="12"/>
  <c r="X34" i="12"/>
  <c r="J34" i="12"/>
  <c r="R34" i="12"/>
  <c r="AF34" i="12"/>
  <c r="BJ34" i="12"/>
  <c r="BD33" i="7"/>
  <c r="BJ33" i="7"/>
  <c r="BH33" i="7"/>
  <c r="BI33" i="7"/>
  <c r="BG33" i="7"/>
  <c r="AY33" i="7"/>
  <c r="BT33" i="7"/>
  <c r="BO33" i="7"/>
  <c r="BF33" i="7"/>
  <c r="BQ33" i="7"/>
  <c r="BR33" i="7"/>
  <c r="BK33" i="7"/>
  <c r="BP33" i="7"/>
  <c r="BL33" i="7"/>
  <c r="BS33" i="7"/>
  <c r="BR32" i="10"/>
  <c r="BM32" i="10"/>
  <c r="BQ32" i="10"/>
  <c r="BT32" i="10"/>
  <c r="BP32" i="10"/>
  <c r="BH32" i="10"/>
  <c r="BO32" i="10"/>
  <c r="BJ32" i="10"/>
  <c r="BE32" i="10"/>
  <c r="BL32" i="10"/>
  <c r="BS32" i="10"/>
  <c r="BI32" i="10"/>
  <c r="BG32" i="10"/>
  <c r="AW32" i="10"/>
  <c r="BK32" i="10"/>
  <c r="BF32" i="10"/>
  <c r="BD32" i="10"/>
  <c r="AA24" i="2"/>
  <c r="BL30" i="11"/>
  <c r="O30" i="11"/>
  <c r="BM30" i="11"/>
  <c r="BJ30" i="11"/>
  <c r="I30" i="11"/>
  <c r="BK30" i="11"/>
  <c r="BN30" i="11"/>
  <c r="BP30" i="11"/>
  <c r="N30" i="11"/>
  <c r="J30" i="11"/>
  <c r="H30" i="11"/>
  <c r="BO30" i="11"/>
  <c r="BS30" i="11"/>
  <c r="BI30" i="11"/>
  <c r="M30" i="11"/>
  <c r="K30" i="11"/>
  <c r="BT30" i="11"/>
  <c r="BR30" i="11"/>
  <c r="BH30" i="11"/>
  <c r="BQ30" i="11"/>
  <c r="L30" i="11"/>
  <c r="BT30" i="7"/>
  <c r="K30" i="7"/>
  <c r="M30" i="7"/>
  <c r="BD30" i="7"/>
  <c r="BK30" i="7"/>
  <c r="BR30" i="7"/>
  <c r="H30" i="7"/>
  <c r="BH30" i="7"/>
  <c r="BQ30" i="7"/>
  <c r="BJ30" i="7"/>
  <c r="J30" i="7"/>
  <c r="BM30" i="7"/>
  <c r="BO30" i="7"/>
  <c r="L30" i="7"/>
  <c r="BI30" i="7"/>
  <c r="BP30" i="7"/>
  <c r="BS30" i="7"/>
  <c r="BN30" i="7"/>
  <c r="BL30" i="7"/>
  <c r="I30" i="7"/>
  <c r="BP27" i="11"/>
  <c r="BT27" i="11"/>
  <c r="M27" i="11"/>
  <c r="L27" i="11"/>
  <c r="P27" i="11"/>
  <c r="BK27" i="11"/>
  <c r="X27" i="11"/>
  <c r="BI27" i="11"/>
  <c r="K27" i="11"/>
  <c r="BH27" i="11"/>
  <c r="O27" i="11"/>
  <c r="H27" i="11"/>
  <c r="S27" i="11"/>
  <c r="R27" i="11"/>
  <c r="BM27" i="11"/>
  <c r="BN27" i="11"/>
  <c r="BS27" i="11"/>
  <c r="BO27" i="11"/>
  <c r="Q27" i="11"/>
  <c r="BJ27" i="11"/>
  <c r="I27" i="11"/>
  <c r="BR27" i="11"/>
  <c r="T27" i="11"/>
  <c r="BL27" i="11"/>
  <c r="V27" i="11"/>
  <c r="J27" i="11"/>
  <c r="BQ27" i="11"/>
  <c r="W27" i="11"/>
  <c r="U27" i="11"/>
  <c r="I20" i="2"/>
  <c r="X18" i="2"/>
  <c r="BE25" i="7"/>
  <c r="BI25" i="7"/>
  <c r="I25" i="7"/>
  <c r="M25" i="7"/>
  <c r="BM25" i="7"/>
  <c r="BQ25" i="7"/>
  <c r="BT25" i="7"/>
  <c r="BP25" i="7"/>
  <c r="BH25" i="7"/>
  <c r="BD25" i="7"/>
  <c r="BK25" i="7"/>
  <c r="BG25" i="7"/>
  <c r="L25" i="7"/>
  <c r="K25" i="7"/>
  <c r="BR25" i="7"/>
  <c r="H25" i="7"/>
  <c r="BN25" i="7"/>
  <c r="BF25" i="7"/>
  <c r="BJ25" i="7"/>
  <c r="BO25" i="7"/>
  <c r="J25" i="7"/>
  <c r="BL25" i="7"/>
  <c r="BS25" i="7"/>
  <c r="BP23" i="11"/>
  <c r="BJ23" i="11"/>
  <c r="BQ23" i="11"/>
  <c r="AY23" i="11"/>
  <c r="I23" i="11"/>
  <c r="BT23" i="11"/>
  <c r="AX23" i="11"/>
  <c r="AZ23" i="11"/>
  <c r="M23" i="11"/>
  <c r="N23" i="11"/>
  <c r="BK23" i="11"/>
  <c r="O23" i="11"/>
  <c r="BL23" i="11"/>
  <c r="BO23" i="11"/>
  <c r="AW23" i="11"/>
  <c r="BD23" i="11"/>
  <c r="H23" i="11"/>
  <c r="BF23" i="11"/>
  <c r="BR23" i="11"/>
  <c r="BG23" i="11"/>
  <c r="BS23" i="11"/>
  <c r="BA23" i="11"/>
  <c r="BM23" i="11"/>
  <c r="BB23" i="11"/>
  <c r="L23" i="11"/>
  <c r="BN23" i="11"/>
  <c r="BC23" i="11"/>
  <c r="BE23" i="11"/>
  <c r="AV23" i="11"/>
  <c r="J23" i="11"/>
  <c r="BH23" i="11"/>
  <c r="K23" i="11"/>
  <c r="BS27" i="10"/>
  <c r="AA13" i="2"/>
  <c r="L13" i="2"/>
  <c r="W18" i="12"/>
  <c r="H18" i="12"/>
  <c r="BS18" i="12"/>
  <c r="V18" i="12"/>
  <c r="BO18" i="12"/>
  <c r="BR18" i="12"/>
  <c r="U18" i="12"/>
  <c r="BQ18" i="12"/>
  <c r="T18" i="12"/>
  <c r="BP18" i="12"/>
  <c r="P18" i="12"/>
  <c r="BL18" i="12"/>
  <c r="O18" i="12"/>
  <c r="BK18" i="12"/>
  <c r="N18" i="12"/>
  <c r="BJ18" i="12"/>
  <c r="M18" i="12"/>
  <c r="BI18" i="12"/>
  <c r="AA18" i="12"/>
  <c r="L18" i="12"/>
  <c r="Y18" i="12"/>
  <c r="J18" i="12"/>
  <c r="BH18" i="12"/>
  <c r="Z18" i="12"/>
  <c r="X18" i="12"/>
  <c r="K18" i="12"/>
  <c r="I18" i="12"/>
  <c r="R18" i="12"/>
  <c r="BN18" i="12"/>
  <c r="Q18" i="12"/>
  <c r="BM18" i="12"/>
  <c r="S18" i="12"/>
  <c r="BT18" i="7"/>
  <c r="BP18" i="7"/>
  <c r="AD18" i="7"/>
  <c r="BL18" i="7"/>
  <c r="BH18" i="7"/>
  <c r="X18" i="7"/>
  <c r="BG18" i="7"/>
  <c r="BE18" i="7"/>
  <c r="BA18" i="7"/>
  <c r="P18" i="7"/>
  <c r="AX18" i="7"/>
  <c r="J18" i="7"/>
  <c r="AR18" i="7"/>
  <c r="BR18" i="7"/>
  <c r="BI18" i="7"/>
  <c r="AN18" i="7"/>
  <c r="H18" i="7"/>
  <c r="BJ18" i="7"/>
  <c r="K18" i="7"/>
  <c r="Y18" i="7"/>
  <c r="BN18" i="7"/>
  <c r="M18" i="7"/>
  <c r="AZ18" i="7"/>
  <c r="R18" i="7"/>
  <c r="BK18" i="7"/>
  <c r="BO18" i="7"/>
  <c r="AL18" i="7"/>
  <c r="L18" i="7"/>
  <c r="AV18" i="7"/>
  <c r="AF18" i="7"/>
  <c r="AQ18" i="7"/>
  <c r="I18" i="7"/>
  <c r="BS18" i="7"/>
  <c r="BD18" i="7"/>
  <c r="BM18" i="7"/>
  <c r="O18" i="7"/>
  <c r="AY18" i="7"/>
  <c r="BQ18" i="7"/>
  <c r="BF18" i="7"/>
  <c r="AS19" i="5"/>
  <c r="L19" i="5"/>
  <c r="BG19" i="5"/>
  <c r="BL19" i="5"/>
  <c r="AM19" i="5"/>
  <c r="BB94" i="5"/>
  <c r="BM94" i="5"/>
  <c r="L49" i="7"/>
  <c r="BF49" i="7"/>
  <c r="BH49" i="7"/>
  <c r="H49" i="7"/>
  <c r="BS49" i="7"/>
  <c r="BO49" i="7"/>
  <c r="BN49" i="7"/>
  <c r="BI49" i="7"/>
  <c r="BL49" i="7"/>
  <c r="BG49" i="7"/>
  <c r="M49" i="7"/>
  <c r="BM49" i="7"/>
  <c r="K49" i="7"/>
  <c r="BT49" i="7"/>
  <c r="BJ49" i="7"/>
  <c r="BP49" i="7"/>
  <c r="I49" i="7"/>
  <c r="BD49" i="7"/>
  <c r="BK49" i="7"/>
  <c r="BQ49" i="7"/>
  <c r="J49" i="7"/>
  <c r="BE49" i="7"/>
  <c r="BR49" i="7"/>
  <c r="BP48" i="11"/>
  <c r="BQ48" i="11"/>
  <c r="BK48" i="11"/>
  <c r="BL48" i="11"/>
  <c r="V48" i="11"/>
  <c r="J48" i="11"/>
  <c r="AA48" i="11"/>
  <c r="BT48" i="11"/>
  <c r="H48" i="11"/>
  <c r="O48" i="11"/>
  <c r="BH48" i="11"/>
  <c r="BJ48" i="11"/>
  <c r="BO48" i="11"/>
  <c r="S48" i="11"/>
  <c r="K48" i="11"/>
  <c r="BN48" i="11"/>
  <c r="BS48" i="11"/>
  <c r="BR48" i="11"/>
  <c r="BM48" i="11"/>
  <c r="BD48" i="11"/>
  <c r="I48" i="11"/>
  <c r="BI48" i="11"/>
  <c r="R47" i="7"/>
  <c r="X79" i="5"/>
  <c r="BS45" i="7"/>
  <c r="H45" i="7"/>
  <c r="BT45" i="7"/>
  <c r="BE45" i="7"/>
  <c r="BI45" i="7"/>
  <c r="BH45" i="7"/>
  <c r="BM45" i="7"/>
  <c r="J45" i="7"/>
  <c r="BP45" i="7"/>
  <c r="K45" i="7"/>
  <c r="I45" i="7"/>
  <c r="BR45" i="7"/>
  <c r="BF45" i="7"/>
  <c r="BN45" i="7"/>
  <c r="BG45" i="7"/>
  <c r="L45" i="7"/>
  <c r="BJ45" i="7"/>
  <c r="BD45" i="7"/>
  <c r="M45" i="7"/>
  <c r="BB45" i="7"/>
  <c r="K55" i="7"/>
  <c r="BO55" i="7"/>
  <c r="BH55" i="7"/>
  <c r="L55" i="7"/>
  <c r="O55" i="7"/>
  <c r="BR55" i="7"/>
  <c r="BP55" i="7"/>
  <c r="BL55" i="7"/>
  <c r="BK55" i="7"/>
  <c r="BD55" i="7"/>
  <c r="BT55" i="7"/>
  <c r="BS55" i="7"/>
  <c r="P55" i="7"/>
  <c r="BM54" i="11"/>
  <c r="BR54" i="11"/>
  <c r="BK54" i="11"/>
  <c r="K54" i="11"/>
  <c r="L54" i="11"/>
  <c r="N54" i="11"/>
  <c r="M54" i="11"/>
  <c r="O54" i="11"/>
  <c r="J54" i="11"/>
  <c r="BS54" i="11"/>
  <c r="BH54" i="11"/>
  <c r="BT54" i="11"/>
  <c r="BJ54" i="11"/>
  <c r="BI54" i="11"/>
  <c r="BO54" i="11"/>
  <c r="BL54" i="11"/>
  <c r="BN54" i="11"/>
  <c r="I54" i="11"/>
  <c r="H54" i="11"/>
  <c r="BQ54" i="11"/>
  <c r="BP54" i="11"/>
  <c r="D89" i="5"/>
  <c r="AY53" i="10"/>
  <c r="BP53" i="10"/>
  <c r="BO53" i="10"/>
  <c r="BI53" i="10"/>
  <c r="BJ53" i="10"/>
  <c r="BG53" i="10"/>
  <c r="BK53" i="10"/>
  <c r="BS53" i="10"/>
  <c r="BM53" i="10"/>
  <c r="AU53" i="10"/>
  <c r="AZ53" i="10"/>
  <c r="BL53" i="10"/>
  <c r="BB53" i="10"/>
  <c r="BN53" i="10"/>
  <c r="BC53" i="10"/>
  <c r="BD53" i="10"/>
  <c r="BH53" i="10"/>
  <c r="BT53" i="10"/>
  <c r="BE53" i="10"/>
  <c r="BQ53" i="10"/>
  <c r="AW53" i="10"/>
  <c r="AT53" i="10"/>
  <c r="BF53" i="10"/>
  <c r="BR53" i="10"/>
  <c r="D28" i="5"/>
  <c r="AV68" i="12"/>
  <c r="P68" i="10"/>
  <c r="AR68" i="7"/>
  <c r="D97" i="5"/>
  <c r="BO64" i="10"/>
  <c r="BE64" i="10"/>
  <c r="AX64" i="10"/>
  <c r="BS64" i="10"/>
  <c r="BJ64" i="10"/>
  <c r="BK64" i="10"/>
  <c r="BL64" i="10"/>
  <c r="J64" i="10"/>
  <c r="L64" i="10"/>
  <c r="BN64" i="10"/>
  <c r="AT64" i="10"/>
  <c r="BR64" i="10"/>
  <c r="AZ64" i="10"/>
  <c r="AW64" i="10"/>
  <c r="BC64" i="10"/>
  <c r="H64" i="10"/>
  <c r="BM64" i="10"/>
  <c r="M64" i="10"/>
  <c r="K64" i="10"/>
  <c r="BT64" i="10"/>
  <c r="BP64" i="10"/>
  <c r="BH64" i="10"/>
  <c r="BB64" i="10"/>
  <c r="AV64" i="10"/>
  <c r="BG64" i="10"/>
  <c r="BA64" i="10"/>
  <c r="BI64" i="10"/>
  <c r="BQ64" i="10"/>
  <c r="AY64" i="10"/>
  <c r="BD64" i="10"/>
  <c r="AU64" i="10"/>
  <c r="I64" i="10"/>
  <c r="BF64" i="10"/>
  <c r="D83" i="5"/>
  <c r="AA53" i="2"/>
  <c r="BE59" i="7"/>
  <c r="BB75" i="12"/>
  <c r="BE75" i="12"/>
  <c r="AH75" i="12"/>
  <c r="N75" i="12"/>
  <c r="H75" i="12"/>
  <c r="AW75" i="12"/>
  <c r="AE75" i="12"/>
  <c r="AA75" i="12"/>
  <c r="BM75" i="12"/>
  <c r="AJ75" i="12"/>
  <c r="R75" i="12"/>
  <c r="Q75" i="12"/>
  <c r="AU75" i="12"/>
  <c r="AZ75" i="12"/>
  <c r="W75" i="12"/>
  <c r="AC75" i="12"/>
  <c r="AO75" i="12"/>
  <c r="BR75" i="12"/>
  <c r="AM75" i="12"/>
  <c r="J75" i="12"/>
  <c r="BA75" i="12"/>
  <c r="BL75" i="12"/>
  <c r="AB75" i="12"/>
  <c r="Z75" i="12"/>
  <c r="BI75" i="12"/>
  <c r="AD75" i="12"/>
  <c r="P75" i="12"/>
  <c r="Y75" i="12"/>
  <c r="AY75" i="12"/>
  <c r="M75" i="12"/>
  <c r="AV75" i="12"/>
  <c r="AN75" i="12"/>
  <c r="U75" i="12"/>
  <c r="AT75" i="12"/>
  <c r="BK75" i="12"/>
  <c r="AI75" i="12"/>
  <c r="O75" i="12"/>
  <c r="BH75" i="12"/>
  <c r="AQ75" i="12"/>
  <c r="BQ75" i="12"/>
  <c r="BP75" i="12"/>
  <c r="AX75" i="12"/>
  <c r="V75" i="12"/>
  <c r="AL75" i="12"/>
  <c r="BO75" i="12"/>
  <c r="BD75" i="12"/>
  <c r="AK75" i="12"/>
  <c r="I75" i="12"/>
  <c r="BG75" i="12"/>
  <c r="S75" i="12"/>
  <c r="AR75" i="12"/>
  <c r="X75" i="12"/>
  <c r="BS75" i="12"/>
  <c r="L75" i="12"/>
  <c r="AP75" i="12"/>
  <c r="AF75" i="12"/>
  <c r="K75" i="12"/>
  <c r="BF75" i="12"/>
  <c r="AG75" i="12"/>
  <c r="BN75" i="12"/>
  <c r="BC75" i="12"/>
  <c r="T75" i="12"/>
  <c r="BJ75" i="12"/>
  <c r="AS75" i="12"/>
  <c r="AC74" i="11"/>
  <c r="AF74" i="11"/>
  <c r="O74" i="11"/>
  <c r="BJ74" i="11"/>
  <c r="AK74" i="11"/>
  <c r="AV74" i="11"/>
  <c r="AG74" i="11"/>
  <c r="AH74" i="11"/>
  <c r="M74" i="11"/>
  <c r="AX74" i="11"/>
  <c r="BH74" i="11"/>
  <c r="Q74" i="11"/>
  <c r="BR74" i="11"/>
  <c r="AJ74" i="11"/>
  <c r="AS74" i="11"/>
  <c r="BD74" i="11"/>
  <c r="V74" i="11"/>
  <c r="BO74" i="11"/>
  <c r="W74" i="11"/>
  <c r="K74" i="11"/>
  <c r="P74" i="11"/>
  <c r="BM74" i="11"/>
  <c r="BT74" i="11"/>
  <c r="AN74" i="11"/>
  <c r="H74" i="11"/>
  <c r="BA74" i="11"/>
  <c r="BG74" i="11"/>
  <c r="AI74" i="11"/>
  <c r="AM74" i="11"/>
  <c r="T74" i="11"/>
  <c r="BF74" i="11"/>
  <c r="Z74" i="11"/>
  <c r="BI74" i="11"/>
  <c r="BK74" i="11"/>
  <c r="AT74" i="11"/>
  <c r="AR74" i="11"/>
  <c r="L74" i="11"/>
  <c r="BQ74" i="11"/>
  <c r="AB74" i="11"/>
  <c r="BP74" i="11"/>
  <c r="N74" i="11"/>
  <c r="AZ74" i="11"/>
  <c r="BS74" i="11"/>
  <c r="AL74" i="11"/>
  <c r="U74" i="11"/>
  <c r="BE74" i="11"/>
  <c r="X74" i="11"/>
  <c r="AW74" i="11"/>
  <c r="AY74" i="11"/>
  <c r="Y74" i="11"/>
  <c r="AO74" i="11"/>
  <c r="J74" i="11"/>
  <c r="I74" i="11"/>
  <c r="AA74" i="11"/>
  <c r="BL74" i="11"/>
  <c r="AQ74" i="11"/>
  <c r="BC74" i="11"/>
  <c r="R74" i="11"/>
  <c r="AD74" i="11"/>
  <c r="AP74" i="11"/>
  <c r="BB74" i="11"/>
  <c r="BN74" i="11"/>
  <c r="S74" i="11"/>
  <c r="AE74" i="11"/>
  <c r="AB72" i="12"/>
  <c r="AH72" i="11"/>
  <c r="X99" i="5"/>
  <c r="AR70" i="12"/>
  <c r="AO70" i="12"/>
  <c r="BL70" i="12"/>
  <c r="AP70" i="12"/>
  <c r="BR70" i="12"/>
  <c r="BC70" i="12"/>
  <c r="P70" i="12"/>
  <c r="L70" i="12"/>
  <c r="BH70" i="12"/>
  <c r="BI70" i="12"/>
  <c r="BF70" i="12"/>
  <c r="AM70" i="12"/>
  <c r="BO70" i="12"/>
  <c r="BK70" i="12"/>
  <c r="AW70" i="12"/>
  <c r="AT70" i="12"/>
  <c r="S70" i="12"/>
  <c r="AY70" i="12"/>
  <c r="AQ70" i="12"/>
  <c r="H70" i="12"/>
  <c r="AK70" i="12"/>
  <c r="AH70" i="12"/>
  <c r="BB70" i="12"/>
  <c r="AE70" i="12"/>
  <c r="AA70" i="12"/>
  <c r="BJ70" i="12"/>
  <c r="Y70" i="12"/>
  <c r="V70" i="12"/>
  <c r="AL70" i="12"/>
  <c r="O70" i="12"/>
  <c r="BD70" i="12"/>
  <c r="M70" i="12"/>
  <c r="J70" i="12"/>
  <c r="R70" i="12"/>
  <c r="BN70" i="12"/>
  <c r="AN70" i="12"/>
  <c r="Z70" i="12"/>
  <c r="BS70" i="12"/>
  <c r="BQ70" i="12"/>
  <c r="BA70" i="12"/>
  <c r="AX70" i="12"/>
  <c r="T70" i="12"/>
  <c r="BG70" i="12"/>
  <c r="BE70" i="12"/>
  <c r="AJ70" i="12"/>
  <c r="AD70" i="12"/>
  <c r="AB70" i="12"/>
  <c r="AU70" i="12"/>
  <c r="AS70" i="12"/>
  <c r="Q70" i="12"/>
  <c r="N70" i="12"/>
  <c r="X70" i="12"/>
  <c r="AI70" i="12"/>
  <c r="AG70" i="12"/>
  <c r="BP70" i="12"/>
  <c r="BM70" i="12"/>
  <c r="W70" i="12"/>
  <c r="U70" i="12"/>
  <c r="AZ70" i="12"/>
  <c r="AV70" i="12"/>
  <c r="K70" i="12"/>
  <c r="I70" i="12"/>
  <c r="AF70" i="12"/>
  <c r="AC70" i="12"/>
  <c r="BM43" i="5"/>
  <c r="BK37" i="5"/>
  <c r="AY37" i="5"/>
  <c r="AM37" i="5"/>
  <c r="AA37" i="5"/>
  <c r="O37" i="5"/>
  <c r="BP99" i="5"/>
  <c r="BD99" i="5"/>
  <c r="AR99" i="5"/>
  <c r="T99" i="5"/>
  <c r="H99" i="5"/>
  <c r="BI98" i="5"/>
  <c r="AW98" i="5"/>
  <c r="AK98" i="5"/>
  <c r="Y98" i="5"/>
  <c r="M98" i="5"/>
  <c r="BN49" i="5"/>
  <c r="BB49" i="5"/>
  <c r="BS28" i="5"/>
  <c r="W28" i="5"/>
  <c r="K28" i="5"/>
  <c r="BQ70" i="5"/>
  <c r="BE70" i="5"/>
  <c r="I70" i="5"/>
  <c r="BJ76" i="5"/>
  <c r="AX76" i="5"/>
  <c r="AL76" i="5"/>
  <c r="N76" i="5"/>
  <c r="BO97" i="5"/>
  <c r="BC97" i="5"/>
  <c r="AQ97" i="5"/>
  <c r="AE97" i="5"/>
  <c r="S97" i="5"/>
  <c r="BT83" i="5"/>
  <c r="BH83" i="5"/>
  <c r="AV83" i="5"/>
  <c r="L83" i="5"/>
  <c r="BM85" i="5"/>
  <c r="BA85" i="5"/>
  <c r="AO85" i="5"/>
  <c r="AC85" i="5"/>
  <c r="Q85" i="5"/>
  <c r="L56" i="2"/>
  <c r="BB74" i="7"/>
  <c r="BM74" i="7"/>
  <c r="BE73" i="7"/>
  <c r="K69" i="7"/>
  <c r="BL74" i="7"/>
  <c r="AI74" i="7"/>
  <c r="BN69" i="7"/>
  <c r="AW72" i="7"/>
  <c r="BP72" i="7"/>
  <c r="V72" i="7"/>
  <c r="AV68" i="7"/>
  <c r="BE47" i="7"/>
  <c r="AR73" i="7"/>
  <c r="L70" i="7"/>
  <c r="J56" i="7"/>
  <c r="AF75" i="7"/>
  <c r="BK75" i="7"/>
  <c r="AO75" i="7"/>
  <c r="BH69" i="7"/>
  <c r="BT69" i="7"/>
  <c r="L71" i="7"/>
  <c r="BC48" i="7"/>
  <c r="BK73" i="7"/>
  <c r="S60" i="7"/>
  <c r="H73" i="7"/>
  <c r="BN71" i="7"/>
  <c r="H71" i="7"/>
  <c r="BD68" i="7"/>
  <c r="J68" i="7"/>
  <c r="BP73" i="7"/>
  <c r="Y73" i="7"/>
  <c r="BN61" i="7"/>
  <c r="BD61" i="7"/>
  <c r="BR61" i="7"/>
  <c r="N59" i="7"/>
  <c r="BM59" i="7"/>
  <c r="BO63" i="7"/>
  <c r="BJ63" i="7"/>
  <c r="BE63" i="7"/>
  <c r="Q63" i="7"/>
  <c r="H65" i="7"/>
  <c r="L57" i="7"/>
  <c r="BO45" i="7"/>
  <c r="BI65" i="7"/>
  <c r="BD65" i="7"/>
  <c r="BA54" i="7"/>
  <c r="H54" i="7"/>
  <c r="BP41" i="11"/>
  <c r="BR41" i="11"/>
  <c r="BS41" i="11"/>
  <c r="BA41" i="11"/>
  <c r="BK41" i="11"/>
  <c r="AU41" i="11"/>
  <c r="AH41" i="11"/>
  <c r="BL41" i="11"/>
  <c r="BE41" i="11"/>
  <c r="BF41" i="11"/>
  <c r="BI41" i="11"/>
  <c r="AI41" i="11"/>
  <c r="U41" i="11"/>
  <c r="BT41" i="11"/>
  <c r="AX41" i="11"/>
  <c r="K41" i="11"/>
  <c r="BM41" i="11"/>
  <c r="AY41" i="11"/>
  <c r="L41" i="11"/>
  <c r="BQ41" i="11"/>
  <c r="V41" i="11"/>
  <c r="AO41" i="11"/>
  <c r="AA41" i="11"/>
  <c r="O41" i="11"/>
  <c r="AK41" i="11"/>
  <c r="BG41" i="11"/>
  <c r="AZ41" i="11"/>
  <c r="BJ41" i="11"/>
  <c r="J41" i="11"/>
  <c r="BB41" i="11"/>
  <c r="BN41" i="11"/>
  <c r="AV41" i="11"/>
  <c r="BH41" i="11"/>
  <c r="M41" i="11"/>
  <c r="I41" i="11"/>
  <c r="AW41" i="11"/>
  <c r="BC41" i="11"/>
  <c r="BO41" i="11"/>
  <c r="N41" i="11"/>
  <c r="H41" i="11"/>
  <c r="T41" i="11"/>
  <c r="AF41" i="11"/>
  <c r="BD41" i="11"/>
  <c r="AR41" i="11"/>
  <c r="BT37" i="7"/>
  <c r="BJ37" i="7"/>
  <c r="BH37" i="7"/>
  <c r="BG37" i="7"/>
  <c r="BD37" i="7"/>
  <c r="BS37" i="7"/>
  <c r="BO37" i="7"/>
  <c r="BN37" i="7"/>
  <c r="BF37" i="7"/>
  <c r="BQ37" i="7"/>
  <c r="BM37" i="7"/>
  <c r="BL37" i="7"/>
  <c r="BP37" i="7"/>
  <c r="BR37" i="7"/>
  <c r="BI37" i="7"/>
  <c r="BE37" i="7"/>
  <c r="BK37" i="7"/>
  <c r="BM33" i="11"/>
  <c r="BG33" i="11"/>
  <c r="BN33" i="11"/>
  <c r="BJ33" i="11"/>
  <c r="AV33" i="11"/>
  <c r="AU33" i="11"/>
  <c r="AE33" i="11"/>
  <c r="BD33" i="11"/>
  <c r="AX33" i="11"/>
  <c r="AJ33" i="11"/>
  <c r="BQ33" i="11"/>
  <c r="BA33" i="11"/>
  <c r="BC33" i="11"/>
  <c r="BL33" i="11"/>
  <c r="BR33" i="11"/>
  <c r="AZ33" i="11"/>
  <c r="Z33" i="11"/>
  <c r="L33" i="11"/>
  <c r="N33" i="11"/>
  <c r="J33" i="11"/>
  <c r="BF33" i="11"/>
  <c r="BI33" i="11"/>
  <c r="V33" i="11"/>
  <c r="P33" i="11"/>
  <c r="AW33" i="11"/>
  <c r="BO33" i="11"/>
  <c r="BB33" i="11"/>
  <c r="AI33" i="11"/>
  <c r="BK33" i="11"/>
  <c r="BS33" i="11"/>
  <c r="BE33" i="11"/>
  <c r="AY33" i="11"/>
  <c r="M33" i="11"/>
  <c r="AC33" i="11"/>
  <c r="BT33" i="11"/>
  <c r="H33" i="11"/>
  <c r="BP33" i="11"/>
  <c r="O33" i="11"/>
  <c r="BH33" i="11"/>
  <c r="I33" i="11"/>
  <c r="K33" i="11"/>
  <c r="J28" i="12"/>
  <c r="N28" i="12"/>
  <c r="BE28" i="12"/>
  <c r="H28" i="12"/>
  <c r="BI28" i="12"/>
  <c r="I28" i="12"/>
  <c r="BF28" i="12"/>
  <c r="BO28" i="12"/>
  <c r="BM28" i="12"/>
  <c r="M28" i="12"/>
  <c r="BN28" i="12"/>
  <c r="BH28" i="12"/>
  <c r="BL28" i="12"/>
  <c r="L28" i="12"/>
  <c r="BS28" i="12"/>
  <c r="BR28" i="12"/>
  <c r="BD28" i="12"/>
  <c r="BP28" i="12"/>
  <c r="BG28" i="12"/>
  <c r="BK28" i="12"/>
  <c r="O28" i="12"/>
  <c r="K28" i="12"/>
  <c r="BJ28" i="12"/>
  <c r="BQ28" i="12"/>
  <c r="J27" i="10"/>
  <c r="BM27" i="10"/>
  <c r="BJ27" i="10"/>
  <c r="K27" i="10"/>
  <c r="BO27" i="10"/>
  <c r="BH27" i="10"/>
  <c r="N27" i="10"/>
  <c r="L27" i="10"/>
  <c r="I27" i="10"/>
  <c r="BE27" i="10"/>
  <c r="H27" i="10"/>
  <c r="BT27" i="10"/>
  <c r="BP27" i="10"/>
  <c r="BD27" i="10"/>
  <c r="BF27" i="10"/>
  <c r="BG27" i="10"/>
  <c r="V27" i="10"/>
  <c r="BL27" i="10"/>
  <c r="R27" i="10"/>
  <c r="M27" i="10"/>
  <c r="BR27" i="10"/>
  <c r="S27" i="10"/>
  <c r="U27" i="10"/>
  <c r="W27" i="10"/>
  <c r="BN27" i="10"/>
  <c r="P27" i="10"/>
  <c r="BK27" i="10"/>
  <c r="BQ27" i="10"/>
  <c r="Q27" i="10"/>
  <c r="O27" i="10"/>
  <c r="T27" i="10"/>
  <c r="BI27" i="10"/>
  <c r="BS19" i="5"/>
  <c r="AB49" i="12"/>
  <c r="AA49" i="12"/>
  <c r="W49" i="12"/>
  <c r="S49" i="12"/>
  <c r="BO49" i="12"/>
  <c r="BL49" i="12"/>
  <c r="BK49" i="12"/>
  <c r="BG49" i="12"/>
  <c r="BC49" i="12"/>
  <c r="BJ49" i="12"/>
  <c r="BP49" i="12"/>
  <c r="BS49" i="12"/>
  <c r="BD49" i="12"/>
  <c r="H49" i="12"/>
  <c r="BM49" i="12"/>
  <c r="BR49" i="12"/>
  <c r="BA49" i="12"/>
  <c r="BF49" i="12"/>
  <c r="AH49" i="12"/>
  <c r="Q49" i="12"/>
  <c r="K49" i="12"/>
  <c r="J49" i="12"/>
  <c r="BQ49" i="12"/>
  <c r="BB49" i="12"/>
  <c r="BN49" i="12"/>
  <c r="AZ49" i="12"/>
  <c r="L49" i="12"/>
  <c r="O49" i="12"/>
  <c r="AY49" i="12"/>
  <c r="I49" i="12"/>
  <c r="AV49" i="12"/>
  <c r="M49" i="12"/>
  <c r="N49" i="12"/>
  <c r="BH49" i="12"/>
  <c r="AW49" i="12"/>
  <c r="AX49" i="12"/>
  <c r="BI49" i="12"/>
  <c r="BE49" i="12"/>
  <c r="AA39" i="2"/>
  <c r="BI45" i="12"/>
  <c r="K45" i="12"/>
  <c r="BL45" i="12"/>
  <c r="M45" i="12"/>
  <c r="BR45" i="12"/>
  <c r="W45" i="12"/>
  <c r="BS45" i="12"/>
  <c r="X45" i="12"/>
  <c r="L45" i="12"/>
  <c r="BH45" i="12"/>
  <c r="O45" i="12"/>
  <c r="S45" i="12"/>
  <c r="T45" i="12"/>
  <c r="I45" i="12"/>
  <c r="Y45" i="12"/>
  <c r="U45" i="12"/>
  <c r="BK45" i="12"/>
  <c r="BP45" i="12"/>
  <c r="Q45" i="12"/>
  <c r="J45" i="12"/>
  <c r="P45" i="12"/>
  <c r="V45" i="12"/>
  <c r="BQ45" i="12"/>
  <c r="N45" i="12"/>
  <c r="R45" i="12"/>
  <c r="Z45" i="12"/>
  <c r="BM45" i="12"/>
  <c r="BO45" i="12"/>
  <c r="AA45" i="12"/>
  <c r="BJ45" i="12"/>
  <c r="BN45" i="12"/>
  <c r="H45" i="12"/>
  <c r="BQ44" i="10"/>
  <c r="BD44" i="10"/>
  <c r="L44" i="10"/>
  <c r="K44" i="10"/>
  <c r="BO44" i="10"/>
  <c r="BJ44" i="10"/>
  <c r="BF44" i="10"/>
  <c r="H44" i="10"/>
  <c r="BK44" i="10"/>
  <c r="BR44" i="10"/>
  <c r="J44" i="10"/>
  <c r="BN44" i="10"/>
  <c r="BI44" i="10"/>
  <c r="BE44" i="10"/>
  <c r="BT44" i="10"/>
  <c r="BH44" i="10"/>
  <c r="M44" i="10"/>
  <c r="I44" i="10"/>
  <c r="BL44" i="10"/>
  <c r="BM44" i="10"/>
  <c r="BG44" i="10"/>
  <c r="BS44" i="10"/>
  <c r="D21" i="5"/>
  <c r="P56" i="12"/>
  <c r="BJ56" i="7"/>
  <c r="BE56" i="7"/>
  <c r="AR56" i="7"/>
  <c r="AL56" i="7"/>
  <c r="AJ56" i="7"/>
  <c r="AI56" i="7"/>
  <c r="AE56" i="7"/>
  <c r="AB56" i="7"/>
  <c r="M56" i="7"/>
  <c r="K56" i="7"/>
  <c r="I56" i="7"/>
  <c r="BQ56" i="7"/>
  <c r="BO56" i="7"/>
  <c r="BN56" i="7"/>
  <c r="BL56" i="7"/>
  <c r="Z56" i="7"/>
  <c r="H56" i="7"/>
  <c r="AX56" i="7"/>
  <c r="BK56" i="7"/>
  <c r="AA56" i="7"/>
  <c r="AO56" i="7"/>
  <c r="R56" i="7"/>
  <c r="X56" i="7"/>
  <c r="BI56" i="7"/>
  <c r="BA56" i="7"/>
  <c r="AM56" i="7"/>
  <c r="U56" i="7"/>
  <c r="W56" i="7"/>
  <c r="N56" i="7"/>
  <c r="BB56" i="7"/>
  <c r="AY56" i="7"/>
  <c r="AN56" i="7"/>
  <c r="BM56" i="7"/>
  <c r="O56" i="7"/>
  <c r="AZ56" i="7"/>
  <c r="L56" i="7"/>
  <c r="AW56" i="7"/>
  <c r="BS56" i="7"/>
  <c r="AV56" i="7"/>
  <c r="AK56" i="7"/>
  <c r="Y56" i="7"/>
  <c r="R55" i="11"/>
  <c r="Q55" i="11"/>
  <c r="N55" i="11"/>
  <c r="BS55" i="11"/>
  <c r="BG55" i="11"/>
  <c r="BD55" i="11"/>
  <c r="AS55" i="11"/>
  <c r="AT55" i="11"/>
  <c r="AR55" i="11"/>
  <c r="O55" i="11"/>
  <c r="AF55" i="11"/>
  <c r="BM55" i="11"/>
  <c r="BE55" i="11"/>
  <c r="AC55" i="11"/>
  <c r="BC55" i="11"/>
  <c r="BR55" i="11"/>
  <c r="Z55" i="11"/>
  <c r="AP55" i="11"/>
  <c r="AE55" i="11"/>
  <c r="BQ55" i="11"/>
  <c r="BT55" i="11"/>
  <c r="AO55" i="11"/>
  <c r="AD55" i="11"/>
  <c r="L55" i="11"/>
  <c r="BF55" i="11"/>
  <c r="BH55" i="11"/>
  <c r="AG55" i="11"/>
  <c r="AU55" i="11"/>
  <c r="I55" i="11"/>
  <c r="BK55" i="11"/>
  <c r="BJ55" i="11"/>
  <c r="V55" i="11"/>
  <c r="AY55" i="11"/>
  <c r="AJ55" i="11"/>
  <c r="AA55" i="11"/>
  <c r="AH55" i="11"/>
  <c r="BN55" i="11"/>
  <c r="BI55" i="11"/>
  <c r="AV55" i="11"/>
  <c r="AW55" i="11"/>
  <c r="BL55" i="11"/>
  <c r="H55" i="11"/>
  <c r="AK55" i="11"/>
  <c r="U55" i="11"/>
  <c r="Y55" i="11"/>
  <c r="AI55" i="11"/>
  <c r="M55" i="11"/>
  <c r="AX55" i="11"/>
  <c r="BA55" i="11"/>
  <c r="BO55" i="11"/>
  <c r="T55" i="11"/>
  <c r="AZ55" i="11"/>
  <c r="K55" i="11"/>
  <c r="AN55" i="11"/>
  <c r="AM55" i="11"/>
  <c r="W55" i="11"/>
  <c r="BP55" i="11"/>
  <c r="S55" i="11"/>
  <c r="AL55" i="11"/>
  <c r="J55" i="11"/>
  <c r="BB55" i="11"/>
  <c r="I48" i="2"/>
  <c r="BJ51" i="7"/>
  <c r="N51" i="7"/>
  <c r="P51" i="7"/>
  <c r="K51" i="7"/>
  <c r="BD51" i="7"/>
  <c r="L51" i="7"/>
  <c r="BO51" i="7"/>
  <c r="BL51" i="7"/>
  <c r="O51" i="7"/>
  <c r="I51" i="7"/>
  <c r="BR51" i="7"/>
  <c r="M51" i="7"/>
  <c r="BF51" i="7"/>
  <c r="BQ51" i="7"/>
  <c r="BH51" i="7"/>
  <c r="S51" i="7"/>
  <c r="BI51" i="7"/>
  <c r="H51" i="7"/>
  <c r="BP51" i="7"/>
  <c r="BE51" i="7"/>
  <c r="BM51" i="7"/>
  <c r="J51" i="7"/>
  <c r="BT51" i="7"/>
  <c r="Q51" i="7"/>
  <c r="BG51" i="7"/>
  <c r="BS51" i="7"/>
  <c r="BN51" i="7"/>
  <c r="BK51" i="7"/>
  <c r="R51" i="7"/>
  <c r="AA60" i="2"/>
  <c r="AZ66" i="12"/>
  <c r="AY66" i="12"/>
  <c r="J66" i="12"/>
  <c r="BR66" i="12"/>
  <c r="BQ66" i="12"/>
  <c r="BS66" i="12"/>
  <c r="BP66" i="12"/>
  <c r="H66" i="12"/>
  <c r="AX66" i="12"/>
  <c r="BD66" i="12"/>
  <c r="BM66" i="12"/>
  <c r="N66" i="12"/>
  <c r="K66" i="12"/>
  <c r="BL66" i="12"/>
  <c r="BI66" i="12"/>
  <c r="AW66" i="12"/>
  <c r="I66" i="12"/>
  <c r="BB66" i="12"/>
  <c r="M66" i="12"/>
  <c r="BN66" i="12"/>
  <c r="BK66" i="12"/>
  <c r="BH66" i="12"/>
  <c r="BC66" i="12"/>
  <c r="BF66" i="12"/>
  <c r="AV66" i="12"/>
  <c r="BE66" i="12"/>
  <c r="O66" i="12"/>
  <c r="L66" i="12"/>
  <c r="BO66" i="12"/>
  <c r="BA66" i="12"/>
  <c r="BJ66" i="12"/>
  <c r="BG66" i="12"/>
  <c r="BR66" i="7"/>
  <c r="BC66" i="7"/>
  <c r="BN66" i="7"/>
  <c r="BJ66" i="7"/>
  <c r="BF66" i="7"/>
  <c r="BK66" i="7"/>
  <c r="AW66" i="7"/>
  <c r="AT66" i="7"/>
  <c r="AY66" i="7"/>
  <c r="BB66" i="7"/>
  <c r="BQ66" i="7"/>
  <c r="BM66" i="7"/>
  <c r="BT66" i="7"/>
  <c r="BA66" i="7"/>
  <c r="AZ66" i="7"/>
  <c r="AV66" i="7"/>
  <c r="BS66" i="7"/>
  <c r="BI66" i="7"/>
  <c r="BP66" i="7"/>
  <c r="BE66" i="7"/>
  <c r="BD66" i="7"/>
  <c r="BO66" i="7"/>
  <c r="BL66" i="7"/>
  <c r="BH66" i="7"/>
  <c r="AX66" i="7"/>
  <c r="AU66" i="7"/>
  <c r="BG66" i="7"/>
  <c r="BM65" i="10"/>
  <c r="BL65" i="10"/>
  <c r="Q65" i="10"/>
  <c r="P65" i="10"/>
  <c r="BP65" i="10"/>
  <c r="BO65" i="10"/>
  <c r="BS65" i="10"/>
  <c r="BQ65" i="10"/>
  <c r="BG65" i="10"/>
  <c r="L65" i="10"/>
  <c r="J65" i="10"/>
  <c r="BJ65" i="10"/>
  <c r="BE65" i="10"/>
  <c r="BF65" i="10"/>
  <c r="W65" i="10"/>
  <c r="K65" i="10"/>
  <c r="I65" i="10"/>
  <c r="BR65" i="10"/>
  <c r="N65" i="10"/>
  <c r="BK65" i="10"/>
  <c r="BT65" i="10"/>
  <c r="BI65" i="10"/>
  <c r="BD65" i="10"/>
  <c r="BN65" i="10"/>
  <c r="O65" i="10"/>
  <c r="BH65" i="10"/>
  <c r="H65" i="10"/>
  <c r="U65" i="10"/>
  <c r="M65" i="10"/>
  <c r="N63" i="7"/>
  <c r="AH27" i="5"/>
  <c r="AF59" i="12"/>
  <c r="S59" i="12"/>
  <c r="T59" i="12"/>
  <c r="BC59" i="12"/>
  <c r="BS59" i="12"/>
  <c r="BA59" i="12"/>
  <c r="BB59" i="12"/>
  <c r="AR59" i="12"/>
  <c r="Q59" i="12"/>
  <c r="AQ59" i="12"/>
  <c r="AE59" i="12"/>
  <c r="AG59" i="12"/>
  <c r="BE59" i="12"/>
  <c r="BG59" i="12"/>
  <c r="AI59" i="12"/>
  <c r="W59" i="12"/>
  <c r="BI59" i="12"/>
  <c r="BD59" i="12"/>
  <c r="I59" i="12"/>
  <c r="K59" i="12"/>
  <c r="AK59" i="12"/>
  <c r="AO59" i="12"/>
  <c r="M59" i="12"/>
  <c r="AP59" i="12"/>
  <c r="BM59" i="12"/>
  <c r="R59" i="12"/>
  <c r="BN59" i="12"/>
  <c r="U59" i="12"/>
  <c r="AB59" i="12"/>
  <c r="BH59" i="12"/>
  <c r="AS59" i="12"/>
  <c r="BQ59" i="12"/>
  <c r="P59" i="12"/>
  <c r="AV59" i="12"/>
  <c r="BO59" i="12"/>
  <c r="BK59" i="12"/>
  <c r="AJ59" i="12"/>
  <c r="AY59" i="12"/>
  <c r="X59" i="12"/>
  <c r="AM59" i="12"/>
  <c r="L59" i="12"/>
  <c r="AC59" i="12"/>
  <c r="AA59" i="12"/>
  <c r="BR59" i="12"/>
  <c r="AU59" i="12"/>
  <c r="O59" i="12"/>
  <c r="BF59" i="12"/>
  <c r="BP59" i="12"/>
  <c r="BJ59" i="12"/>
  <c r="AT59" i="12"/>
  <c r="AX59" i="12"/>
  <c r="AH59" i="12"/>
  <c r="BL59" i="12"/>
  <c r="AL59" i="12"/>
  <c r="V59" i="12"/>
  <c r="H59" i="12"/>
  <c r="AZ59" i="12"/>
  <c r="Z59" i="12"/>
  <c r="J59" i="12"/>
  <c r="AD59" i="12"/>
  <c r="AN59" i="12"/>
  <c r="N59" i="12"/>
  <c r="Y59" i="12"/>
  <c r="AW59" i="12"/>
  <c r="P59" i="7"/>
  <c r="AN59" i="7"/>
  <c r="AY59" i="7"/>
  <c r="AI59" i="7"/>
  <c r="BO59" i="7"/>
  <c r="BC59" i="7"/>
  <c r="Z59" i="7"/>
  <c r="K59" i="7"/>
  <c r="BN59" i="7"/>
  <c r="AZ59" i="7"/>
  <c r="V59" i="7"/>
  <c r="J59" i="7"/>
  <c r="BG59" i="7"/>
  <c r="AP59" i="7"/>
  <c r="S59" i="7"/>
  <c r="I59" i="7"/>
  <c r="AM59" i="7"/>
  <c r="AL59" i="7"/>
  <c r="AJ59" i="7"/>
  <c r="BR59" i="7"/>
  <c r="BA75" i="7"/>
  <c r="AX75" i="7"/>
  <c r="AB75" i="7"/>
  <c r="Y75" i="7"/>
  <c r="R75" i="7"/>
  <c r="T75" i="7"/>
  <c r="S75" i="7"/>
  <c r="P75" i="7"/>
  <c r="BJ75" i="7"/>
  <c r="BP75" i="7"/>
  <c r="BF75" i="7"/>
  <c r="BS73" i="10"/>
  <c r="BL73" i="10"/>
  <c r="M73" i="10"/>
  <c r="AX73" i="10"/>
  <c r="AO73" i="10"/>
  <c r="AN73" i="10"/>
  <c r="AJ73" i="10"/>
  <c r="Y73" i="10"/>
  <c r="AI73" i="10"/>
  <c r="X73" i="10"/>
  <c r="BM73" i="10"/>
  <c r="W73" i="10"/>
  <c r="H73" i="10"/>
  <c r="BJ73" i="10"/>
  <c r="AW73" i="10"/>
  <c r="L73" i="10"/>
  <c r="AZ73" i="10"/>
  <c r="P73" i="10"/>
  <c r="T73" i="10"/>
  <c r="BP73" i="10"/>
  <c r="BT73" i="10"/>
  <c r="AV73" i="10"/>
  <c r="AR73" i="10"/>
  <c r="Z73" i="10"/>
  <c r="N73" i="10"/>
  <c r="BR73" i="10"/>
  <c r="BI73" i="10"/>
  <c r="AF73" i="10"/>
  <c r="BH73" i="10"/>
  <c r="BD73" i="10"/>
  <c r="AL73" i="10"/>
  <c r="AC73" i="10"/>
  <c r="Q73" i="10"/>
  <c r="BA73" i="10"/>
  <c r="BG73" i="10"/>
  <c r="AB73" i="10"/>
  <c r="K73" i="10"/>
  <c r="AK73" i="10"/>
  <c r="AU73" i="10"/>
  <c r="AG73" i="10"/>
  <c r="AS73" i="10"/>
  <c r="S73" i="10"/>
  <c r="BE73" i="10"/>
  <c r="AE73" i="10"/>
  <c r="BQ73" i="10"/>
  <c r="R73" i="10"/>
  <c r="AQ73" i="10"/>
  <c r="O73" i="10"/>
  <c r="AD73" i="10"/>
  <c r="BC73" i="10"/>
  <c r="AA73" i="10"/>
  <c r="AP73" i="10"/>
  <c r="BO73" i="10"/>
  <c r="AM73" i="10"/>
  <c r="BB73" i="10"/>
  <c r="J73" i="10"/>
  <c r="AY73" i="10"/>
  <c r="BN73" i="10"/>
  <c r="V73" i="10"/>
  <c r="BK73" i="10"/>
  <c r="AH73" i="10"/>
  <c r="I73" i="10"/>
  <c r="AT73" i="10"/>
  <c r="U73" i="10"/>
  <c r="BF73" i="10"/>
  <c r="BQ70" i="7"/>
  <c r="AW70" i="7"/>
  <c r="BT70" i="7"/>
  <c r="J70" i="7"/>
  <c r="BE70" i="7"/>
  <c r="BB70" i="7"/>
  <c r="K70" i="7"/>
  <c r="BR70" i="7"/>
  <c r="AZ70" i="7"/>
  <c r="AV70" i="7"/>
  <c r="H70" i="7"/>
  <c r="I70" i="7"/>
  <c r="AY70" i="7"/>
  <c r="BD70" i="7"/>
  <c r="BI70" i="7"/>
  <c r="BH70" i="7"/>
  <c r="BL43" i="5"/>
  <c r="BJ37" i="5"/>
  <c r="AX37" i="5"/>
  <c r="AL37" i="5"/>
  <c r="Z37" i="5"/>
  <c r="N37" i="5"/>
  <c r="BO99" i="5"/>
  <c r="BC99" i="5"/>
  <c r="AQ99" i="5"/>
  <c r="AE99" i="5"/>
  <c r="S99" i="5"/>
  <c r="BT98" i="5"/>
  <c r="BH98" i="5"/>
  <c r="AV98" i="5"/>
  <c r="AJ98" i="5"/>
  <c r="X98" i="5"/>
  <c r="L98" i="5"/>
  <c r="BM49" i="5"/>
  <c r="BA49" i="5"/>
  <c r="BR28" i="5"/>
  <c r="J28" i="5"/>
  <c r="AM77" i="5"/>
  <c r="BP70" i="5"/>
  <c r="BD70" i="5"/>
  <c r="H70" i="5"/>
  <c r="BI76" i="5"/>
  <c r="AW76" i="5"/>
  <c r="M76" i="5"/>
  <c r="BN97" i="5"/>
  <c r="BB97" i="5"/>
  <c r="AP97" i="5"/>
  <c r="AD97" i="5"/>
  <c r="R97" i="5"/>
  <c r="BS83" i="5"/>
  <c r="BG83" i="5"/>
  <c r="AU83" i="5"/>
  <c r="K83" i="5"/>
  <c r="BL85" i="5"/>
  <c r="AZ85" i="5"/>
  <c r="AN85" i="5"/>
  <c r="AB85" i="5"/>
  <c r="P85" i="5"/>
  <c r="I53" i="2"/>
  <c r="AN74" i="7"/>
  <c r="AY74" i="7"/>
  <c r="BQ73" i="7"/>
  <c r="AX74" i="7"/>
  <c r="AU74" i="7"/>
  <c r="BK72" i="7"/>
  <c r="I72" i="7"/>
  <c r="BR71" i="7"/>
  <c r="AE68" i="7"/>
  <c r="AS47" i="7"/>
  <c r="Q73" i="7"/>
  <c r="AT70" i="7"/>
  <c r="BI69" i="7"/>
  <c r="V56" i="7"/>
  <c r="U75" i="7"/>
  <c r="BC75" i="7"/>
  <c r="BH75" i="7"/>
  <c r="BJ68" i="7"/>
  <c r="BF60" i="7"/>
  <c r="BJ60" i="7"/>
  <c r="AK73" i="7"/>
  <c r="BP58" i="7"/>
  <c r="BC58" i="7"/>
  <c r="P56" i="7"/>
  <c r="BI72" i="7"/>
  <c r="K71" i="7"/>
  <c r="BJ71" i="7"/>
  <c r="BS68" i="7"/>
  <c r="V68" i="7"/>
  <c r="R73" i="7"/>
  <c r="AM73" i="7"/>
  <c r="BB59" i="7"/>
  <c r="M54" i="7"/>
  <c r="K61" i="7"/>
  <c r="BS61" i="7"/>
  <c r="AD59" i="7"/>
  <c r="O59" i="7"/>
  <c r="Y59" i="7"/>
  <c r="AI63" i="7"/>
  <c r="J63" i="7"/>
  <c r="BS63" i="7"/>
  <c r="AC63" i="7"/>
  <c r="AH63" i="7"/>
  <c r="J54" i="7"/>
  <c r="BS59" i="7"/>
  <c r="BB57" i="7"/>
  <c r="H55" i="7"/>
  <c r="I54" i="7"/>
  <c r="BF43" i="7"/>
  <c r="BM33" i="7"/>
  <c r="BQ65" i="7"/>
  <c r="BR65" i="7"/>
  <c r="AE65" i="7"/>
  <c r="BB61" i="7"/>
  <c r="BN54" i="7"/>
  <c r="BR67" i="7"/>
  <c r="I10" i="2"/>
  <c r="AN32" i="11"/>
  <c r="AY25" i="5"/>
  <c r="O10" i="2"/>
  <c r="BP17" i="7"/>
  <c r="J17" i="7"/>
  <c r="BG17" i="7"/>
  <c r="BR17" i="7"/>
  <c r="BS17" i="7"/>
  <c r="BF17" i="7"/>
  <c r="BA17" i="7"/>
  <c r="BK17" i="7"/>
  <c r="BT17" i="7"/>
  <c r="BO17" i="7"/>
  <c r="AZ17" i="7"/>
  <c r="AW17" i="7"/>
  <c r="BB17" i="7"/>
  <c r="AX17" i="7"/>
  <c r="M17" i="7"/>
  <c r="BN17" i="7"/>
  <c r="I17" i="7"/>
  <c r="BI17" i="7"/>
  <c r="BM17" i="7"/>
  <c r="BD17" i="7"/>
  <c r="AY17" i="7"/>
  <c r="BQ17" i="7"/>
  <c r="L17" i="7"/>
  <c r="BL17" i="7"/>
  <c r="BC17" i="7"/>
  <c r="H17" i="7"/>
  <c r="AT17" i="7"/>
  <c r="BJ17" i="7"/>
  <c r="AV17" i="7"/>
  <c r="K17" i="7"/>
  <c r="AU17" i="7"/>
  <c r="BE17" i="7"/>
  <c r="BH17" i="7"/>
  <c r="BK40" i="10"/>
  <c r="U40" i="10"/>
  <c r="Q40" i="10"/>
  <c r="M40" i="10"/>
  <c r="V40" i="10"/>
  <c r="W40" i="10"/>
  <c r="BO40" i="10"/>
  <c r="BL40" i="10"/>
  <c r="BF40" i="10"/>
  <c r="O40" i="10"/>
  <c r="K40" i="10"/>
  <c r="BT40" i="10"/>
  <c r="BP40" i="10"/>
  <c r="BH40" i="10"/>
  <c r="BD40" i="10"/>
  <c r="S40" i="10"/>
  <c r="P40" i="10"/>
  <c r="J40" i="10"/>
  <c r="BN40" i="10"/>
  <c r="BJ40" i="10"/>
  <c r="BE40" i="10"/>
  <c r="T40" i="10"/>
  <c r="L40" i="10"/>
  <c r="H40" i="10"/>
  <c r="R40" i="10"/>
  <c r="N40" i="10"/>
  <c r="I40" i="10"/>
  <c r="BS40" i="10"/>
  <c r="BQ40" i="10"/>
  <c r="BM40" i="10"/>
  <c r="BI40" i="10"/>
  <c r="BR40" i="10"/>
  <c r="BG40" i="10"/>
  <c r="BH38" i="12"/>
  <c r="BN38" i="12"/>
  <c r="AK38" i="12"/>
  <c r="BL38" i="12"/>
  <c r="P38" i="12"/>
  <c r="AU38" i="12"/>
  <c r="AE38" i="12"/>
  <c r="AI38" i="12"/>
  <c r="BO38" i="12"/>
  <c r="AJ38" i="12"/>
  <c r="AG38" i="12"/>
  <c r="AL38" i="12"/>
  <c r="AM38" i="12"/>
  <c r="AX38" i="12"/>
  <c r="L38" i="12"/>
  <c r="R38" i="12"/>
  <c r="AD38" i="12"/>
  <c r="AR38" i="12"/>
  <c r="AO38" i="12"/>
  <c r="AA38" i="12"/>
  <c r="Q38" i="12"/>
  <c r="O38" i="12"/>
  <c r="I38" i="12"/>
  <c r="AF38" i="12"/>
  <c r="T38" i="12"/>
  <c r="BJ38" i="12"/>
  <c r="X38" i="12"/>
  <c r="BM38" i="12"/>
  <c r="S38" i="12"/>
  <c r="BP38" i="12"/>
  <c r="Z38" i="12"/>
  <c r="H38" i="12"/>
  <c r="BE38" i="12"/>
  <c r="BR38" i="12"/>
  <c r="AH38" i="12"/>
  <c r="N38" i="12"/>
  <c r="W38" i="12"/>
  <c r="BI38" i="12"/>
  <c r="BD38" i="12"/>
  <c r="Y38" i="12"/>
  <c r="BS38" i="12"/>
  <c r="K38" i="12"/>
  <c r="AC38" i="12"/>
  <c r="M38" i="12"/>
  <c r="V38" i="12"/>
  <c r="U38" i="12"/>
  <c r="BQ38" i="12"/>
  <c r="J38" i="12"/>
  <c r="BK38" i="12"/>
  <c r="AB38" i="12"/>
  <c r="BF38" i="12"/>
  <c r="AQ38" i="12"/>
  <c r="BR31" i="12"/>
  <c r="BN31" i="12"/>
  <c r="L31" i="12"/>
  <c r="BL31" i="12"/>
  <c r="J31" i="12"/>
  <c r="BJ31" i="12"/>
  <c r="BH31" i="12"/>
  <c r="BI31" i="12"/>
  <c r="AV31" i="12"/>
  <c r="AW31" i="12"/>
  <c r="AY31" i="12"/>
  <c r="BE31" i="12"/>
  <c r="BS31" i="12"/>
  <c r="N31" i="12"/>
  <c r="H31" i="12"/>
  <c r="I31" i="12"/>
  <c r="BO31" i="12"/>
  <c r="BF31" i="12"/>
  <c r="BC31" i="12"/>
  <c r="BM31" i="12"/>
  <c r="AX31" i="12"/>
  <c r="BA31" i="12"/>
  <c r="BB31" i="12"/>
  <c r="AZ31" i="12"/>
  <c r="BK31" i="12"/>
  <c r="K31" i="12"/>
  <c r="BP31" i="12"/>
  <c r="M31" i="12"/>
  <c r="O31" i="12"/>
  <c r="BG31" i="12"/>
  <c r="BD31" i="12"/>
  <c r="BQ31" i="12"/>
  <c r="BP31" i="5"/>
  <c r="BS25" i="11"/>
  <c r="BL25" i="11"/>
  <c r="W25" i="11"/>
  <c r="R25" i="11"/>
  <c r="L25" i="11"/>
  <c r="K25" i="11"/>
  <c r="BK25" i="11"/>
  <c r="I25" i="11"/>
  <c r="BR25" i="11"/>
  <c r="P25" i="11"/>
  <c r="BQ25" i="11"/>
  <c r="O25" i="11"/>
  <c r="BT25" i="11"/>
  <c r="BM25" i="11"/>
  <c r="M25" i="11"/>
  <c r="N25" i="11"/>
  <c r="J25" i="11"/>
  <c r="T25" i="11"/>
  <c r="H25" i="11"/>
  <c r="BO25" i="11"/>
  <c r="BI25" i="11"/>
  <c r="BH25" i="11"/>
  <c r="BN25" i="11"/>
  <c r="BG25" i="11"/>
  <c r="BP25" i="11"/>
  <c r="BF25" i="11"/>
  <c r="BD25" i="11"/>
  <c r="BJ25" i="11"/>
  <c r="BE25" i="11"/>
  <c r="BG93" i="5"/>
  <c r="M22" i="12"/>
  <c r="H22" i="12"/>
  <c r="BJ22" i="12"/>
  <c r="BK22" i="12"/>
  <c r="L22" i="12"/>
  <c r="O22" i="12"/>
  <c r="BL22" i="12"/>
  <c r="N22" i="12"/>
  <c r="BF22" i="12"/>
  <c r="BP22" i="12"/>
  <c r="BM22" i="12"/>
  <c r="J22" i="12"/>
  <c r="BQ22" i="12"/>
  <c r="BI22" i="12"/>
  <c r="BS22" i="12"/>
  <c r="Q22" i="12"/>
  <c r="R22" i="12"/>
  <c r="I22" i="12"/>
  <c r="BO22" i="12"/>
  <c r="BN22" i="12"/>
  <c r="K22" i="12"/>
  <c r="BR22" i="12"/>
  <c r="BH22" i="12"/>
  <c r="BJ20" i="12"/>
  <c r="R20" i="12"/>
  <c r="BL20" i="12"/>
  <c r="BR20" i="12"/>
  <c r="M20" i="12"/>
  <c r="AH20" i="12"/>
  <c r="BG20" i="12"/>
  <c r="BF20" i="12"/>
  <c r="AQ20" i="12"/>
  <c r="BB20" i="12"/>
  <c r="P20" i="12"/>
  <c r="AI20" i="12"/>
  <c r="AN20" i="12"/>
  <c r="X20" i="12"/>
  <c r="L20" i="12"/>
  <c r="N20" i="12"/>
  <c r="AT20" i="12"/>
  <c r="AL20" i="12"/>
  <c r="BH20" i="12"/>
  <c r="AG20" i="12"/>
  <c r="AJ20" i="12"/>
  <c r="AK20" i="12"/>
  <c r="AP20" i="12"/>
  <c r="BD20" i="12"/>
  <c r="AC20" i="12"/>
  <c r="AW20" i="12"/>
  <c r="AV20" i="12"/>
  <c r="AR20" i="12"/>
  <c r="Q20" i="12"/>
  <c r="BS20" i="12"/>
  <c r="AF20" i="12"/>
  <c r="BK20" i="12"/>
  <c r="T20" i="12"/>
  <c r="AY20" i="12"/>
  <c r="H20" i="12"/>
  <c r="AM20" i="12"/>
  <c r="BO20" i="12"/>
  <c r="AA20" i="12"/>
  <c r="W20" i="12"/>
  <c r="BQ20" i="12"/>
  <c r="BC20" i="12"/>
  <c r="O20" i="12"/>
  <c r="K20" i="12"/>
  <c r="BE20" i="12"/>
  <c r="AE20" i="12"/>
  <c r="Y20" i="12"/>
  <c r="AD20" i="12"/>
  <c r="AZ20" i="12"/>
  <c r="AS20" i="12"/>
  <c r="S20" i="12"/>
  <c r="AU20" i="12"/>
  <c r="AX20" i="12"/>
  <c r="Z20" i="12"/>
  <c r="U20" i="12"/>
  <c r="BM20" i="12"/>
  <c r="BN20" i="12"/>
  <c r="V20" i="12"/>
  <c r="I20" i="12"/>
  <c r="BA20" i="12"/>
  <c r="J20" i="12"/>
  <c r="AB20" i="12"/>
  <c r="BP20" i="12"/>
  <c r="AO20" i="12"/>
  <c r="P20" i="7"/>
  <c r="Q20" i="7"/>
  <c r="X20" i="7"/>
  <c r="AC20" i="7"/>
  <c r="AH20" i="7"/>
  <c r="J20" i="7"/>
  <c r="AL20" i="7"/>
  <c r="AQ20" i="7"/>
  <c r="BT20" i="7"/>
  <c r="T20" i="7"/>
  <c r="AD20" i="7"/>
  <c r="M20" i="7"/>
  <c r="BO20" i="7"/>
  <c r="BR20" i="7"/>
  <c r="BH20" i="7"/>
  <c r="BG20" i="7"/>
  <c r="BD20" i="7"/>
  <c r="BA20" i="7"/>
  <c r="AO20" i="7"/>
  <c r="AW20" i="7"/>
  <c r="AR20" i="7"/>
  <c r="L20" i="7"/>
  <c r="AT20" i="7"/>
  <c r="AY20" i="7"/>
  <c r="AN20" i="7"/>
  <c r="BI20" i="7"/>
  <c r="AE20" i="7"/>
  <c r="AM20" i="7"/>
  <c r="Y20" i="7"/>
  <c r="AU20" i="7"/>
  <c r="BC20" i="7"/>
  <c r="N20" i="7"/>
  <c r="AA20" i="7"/>
  <c r="K20" i="7"/>
  <c r="AF20" i="7"/>
  <c r="AI20" i="7"/>
  <c r="O20" i="7"/>
  <c r="BN20" i="7"/>
  <c r="R20" i="7"/>
  <c r="BF20" i="7"/>
  <c r="BQ20" i="7"/>
  <c r="AZ20" i="7"/>
  <c r="AB20" i="7"/>
  <c r="BE20" i="7"/>
  <c r="AK20" i="7"/>
  <c r="AV20" i="7"/>
  <c r="AS20" i="7"/>
  <c r="W20" i="7"/>
  <c r="BS20" i="7"/>
  <c r="BL20" i="7"/>
  <c r="AG20" i="7"/>
  <c r="H20" i="7"/>
  <c r="U20" i="7"/>
  <c r="BM20" i="7"/>
  <c r="S20" i="7"/>
  <c r="I20" i="7"/>
  <c r="AX20" i="7"/>
  <c r="AP20" i="7"/>
  <c r="BP20" i="7"/>
  <c r="AJ20" i="7"/>
  <c r="BJ20" i="7"/>
  <c r="Z20" i="7"/>
  <c r="BK20" i="7"/>
  <c r="BB20" i="7"/>
  <c r="V20" i="7"/>
  <c r="BS18" i="11"/>
  <c r="K18" i="11"/>
  <c r="L18" i="11"/>
  <c r="N18" i="11"/>
  <c r="T18" i="11"/>
  <c r="Z18" i="11"/>
  <c r="BK18" i="11"/>
  <c r="H18" i="11"/>
  <c r="BT18" i="11"/>
  <c r="Q18" i="11"/>
  <c r="V18" i="11"/>
  <c r="I18" i="11"/>
  <c r="Y18" i="11"/>
  <c r="AG18" i="11"/>
  <c r="U18" i="11"/>
  <c r="W18" i="11"/>
  <c r="BQ18" i="11"/>
  <c r="M18" i="11"/>
  <c r="BP18" i="11"/>
  <c r="BR18" i="11"/>
  <c r="AO18" i="11"/>
  <c r="AH18" i="11"/>
  <c r="O18" i="11"/>
  <c r="J18" i="11"/>
  <c r="AL18" i="11"/>
  <c r="BJ18" i="11"/>
  <c r="BN18" i="11"/>
  <c r="BH18" i="11"/>
  <c r="AY18" i="11"/>
  <c r="AV18" i="11"/>
  <c r="P18" i="11"/>
  <c r="BM18" i="11"/>
  <c r="BL18" i="11"/>
  <c r="BE18" i="11"/>
  <c r="BI18" i="11"/>
  <c r="S18" i="11"/>
  <c r="R18" i="11"/>
  <c r="BO18" i="11"/>
  <c r="AD18" i="11"/>
  <c r="BD18" i="11"/>
  <c r="BB18" i="11"/>
  <c r="AO19" i="5"/>
  <c r="I19" i="5"/>
  <c r="H19" i="5"/>
  <c r="BM19" i="5"/>
  <c r="AA40" i="2"/>
  <c r="BE48" i="10"/>
  <c r="BB48" i="10"/>
  <c r="BJ48" i="10"/>
  <c r="BC48" i="10"/>
  <c r="BT48" i="10"/>
  <c r="AQ48" i="10"/>
  <c r="V48" i="10"/>
  <c r="BS48" i="10"/>
  <c r="BI48" i="10"/>
  <c r="BG48" i="10"/>
  <c r="BF48" i="10"/>
  <c r="BM48" i="10"/>
  <c r="AU48" i="10"/>
  <c r="BP48" i="10"/>
  <c r="BA48" i="10"/>
  <c r="BD48" i="10"/>
  <c r="W48" i="10"/>
  <c r="AR48" i="10"/>
  <c r="X48" i="10"/>
  <c r="AT48" i="10"/>
  <c r="I48" i="10"/>
  <c r="J48" i="10"/>
  <c r="L48" i="10"/>
  <c r="AF48" i="10"/>
  <c r="AS48" i="10"/>
  <c r="BN48" i="10"/>
  <c r="Z48" i="10"/>
  <c r="AG48" i="10"/>
  <c r="T48" i="10"/>
  <c r="BL48" i="10"/>
  <c r="BK48" i="10"/>
  <c r="AV48" i="10"/>
  <c r="AW48" i="10"/>
  <c r="K48" i="10"/>
  <c r="AY48" i="10"/>
  <c r="BH48" i="10"/>
  <c r="H48" i="10"/>
  <c r="AZ48" i="10"/>
  <c r="BQ48" i="10"/>
  <c r="BR48" i="10"/>
  <c r="AD48" i="10"/>
  <c r="BO48" i="10"/>
  <c r="AN48" i="10"/>
  <c r="AX48" i="10"/>
  <c r="D100" i="5"/>
  <c r="BK57" i="12"/>
  <c r="BQ57" i="12"/>
  <c r="BE57" i="12"/>
  <c r="BS57" i="12"/>
  <c r="I57" i="12"/>
  <c r="BL57" i="12"/>
  <c r="BG57" i="12"/>
  <c r="BM57" i="12"/>
  <c r="AZ57" i="12"/>
  <c r="BR57" i="12"/>
  <c r="BB57" i="12"/>
  <c r="N57" i="12"/>
  <c r="BF57" i="12"/>
  <c r="BO57" i="12"/>
  <c r="BI57" i="12"/>
  <c r="AW57" i="12"/>
  <c r="K57" i="12"/>
  <c r="BN57" i="12"/>
  <c r="J57" i="12"/>
  <c r="BA57" i="12"/>
  <c r="BC57" i="12"/>
  <c r="M57" i="12"/>
  <c r="BP57" i="12"/>
  <c r="BH57" i="12"/>
  <c r="BD57" i="12"/>
  <c r="AV57" i="12"/>
  <c r="BJ57" i="12"/>
  <c r="AX57" i="12"/>
  <c r="H57" i="12"/>
  <c r="AY57" i="12"/>
  <c r="O57" i="12"/>
  <c r="L57" i="12"/>
  <c r="L50" i="2"/>
  <c r="S56" i="12"/>
  <c r="BC56" i="12"/>
  <c r="O56" i="12"/>
  <c r="AK56" i="12"/>
  <c r="AJ56" i="12"/>
  <c r="AI56" i="12"/>
  <c r="AL56" i="12"/>
  <c r="BP56" i="12"/>
  <c r="BR56" i="12"/>
  <c r="BK56" i="12"/>
  <c r="AF56" i="12"/>
  <c r="AM56" i="12"/>
  <c r="AN56" i="12"/>
  <c r="AZ56" i="12"/>
  <c r="AY56" i="12"/>
  <c r="AE56" i="12"/>
  <c r="AG56" i="12"/>
  <c r="AH56" i="12"/>
  <c r="T56" i="12"/>
  <c r="AW56" i="12"/>
  <c r="BQ56" i="12"/>
  <c r="AB56" i="12"/>
  <c r="AD56" i="12"/>
  <c r="BF56" i="12"/>
  <c r="BD56" i="12"/>
  <c r="Y56" i="12"/>
  <c r="BE56" i="12"/>
  <c r="AR56" i="12"/>
  <c r="AX56" i="12"/>
  <c r="M56" i="12"/>
  <c r="AS56" i="12"/>
  <c r="BL56" i="12"/>
  <c r="BN56" i="12"/>
  <c r="BH56" i="12"/>
  <c r="U56" i="12"/>
  <c r="AV56" i="12"/>
  <c r="I56" i="12"/>
  <c r="X56" i="12"/>
  <c r="BO56" i="12"/>
  <c r="L56" i="12"/>
  <c r="Z56" i="12"/>
  <c r="J56" i="12"/>
  <c r="V56" i="12"/>
  <c r="BS56" i="12"/>
  <c r="AP56" i="12"/>
  <c r="AA56" i="12"/>
  <c r="AC56" i="12"/>
  <c r="Q56" i="12"/>
  <c r="R56" i="12"/>
  <c r="AO56" i="12"/>
  <c r="BG56" i="12"/>
  <c r="BJ56" i="12"/>
  <c r="AQ56" i="12"/>
  <c r="AT56" i="12"/>
  <c r="BA56" i="12"/>
  <c r="BB56" i="12"/>
  <c r="AU56" i="12"/>
  <c r="BM56" i="12"/>
  <c r="W56" i="12"/>
  <c r="H56" i="12"/>
  <c r="N56" i="12"/>
  <c r="BI56" i="12"/>
  <c r="K56" i="12"/>
  <c r="S54" i="10"/>
  <c r="AY54" i="10"/>
  <c r="V54" i="10"/>
  <c r="BI54" i="10"/>
  <c r="M54" i="10"/>
  <c r="AU54" i="10"/>
  <c r="AE54" i="10"/>
  <c r="AB54" i="10"/>
  <c r="BK54" i="10"/>
  <c r="R54" i="10"/>
  <c r="P54" i="10"/>
  <c r="AX54" i="10"/>
  <c r="U54" i="10"/>
  <c r="BO54" i="10"/>
  <c r="AK54" i="10"/>
  <c r="H54" i="10"/>
  <c r="BP54" i="10"/>
  <c r="BB54" i="10"/>
  <c r="X54" i="10"/>
  <c r="BT54" i="10"/>
  <c r="K54" i="10"/>
  <c r="BG54" i="10"/>
  <c r="BF54" i="10"/>
  <c r="AA54" i="10"/>
  <c r="BJ54" i="10"/>
  <c r="AT54" i="10"/>
  <c r="BQ54" i="10"/>
  <c r="N54" i="10"/>
  <c r="AW54" i="10"/>
  <c r="I54" i="10"/>
  <c r="L54" i="10"/>
  <c r="BN54" i="10"/>
  <c r="T54" i="10"/>
  <c r="AP54" i="10"/>
  <c r="AQ54" i="10"/>
  <c r="O54" i="10"/>
  <c r="Y54" i="10"/>
  <c r="BA54" i="10"/>
  <c r="W54" i="10"/>
  <c r="BR54" i="10"/>
  <c r="BS54" i="10"/>
  <c r="BD54" i="10"/>
  <c r="BL54" i="10"/>
  <c r="J54" i="10"/>
  <c r="BE54" i="10"/>
  <c r="AD54" i="10"/>
  <c r="AZ54" i="10"/>
  <c r="Z54" i="10"/>
  <c r="BH54" i="10"/>
  <c r="AR54" i="10"/>
  <c r="Q54" i="10"/>
  <c r="AA45" i="2"/>
  <c r="BF51" i="12"/>
  <c r="AF51" i="12"/>
  <c r="AQ51" i="12"/>
  <c r="N51" i="12"/>
  <c r="AW51" i="12"/>
  <c r="BR51" i="12"/>
  <c r="BK51" i="12"/>
  <c r="BM51" i="12"/>
  <c r="P51" i="12"/>
  <c r="AD51" i="12"/>
  <c r="BN51" i="12"/>
  <c r="O51" i="12"/>
  <c r="AJ51" i="12"/>
  <c r="AE51" i="12"/>
  <c r="AZ51" i="12"/>
  <c r="J51" i="12"/>
  <c r="L51" i="12"/>
  <c r="AY51" i="12"/>
  <c r="BQ51" i="12"/>
  <c r="R51" i="12"/>
  <c r="X51" i="12"/>
  <c r="Z51" i="12"/>
  <c r="AB51" i="12"/>
  <c r="BO51" i="12"/>
  <c r="AL51" i="12"/>
  <c r="AN51" i="12"/>
  <c r="AP51" i="12"/>
  <c r="AS51" i="12"/>
  <c r="BB51" i="12"/>
  <c r="BE51" i="12"/>
  <c r="BJ51" i="12"/>
  <c r="BL51" i="12"/>
  <c r="AX51" i="12"/>
  <c r="BS51" i="12"/>
  <c r="Y51" i="12"/>
  <c r="Q51" i="12"/>
  <c r="W51" i="12"/>
  <c r="AO51" i="12"/>
  <c r="K51" i="12"/>
  <c r="M51" i="12"/>
  <c r="AK51" i="12"/>
  <c r="AM51" i="12"/>
  <c r="BA51" i="12"/>
  <c r="BP51" i="12"/>
  <c r="BD51" i="12"/>
  <c r="AA51" i="12"/>
  <c r="AR51" i="12"/>
  <c r="I51" i="12"/>
  <c r="T51" i="12"/>
  <c r="U51" i="12"/>
  <c r="V51" i="12"/>
  <c r="H51" i="12"/>
  <c r="AH51" i="12"/>
  <c r="AI51" i="12"/>
  <c r="S51" i="12"/>
  <c r="AU51" i="12"/>
  <c r="AV51" i="12"/>
  <c r="BC51" i="12"/>
  <c r="AG51" i="12"/>
  <c r="BH51" i="12"/>
  <c r="BI51" i="12"/>
  <c r="AC51" i="12"/>
  <c r="AT51" i="12"/>
  <c r="BG51" i="12"/>
  <c r="I44" i="2"/>
  <c r="L60" i="2"/>
  <c r="X59" i="2"/>
  <c r="AA55" i="2"/>
  <c r="L54" i="2"/>
  <c r="BI60" i="12"/>
  <c r="K60" i="12"/>
  <c r="J60" i="12"/>
  <c r="BK60" i="12"/>
  <c r="BR60" i="12"/>
  <c r="BN60" i="12"/>
  <c r="AY60" i="12"/>
  <c r="BM60" i="12"/>
  <c r="M60" i="12"/>
  <c r="I60" i="12"/>
  <c r="T60" i="12"/>
  <c r="BA60" i="12"/>
  <c r="BH60" i="12"/>
  <c r="BQ60" i="12"/>
  <c r="BF60" i="12"/>
  <c r="BD60" i="12"/>
  <c r="O60" i="12"/>
  <c r="H60" i="12"/>
  <c r="BJ60" i="12"/>
  <c r="AJ60" i="12"/>
  <c r="BE60" i="12"/>
  <c r="AX60" i="12"/>
  <c r="BS60" i="12"/>
  <c r="BP60" i="12"/>
  <c r="BL60" i="12"/>
  <c r="BG60" i="12"/>
  <c r="BC60" i="12"/>
  <c r="AZ60" i="12"/>
  <c r="L60" i="12"/>
  <c r="N60" i="12"/>
  <c r="BO60" i="12"/>
  <c r="BB60" i="12"/>
  <c r="L53" i="2"/>
  <c r="BR59" i="11"/>
  <c r="I52" i="2"/>
  <c r="BT75" i="11"/>
  <c r="I68" i="2"/>
  <c r="R74" i="10"/>
  <c r="D38" i="5"/>
  <c r="AA65" i="2"/>
  <c r="BL71" i="12"/>
  <c r="H71" i="12"/>
  <c r="AB71" i="12"/>
  <c r="BH71" i="12"/>
  <c r="BF71" i="12"/>
  <c r="BA71" i="12"/>
  <c r="AW71" i="12"/>
  <c r="U71" i="12"/>
  <c r="AV71" i="12"/>
  <c r="AT71" i="12"/>
  <c r="AG71" i="12"/>
  <c r="AD71" i="12"/>
  <c r="BD71" i="12"/>
  <c r="Y71" i="12"/>
  <c r="AJ71" i="12"/>
  <c r="AH71" i="12"/>
  <c r="Q71" i="12"/>
  <c r="M71" i="12"/>
  <c r="AN71" i="12"/>
  <c r="AP71" i="12"/>
  <c r="X71" i="12"/>
  <c r="V71" i="12"/>
  <c r="BP71" i="12"/>
  <c r="BM71" i="12"/>
  <c r="T71" i="12"/>
  <c r="L71" i="12"/>
  <c r="J71" i="12"/>
  <c r="AZ71" i="12"/>
  <c r="AS71" i="12"/>
  <c r="BS71" i="12"/>
  <c r="BC71" i="12"/>
  <c r="AF71" i="12"/>
  <c r="AC71" i="12"/>
  <c r="AR71" i="12"/>
  <c r="BI71" i="12"/>
  <c r="BG71" i="12"/>
  <c r="AM71" i="12"/>
  <c r="P71" i="12"/>
  <c r="I71" i="12"/>
  <c r="BJ71" i="12"/>
  <c r="AU71" i="12"/>
  <c r="S71" i="12"/>
  <c r="BO71" i="12"/>
  <c r="BK71" i="12"/>
  <c r="AX71" i="12"/>
  <c r="AI71" i="12"/>
  <c r="BB71" i="12"/>
  <c r="AY71" i="12"/>
  <c r="AQ71" i="12"/>
  <c r="AL71" i="12"/>
  <c r="W71" i="12"/>
  <c r="AK71" i="12"/>
  <c r="AE71" i="12"/>
  <c r="AA71" i="12"/>
  <c r="Z71" i="12"/>
  <c r="K71" i="12"/>
  <c r="R71" i="12"/>
  <c r="O71" i="12"/>
  <c r="BE71" i="12"/>
  <c r="N71" i="12"/>
  <c r="BR71" i="12"/>
  <c r="BQ71" i="12"/>
  <c r="BN71" i="12"/>
  <c r="AO71" i="12"/>
  <c r="I63" i="2"/>
  <c r="BK43" i="5"/>
  <c r="BI37" i="5"/>
  <c r="AW37" i="5"/>
  <c r="AK37" i="5"/>
  <c r="Y37" i="5"/>
  <c r="M37" i="5"/>
  <c r="BN99" i="5"/>
  <c r="BB99" i="5"/>
  <c r="AP99" i="5"/>
  <c r="AD99" i="5"/>
  <c r="R99" i="5"/>
  <c r="BS98" i="5"/>
  <c r="BG98" i="5"/>
  <c r="AU98" i="5"/>
  <c r="AI98" i="5"/>
  <c r="W98" i="5"/>
  <c r="K98" i="5"/>
  <c r="BL49" i="5"/>
  <c r="AZ49" i="5"/>
  <c r="BQ28" i="5"/>
  <c r="I28" i="5"/>
  <c r="N77" i="5"/>
  <c r="BO70" i="5"/>
  <c r="BC70" i="5"/>
  <c r="BT76" i="5"/>
  <c r="BH76" i="5"/>
  <c r="AV76" i="5"/>
  <c r="L76" i="5"/>
  <c r="BM97" i="5"/>
  <c r="BA97" i="5"/>
  <c r="AO97" i="5"/>
  <c r="AC97" i="5"/>
  <c r="Q97" i="5"/>
  <c r="BR83" i="5"/>
  <c r="BF83" i="5"/>
  <c r="AT83" i="5"/>
  <c r="J83" i="5"/>
  <c r="BK85" i="5"/>
  <c r="AY85" i="5"/>
  <c r="AM85" i="5"/>
  <c r="AA85" i="5"/>
  <c r="O85" i="5"/>
  <c r="Z74" i="7"/>
  <c r="AK74" i="7"/>
  <c r="J73" i="7"/>
  <c r="AJ74" i="7"/>
  <c r="BG74" i="7"/>
  <c r="BA72" i="7"/>
  <c r="BL72" i="7"/>
  <c r="J72" i="7"/>
  <c r="L68" i="7"/>
  <c r="J58" i="7"/>
  <c r="BR72" i="7"/>
  <c r="BJ70" i="7"/>
  <c r="BI64" i="7"/>
  <c r="AH56" i="7"/>
  <c r="N75" i="7"/>
  <c r="BQ75" i="7"/>
  <c r="BT75" i="7"/>
  <c r="AS68" i="7"/>
  <c r="BT60" i="7"/>
  <c r="T60" i="7"/>
  <c r="AE48" i="7"/>
  <c r="M73" i="7"/>
  <c r="BH68" i="7"/>
  <c r="AZ58" i="7"/>
  <c r="BO58" i="7"/>
  <c r="BN48" i="7"/>
  <c r="I71" i="7"/>
  <c r="N68" i="7"/>
  <c r="AH68" i="7"/>
  <c r="AL73" i="7"/>
  <c r="BA73" i="7"/>
  <c r="BG67" i="7"/>
  <c r="AE59" i="7"/>
  <c r="BQ53" i="7"/>
  <c r="Q41" i="7"/>
  <c r="R68" i="7"/>
  <c r="AT59" i="7"/>
  <c r="AC59" i="7"/>
  <c r="AK59" i="7"/>
  <c r="W63" i="7"/>
  <c r="AA63" i="7"/>
  <c r="O63" i="7"/>
  <c r="AO63" i="7"/>
  <c r="BM53" i="7"/>
  <c r="M41" i="7"/>
  <c r="AL68" i="7"/>
  <c r="AU59" i="7"/>
  <c r="BP57" i="7"/>
  <c r="BL53" i="7"/>
  <c r="BK45" i="7"/>
  <c r="BA33" i="7"/>
  <c r="M65" i="7"/>
  <c r="H43" i="7"/>
  <c r="BI67" i="7"/>
  <c r="AZ67" i="7"/>
  <c r="D17" i="8"/>
  <c r="D82" i="5"/>
  <c r="AO40" i="12"/>
  <c r="AZ25" i="12"/>
  <c r="Y25" i="10"/>
  <c r="Z25" i="11"/>
  <c r="U25" i="7"/>
  <c r="BE29" i="5"/>
  <c r="AC18" i="7"/>
  <c r="AR18" i="11"/>
  <c r="E25" i="2"/>
  <c r="D36" i="5"/>
  <c r="D75" i="5"/>
  <c r="AD28" i="11"/>
  <c r="U24" i="5"/>
  <c r="D92" i="5"/>
  <c r="D17" i="12"/>
  <c r="D17" i="11"/>
  <c r="D31" i="5"/>
  <c r="D17" i="7"/>
  <c r="U10" i="2"/>
  <c r="AA10" i="2"/>
  <c r="X31" i="2"/>
  <c r="L31" i="2"/>
  <c r="M35" i="12"/>
  <c r="K35" i="12"/>
  <c r="BO35" i="12"/>
  <c r="BL35" i="12"/>
  <c r="BK35" i="12"/>
  <c r="I35" i="12"/>
  <c r="J35" i="12"/>
  <c r="O35" i="12"/>
  <c r="BN35" i="12"/>
  <c r="BJ35" i="12"/>
  <c r="BR35" i="12"/>
  <c r="H35" i="12"/>
  <c r="BH35" i="12"/>
  <c r="BM35" i="12"/>
  <c r="BI35" i="12"/>
  <c r="N35" i="12"/>
  <c r="L35" i="12"/>
  <c r="BQ35" i="12"/>
  <c r="BP35" i="12"/>
  <c r="BS35" i="12"/>
  <c r="BN34" i="11"/>
  <c r="BQ34" i="11"/>
  <c r="BP34" i="11"/>
  <c r="R34" i="11"/>
  <c r="BR34" i="11"/>
  <c r="N34" i="11"/>
  <c r="BH34" i="11"/>
  <c r="BD34" i="11"/>
  <c r="AV34" i="11"/>
  <c r="BI34" i="11"/>
  <c r="P34" i="11"/>
  <c r="AW34" i="11"/>
  <c r="U34" i="11"/>
  <c r="L34" i="11"/>
  <c r="I34" i="11"/>
  <c r="BK34" i="11"/>
  <c r="BG34" i="11"/>
  <c r="BT34" i="11"/>
  <c r="AY34" i="11"/>
  <c r="Y34" i="11"/>
  <c r="BC34" i="11"/>
  <c r="BM34" i="11"/>
  <c r="M34" i="11"/>
  <c r="T34" i="11"/>
  <c r="BA34" i="11"/>
  <c r="AA34" i="11"/>
  <c r="W34" i="11"/>
  <c r="BF34" i="11"/>
  <c r="K34" i="11"/>
  <c r="O34" i="11"/>
  <c r="BS34" i="11"/>
  <c r="X34" i="11"/>
  <c r="V34" i="11"/>
  <c r="BJ34" i="11"/>
  <c r="BO34" i="11"/>
  <c r="S34" i="11"/>
  <c r="BB34" i="11"/>
  <c r="H34" i="11"/>
  <c r="Q34" i="11"/>
  <c r="AX34" i="11"/>
  <c r="BE34" i="11"/>
  <c r="BL34" i="11"/>
  <c r="J34" i="11"/>
  <c r="AZ34" i="11"/>
  <c r="Z34" i="11"/>
  <c r="BP34" i="7"/>
  <c r="I34" i="7"/>
  <c r="BQ34" i="7"/>
  <c r="BL34" i="7"/>
  <c r="BJ34" i="7"/>
  <c r="BN34" i="7"/>
  <c r="BD34" i="7"/>
  <c r="W34" i="7"/>
  <c r="BH34" i="7"/>
  <c r="K34" i="7"/>
  <c r="BM34" i="7"/>
  <c r="BR34" i="7"/>
  <c r="M34" i="7"/>
  <c r="AY34" i="7"/>
  <c r="BE34" i="7"/>
  <c r="H34" i="7"/>
  <c r="BK34" i="7"/>
  <c r="N34" i="7"/>
  <c r="T34" i="7"/>
  <c r="BI34" i="7"/>
  <c r="U34" i="7"/>
  <c r="L34" i="7"/>
  <c r="BT34" i="7"/>
  <c r="BG34" i="7"/>
  <c r="X24" i="2"/>
  <c r="AR30" i="10"/>
  <c r="AT30" i="10"/>
  <c r="BN30" i="10"/>
  <c r="AA30" i="10"/>
  <c r="BP30" i="10"/>
  <c r="BT30" i="10"/>
  <c r="BR30" i="10"/>
  <c r="BH30" i="10"/>
  <c r="BF30" i="10"/>
  <c r="Q30" i="10"/>
  <c r="AV30" i="10"/>
  <c r="AH30" i="10"/>
  <c r="AM30" i="10"/>
  <c r="T30" i="10"/>
  <c r="AJ30" i="10"/>
  <c r="BB30" i="10"/>
  <c r="P30" i="10"/>
  <c r="BD30" i="10"/>
  <c r="X30" i="10"/>
  <c r="J30" i="10"/>
  <c r="AL30" i="10"/>
  <c r="BL30" i="10"/>
  <c r="L30" i="10"/>
  <c r="BQ30" i="10"/>
  <c r="BC30" i="10"/>
  <c r="AN30" i="10"/>
  <c r="AX30" i="10"/>
  <c r="BS30" i="10"/>
  <c r="BE30" i="10"/>
  <c r="N30" i="10"/>
  <c r="BJ30" i="10"/>
  <c r="S30" i="10"/>
  <c r="BI30" i="10"/>
  <c r="BG30" i="10"/>
  <c r="AG30" i="10"/>
  <c r="AE30" i="10"/>
  <c r="AO30" i="10"/>
  <c r="AC30" i="10"/>
  <c r="AW30" i="10"/>
  <c r="AU30" i="10"/>
  <c r="U30" i="10"/>
  <c r="BA30" i="10"/>
  <c r="BK30" i="10"/>
  <c r="AY30" i="10"/>
  <c r="AK30" i="10"/>
  <c r="AI30" i="10"/>
  <c r="I30" i="10"/>
  <c r="H30" i="10"/>
  <c r="BO30" i="10"/>
  <c r="Z30" i="10"/>
  <c r="Y30" i="10"/>
  <c r="W30" i="10"/>
  <c r="AD30" i="10"/>
  <c r="AQ30" i="10"/>
  <c r="M30" i="10"/>
  <c r="K30" i="10"/>
  <c r="AZ30" i="10"/>
  <c r="BM30" i="10"/>
  <c r="BJ28" i="7"/>
  <c r="BP28" i="7"/>
  <c r="BH28" i="7"/>
  <c r="BN28" i="7"/>
  <c r="BM28" i="7"/>
  <c r="BQ28" i="7"/>
  <c r="BE28" i="7"/>
  <c r="BL28" i="7"/>
  <c r="BF28" i="7"/>
  <c r="BK28" i="7"/>
  <c r="BS28" i="7"/>
  <c r="BT28" i="7"/>
  <c r="BR28" i="7"/>
  <c r="BG28" i="7"/>
  <c r="BD28" i="7"/>
  <c r="BI28" i="7"/>
  <c r="BO28" i="7"/>
  <c r="BR19" i="10"/>
  <c r="BA19" i="10"/>
  <c r="K19" i="10"/>
  <c r="L19" i="10"/>
  <c r="AZ19" i="10"/>
  <c r="BL19" i="10"/>
  <c r="BI19" i="10"/>
  <c r="M19" i="10"/>
  <c r="BK19" i="10"/>
  <c r="BH19" i="10"/>
  <c r="BG19" i="10"/>
  <c r="BS19" i="10"/>
  <c r="BM19" i="10"/>
  <c r="BJ19" i="10"/>
  <c r="BD19" i="10"/>
  <c r="BE19" i="10"/>
  <c r="BP19" i="10"/>
  <c r="BQ19" i="10"/>
  <c r="AI19" i="10"/>
  <c r="J19" i="10"/>
  <c r="AW19" i="10"/>
  <c r="BO19" i="10"/>
  <c r="BF19" i="10"/>
  <c r="AY19" i="10"/>
  <c r="H19" i="10"/>
  <c r="I19" i="10"/>
  <c r="BN19" i="10"/>
  <c r="AA19" i="2"/>
  <c r="BQ17" i="10"/>
  <c r="BN17" i="10"/>
  <c r="BL17" i="10"/>
  <c r="AZ17" i="10"/>
  <c r="BT17" i="10"/>
  <c r="AT17" i="10"/>
  <c r="BJ17" i="10"/>
  <c r="BI17" i="10"/>
  <c r="BA17" i="10"/>
  <c r="AW17" i="10"/>
  <c r="AY17" i="10"/>
  <c r="BO17" i="10"/>
  <c r="BK17" i="10"/>
  <c r="BR17" i="10"/>
  <c r="K17" i="10"/>
  <c r="H17" i="10"/>
  <c r="BC17" i="10"/>
  <c r="AV17" i="10"/>
  <c r="BB17" i="10"/>
  <c r="I17" i="10"/>
  <c r="J17" i="10"/>
  <c r="L17" i="10"/>
  <c r="BG17" i="10"/>
  <c r="AX17" i="10"/>
  <c r="BD17" i="10"/>
  <c r="BP17" i="10"/>
  <c r="BS17" i="10"/>
  <c r="BE17" i="10"/>
  <c r="BF17" i="10"/>
  <c r="BH17" i="10"/>
  <c r="M17" i="10"/>
  <c r="AU17" i="10"/>
  <c r="BM17" i="10"/>
  <c r="X15" i="2"/>
  <c r="BL22" i="7"/>
  <c r="M22" i="7"/>
  <c r="J22" i="7"/>
  <c r="AX22" i="7"/>
  <c r="BT22" i="7"/>
  <c r="BP22" i="7"/>
  <c r="BK22" i="7"/>
  <c r="BF22" i="7"/>
  <c r="K22" i="7"/>
  <c r="BR22" i="7"/>
  <c r="BQ22" i="7"/>
  <c r="BM22" i="7"/>
  <c r="H22" i="7"/>
  <c r="BJ22" i="7"/>
  <c r="L22" i="7"/>
  <c r="AV22" i="7"/>
  <c r="BO22" i="7"/>
  <c r="BS22" i="7"/>
  <c r="BE22" i="7"/>
  <c r="BH22" i="7"/>
  <c r="BI22" i="7"/>
  <c r="I22" i="7"/>
  <c r="BN22" i="7"/>
  <c r="BC19" i="5"/>
  <c r="BP19" i="5"/>
  <c r="I75" i="5"/>
  <c r="U43" i="2"/>
  <c r="AA43" i="2"/>
  <c r="L43" i="2"/>
  <c r="BE49" i="11"/>
  <c r="BF49" i="11"/>
  <c r="BN49" i="11"/>
  <c r="BD49" i="11"/>
  <c r="BM49" i="11"/>
  <c r="BH49" i="11"/>
  <c r="BP49" i="11"/>
  <c r="BI49" i="11"/>
  <c r="I49" i="11"/>
  <c r="BO49" i="11"/>
  <c r="BK49" i="11"/>
  <c r="BR49" i="11"/>
  <c r="H49" i="11"/>
  <c r="BS49" i="11"/>
  <c r="BG49" i="11"/>
  <c r="J49" i="11"/>
  <c r="BJ49" i="11"/>
  <c r="BQ49" i="11"/>
  <c r="BB49" i="11"/>
  <c r="BL49" i="11"/>
  <c r="BT49" i="11"/>
  <c r="K49" i="11"/>
  <c r="BO46" i="12"/>
  <c r="Q46" i="12"/>
  <c r="L46" i="12"/>
  <c r="P46" i="12"/>
  <c r="N46" i="12"/>
  <c r="BP46" i="12"/>
  <c r="BI46" i="12"/>
  <c r="BM46" i="12"/>
  <c r="M46" i="12"/>
  <c r="BL46" i="12"/>
  <c r="T46" i="12"/>
  <c r="H46" i="12"/>
  <c r="BJ46" i="12"/>
  <c r="BH46" i="12"/>
  <c r="BS46" i="12"/>
  <c r="O46" i="12"/>
  <c r="S46" i="12"/>
  <c r="BR46" i="12"/>
  <c r="BN46" i="12"/>
  <c r="BK46" i="12"/>
  <c r="I46" i="12"/>
  <c r="U46" i="12"/>
  <c r="J46" i="12"/>
  <c r="V46" i="12"/>
  <c r="R46" i="12"/>
  <c r="BQ46" i="12"/>
  <c r="K46" i="12"/>
  <c r="W46" i="12"/>
  <c r="BJ45" i="11"/>
  <c r="BK45" i="11"/>
  <c r="BL45" i="11"/>
  <c r="I45" i="11"/>
  <c r="J45" i="11"/>
  <c r="BS45" i="11"/>
  <c r="BQ45" i="11"/>
  <c r="BM45" i="11"/>
  <c r="BN45" i="11"/>
  <c r="H45" i="11"/>
  <c r="BI45" i="11"/>
  <c r="K45" i="11"/>
  <c r="BO45" i="11"/>
  <c r="BP45" i="11"/>
  <c r="BT45" i="11"/>
  <c r="BR45" i="11"/>
  <c r="BH45" i="11"/>
  <c r="D30" i="5"/>
  <c r="Q44" i="12"/>
  <c r="R44" i="7"/>
  <c r="AK21" i="5"/>
  <c r="L51" i="2"/>
  <c r="BR43" i="10"/>
  <c r="BG43" i="10"/>
  <c r="K43" i="10"/>
  <c r="N43" i="10"/>
  <c r="BD43" i="10"/>
  <c r="BT43" i="10"/>
  <c r="BL43" i="10"/>
  <c r="J43" i="10"/>
  <c r="BN43" i="10"/>
  <c r="BP43" i="10"/>
  <c r="W43" i="10"/>
  <c r="BQ43" i="10"/>
  <c r="L43" i="10"/>
  <c r="T43" i="10"/>
  <c r="BK43" i="10"/>
  <c r="O43" i="10"/>
  <c r="P43" i="10"/>
  <c r="BO43" i="10"/>
  <c r="BJ43" i="10"/>
  <c r="M43" i="10"/>
  <c r="BE43" i="10"/>
  <c r="BM43" i="10"/>
  <c r="BI43" i="10"/>
  <c r="Q43" i="10"/>
  <c r="S43" i="10"/>
  <c r="H43" i="10"/>
  <c r="U43" i="10"/>
  <c r="BF43" i="10"/>
  <c r="R43" i="10"/>
  <c r="BS43" i="10"/>
  <c r="BH43" i="10"/>
  <c r="I43" i="10"/>
  <c r="V43" i="10"/>
  <c r="U54" i="12"/>
  <c r="AJ54" i="10"/>
  <c r="X62" i="2"/>
  <c r="AT69" i="7"/>
  <c r="N28" i="5"/>
  <c r="BH67" i="12"/>
  <c r="AR67" i="12"/>
  <c r="AA67" i="12"/>
  <c r="L67" i="12"/>
  <c r="BG67" i="12"/>
  <c r="AO67" i="12"/>
  <c r="Z67" i="12"/>
  <c r="K67" i="12"/>
  <c r="BE67" i="12"/>
  <c r="AN67" i="12"/>
  <c r="Y67" i="12"/>
  <c r="I67" i="12"/>
  <c r="BD67" i="12"/>
  <c r="AM67" i="12"/>
  <c r="X67" i="12"/>
  <c r="H67" i="12"/>
  <c r="BS67" i="12"/>
  <c r="BA67" i="12"/>
  <c r="AL67" i="12"/>
  <c r="W67" i="12"/>
  <c r="BO67" i="12"/>
  <c r="BQ67" i="12"/>
  <c r="AZ67" i="12"/>
  <c r="AK67" i="12"/>
  <c r="U67" i="12"/>
  <c r="BR67" i="12"/>
  <c r="BP67" i="12"/>
  <c r="AY67" i="12"/>
  <c r="AJ67" i="12"/>
  <c r="T67" i="12"/>
  <c r="BM67" i="12"/>
  <c r="AX67" i="12"/>
  <c r="AI67" i="12"/>
  <c r="Q67" i="12"/>
  <c r="BL67" i="12"/>
  <c r="AW67" i="12"/>
  <c r="AG67" i="12"/>
  <c r="P67" i="12"/>
  <c r="BJ67" i="12"/>
  <c r="AU67" i="12"/>
  <c r="AC67" i="12"/>
  <c r="N67" i="12"/>
  <c r="O67" i="12"/>
  <c r="M67" i="12"/>
  <c r="BK67" i="12"/>
  <c r="BI67" i="12"/>
  <c r="AV67" i="12"/>
  <c r="AS67" i="12"/>
  <c r="AB67" i="12"/>
  <c r="AF67" i="12"/>
  <c r="AT67" i="12"/>
  <c r="R67" i="12"/>
  <c r="BF67" i="12"/>
  <c r="AD67" i="12"/>
  <c r="AP67" i="12"/>
  <c r="BB67" i="12"/>
  <c r="BN67" i="12"/>
  <c r="S67" i="12"/>
  <c r="AE67" i="12"/>
  <c r="AQ67" i="12"/>
  <c r="J67" i="12"/>
  <c r="BC67" i="12"/>
  <c r="V67" i="12"/>
  <c r="AH67" i="12"/>
  <c r="D76" i="5"/>
  <c r="U97" i="5"/>
  <c r="O83" i="5"/>
  <c r="BM61" i="12"/>
  <c r="BN61" i="12"/>
  <c r="K61" i="12"/>
  <c r="BG61" i="12"/>
  <c r="BR61" i="12"/>
  <c r="BL61" i="12"/>
  <c r="O61" i="12"/>
  <c r="BE61" i="12"/>
  <c r="AZ61" i="12"/>
  <c r="BP61" i="12"/>
  <c r="J61" i="12"/>
  <c r="BB61" i="12"/>
  <c r="BH61" i="12"/>
  <c r="L61" i="12"/>
  <c r="I61" i="12"/>
  <c r="BS61" i="12"/>
  <c r="N61" i="12"/>
  <c r="H61" i="12"/>
  <c r="R61" i="12"/>
  <c r="BO61" i="12"/>
  <c r="BK61" i="12"/>
  <c r="Q61" i="12"/>
  <c r="BA61" i="12"/>
  <c r="BJ61" i="12"/>
  <c r="P61" i="12"/>
  <c r="BQ61" i="12"/>
  <c r="BF61" i="12"/>
  <c r="BC61" i="12"/>
  <c r="S61" i="12"/>
  <c r="BI61" i="12"/>
  <c r="BD61" i="12"/>
  <c r="M61" i="12"/>
  <c r="X53" i="2"/>
  <c r="N59" i="11"/>
  <c r="AI59" i="11"/>
  <c r="BH59" i="11"/>
  <c r="AT59" i="11"/>
  <c r="AH59" i="11"/>
  <c r="BD59" i="11"/>
  <c r="AY59" i="11"/>
  <c r="BN59" i="11"/>
  <c r="I59" i="11"/>
  <c r="BT59" i="11"/>
  <c r="AU59" i="11"/>
  <c r="AD59" i="11"/>
  <c r="AF59" i="11"/>
  <c r="R59" i="11"/>
  <c r="T59" i="11"/>
  <c r="L59" i="11"/>
  <c r="BP59" i="11"/>
  <c r="AV59" i="11"/>
  <c r="AX59" i="11"/>
  <c r="AG59" i="11"/>
  <c r="AJ59" i="11"/>
  <c r="AL59" i="11"/>
  <c r="BQ59" i="11"/>
  <c r="BE59" i="11"/>
  <c r="BG59" i="11"/>
  <c r="X59" i="11"/>
  <c r="W59" i="11"/>
  <c r="AS59" i="11"/>
  <c r="AR59" i="11"/>
  <c r="BK59" i="11"/>
  <c r="U59" i="11"/>
  <c r="BJ59" i="11"/>
  <c r="H59" i="11"/>
  <c r="O59" i="11"/>
  <c r="BS59" i="11"/>
  <c r="AA59" i="11"/>
  <c r="K59" i="11"/>
  <c r="AP59" i="11"/>
  <c r="Z59" i="11"/>
  <c r="J59" i="11"/>
  <c r="AZ59" i="11"/>
  <c r="BO59" i="11"/>
  <c r="AN59" i="11"/>
  <c r="BC59" i="11"/>
  <c r="AB59" i="11"/>
  <c r="AQ59" i="11"/>
  <c r="P59" i="11"/>
  <c r="AE59" i="11"/>
  <c r="BI59" i="11"/>
  <c r="S59" i="11"/>
  <c r="AW59" i="11"/>
  <c r="BM59" i="11"/>
  <c r="AK59" i="11"/>
  <c r="BA59" i="11"/>
  <c r="Y59" i="11"/>
  <c r="BB59" i="11"/>
  <c r="AO59" i="11"/>
  <c r="M59" i="11"/>
  <c r="Q59" i="11"/>
  <c r="AM59" i="11"/>
  <c r="BL59" i="11"/>
  <c r="BF59" i="11"/>
  <c r="AC59" i="11"/>
  <c r="V59" i="11"/>
  <c r="AZ75" i="11"/>
  <c r="BG75" i="11"/>
  <c r="BA75" i="11"/>
  <c r="I75" i="11"/>
  <c r="BP75" i="11"/>
  <c r="O75" i="11"/>
  <c r="J75" i="11"/>
  <c r="U75" i="11"/>
  <c r="BJ75" i="11"/>
  <c r="BS75" i="11"/>
  <c r="AU75" i="11"/>
  <c r="AO75" i="11"/>
  <c r="AC75" i="11"/>
  <c r="Q75" i="11"/>
  <c r="AT75" i="11"/>
  <c r="N75" i="11"/>
  <c r="BR75" i="11"/>
  <c r="AJ75" i="11"/>
  <c r="AK75" i="11"/>
  <c r="BL75" i="11"/>
  <c r="BH75" i="11"/>
  <c r="AM75" i="11"/>
  <c r="AW75" i="11"/>
  <c r="AS75" i="11"/>
  <c r="M75" i="11"/>
  <c r="W75" i="11"/>
  <c r="AH75" i="11"/>
  <c r="AA75" i="11"/>
  <c r="BQ75" i="11"/>
  <c r="BI75" i="11"/>
  <c r="P75" i="11"/>
  <c r="L75" i="11"/>
  <c r="AL75" i="11"/>
  <c r="V75" i="11"/>
  <c r="BK75" i="11"/>
  <c r="BF75" i="11"/>
  <c r="K75" i="11"/>
  <c r="X75" i="11"/>
  <c r="AX75" i="11"/>
  <c r="AV75" i="11"/>
  <c r="AN75" i="11"/>
  <c r="BE75" i="11"/>
  <c r="BM75" i="11"/>
  <c r="AG75" i="11"/>
  <c r="Y75" i="11"/>
  <c r="Z75" i="11"/>
  <c r="AB75" i="11"/>
  <c r="AY75" i="11"/>
  <c r="AI75" i="11"/>
  <c r="BN75" i="11"/>
  <c r="H75" i="11"/>
  <c r="T75" i="11"/>
  <c r="AF75" i="11"/>
  <c r="AR75" i="11"/>
  <c r="BD75" i="11"/>
  <c r="S75" i="11"/>
  <c r="R75" i="11"/>
  <c r="AE75" i="11"/>
  <c r="AP75" i="11"/>
  <c r="BC75" i="11"/>
  <c r="BB75" i="11"/>
  <c r="BO75" i="11"/>
  <c r="AD75" i="11"/>
  <c r="AQ75" i="11"/>
  <c r="Y74" i="10"/>
  <c r="BT74" i="10"/>
  <c r="BN74" i="10"/>
  <c r="BB74" i="10"/>
  <c r="AJ74" i="10"/>
  <c r="AC74" i="10"/>
  <c r="Z74" i="10"/>
  <c r="AS74" i="10"/>
  <c r="AM74" i="10"/>
  <c r="AV74" i="10"/>
  <c r="BG74" i="10"/>
  <c r="BD74" i="10"/>
  <c r="AN74" i="10"/>
  <c r="BE74" i="10"/>
  <c r="AX74" i="10"/>
  <c r="AU74" i="10"/>
  <c r="AR74" i="10"/>
  <c r="AB74" i="10"/>
  <c r="AK74" i="10"/>
  <c r="AI74" i="10"/>
  <c r="AF74" i="10"/>
  <c r="P74" i="10"/>
  <c r="O74" i="10"/>
  <c r="W74" i="10"/>
  <c r="T74" i="10"/>
  <c r="BK74" i="10"/>
  <c r="BA74" i="10"/>
  <c r="K74" i="10"/>
  <c r="H74" i="10"/>
  <c r="AP74" i="10"/>
  <c r="AG74" i="10"/>
  <c r="BR74" i="10"/>
  <c r="BO74" i="10"/>
  <c r="X74" i="10"/>
  <c r="M74" i="10"/>
  <c r="BF74" i="10"/>
  <c r="BC74" i="10"/>
  <c r="BJ74" i="10"/>
  <c r="AY74" i="10"/>
  <c r="I74" i="10"/>
  <c r="N74" i="10"/>
  <c r="AT74" i="10"/>
  <c r="AQ74" i="10"/>
  <c r="AO74" i="10"/>
  <c r="AD74" i="10"/>
  <c r="BI74" i="10"/>
  <c r="BM74" i="10"/>
  <c r="AH74" i="10"/>
  <c r="AE74" i="10"/>
  <c r="U74" i="10"/>
  <c r="L74" i="10"/>
  <c r="V74" i="10"/>
  <c r="S74" i="10"/>
  <c r="BH74" i="10"/>
  <c r="BQ74" i="10"/>
  <c r="J74" i="10"/>
  <c r="BL74" i="10"/>
  <c r="AL74" i="10"/>
  <c r="AW74" i="10"/>
  <c r="BS74" i="10"/>
  <c r="BP74" i="10"/>
  <c r="AZ74" i="10"/>
  <c r="Q74" i="10"/>
  <c r="AA74" i="10"/>
  <c r="C38" i="5"/>
  <c r="L65" i="2"/>
  <c r="X64" i="2"/>
  <c r="BT71" i="7"/>
  <c r="BO70" i="11"/>
  <c r="BS70" i="11"/>
  <c r="BR70" i="11"/>
  <c r="BP70" i="11"/>
  <c r="BL70" i="11"/>
  <c r="BF70" i="11"/>
  <c r="BA70" i="11"/>
  <c r="AT70" i="11"/>
  <c r="AQ70" i="11"/>
  <c r="V70" i="11"/>
  <c r="AI70" i="11"/>
  <c r="AE70" i="11"/>
  <c r="AB70" i="11"/>
  <c r="H70" i="11"/>
  <c r="BD70" i="11"/>
  <c r="T70" i="11"/>
  <c r="P70" i="11"/>
  <c r="J70" i="11"/>
  <c r="AV70" i="11"/>
  <c r="AS70" i="11"/>
  <c r="BE70" i="11"/>
  <c r="AG70" i="11"/>
  <c r="AD70" i="11"/>
  <c r="AP70" i="11"/>
  <c r="R70" i="11"/>
  <c r="L70" i="11"/>
  <c r="X70" i="11"/>
  <c r="BM70" i="11"/>
  <c r="BG70" i="11"/>
  <c r="I70" i="11"/>
  <c r="W70" i="11"/>
  <c r="AU70" i="11"/>
  <c r="AR70" i="11"/>
  <c r="AF70" i="11"/>
  <c r="AC70" i="11"/>
  <c r="BC70" i="11"/>
  <c r="BI70" i="11"/>
  <c r="AW70" i="11"/>
  <c r="BK70" i="11"/>
  <c r="AK70" i="11"/>
  <c r="AY70" i="11"/>
  <c r="Y70" i="11"/>
  <c r="BN70" i="11"/>
  <c r="AM70" i="11"/>
  <c r="M70" i="11"/>
  <c r="Q70" i="11"/>
  <c r="AN70" i="11"/>
  <c r="AA70" i="11"/>
  <c r="U70" i="11"/>
  <c r="BH70" i="11"/>
  <c r="O70" i="11"/>
  <c r="AJ70" i="11"/>
  <c r="K70" i="11"/>
  <c r="BJ70" i="11"/>
  <c r="BB70" i="11"/>
  <c r="BT70" i="11"/>
  <c r="AO70" i="11"/>
  <c r="S70" i="11"/>
  <c r="AX70" i="11"/>
  <c r="BQ70" i="11"/>
  <c r="AZ70" i="11"/>
  <c r="Z70" i="11"/>
  <c r="N70" i="11"/>
  <c r="AH70" i="11"/>
  <c r="AL70" i="11"/>
  <c r="BJ43" i="5"/>
  <c r="AX43" i="5"/>
  <c r="AL43" i="5"/>
  <c r="BT37" i="5"/>
  <c r="BH37" i="5"/>
  <c r="AV37" i="5"/>
  <c r="AJ37" i="5"/>
  <c r="X37" i="5"/>
  <c r="L37" i="5"/>
  <c r="BM99" i="5"/>
  <c r="BA99" i="5"/>
  <c r="AO99" i="5"/>
  <c r="AC99" i="5"/>
  <c r="Q99" i="5"/>
  <c r="BR98" i="5"/>
  <c r="BF98" i="5"/>
  <c r="AT98" i="5"/>
  <c r="AH98" i="5"/>
  <c r="V98" i="5"/>
  <c r="J98" i="5"/>
  <c r="BK49" i="5"/>
  <c r="AY49" i="5"/>
  <c r="BP28" i="5"/>
  <c r="H28" i="5"/>
  <c r="BN70" i="5"/>
  <c r="BB70" i="5"/>
  <c r="BS76" i="5"/>
  <c r="BG76" i="5"/>
  <c r="AU76" i="5"/>
  <c r="K76" i="5"/>
  <c r="BL97" i="5"/>
  <c r="AZ97" i="5"/>
  <c r="AN97" i="5"/>
  <c r="AB97" i="5"/>
  <c r="P97" i="5"/>
  <c r="BQ83" i="5"/>
  <c r="BE83" i="5"/>
  <c r="I83" i="5"/>
  <c r="BJ85" i="5"/>
  <c r="AX85" i="5"/>
  <c r="AL85" i="5"/>
  <c r="Z85" i="5"/>
  <c r="N85" i="5"/>
  <c r="AA59" i="2"/>
  <c r="L74" i="7"/>
  <c r="U74" i="7"/>
  <c r="V73" i="7"/>
  <c r="T74" i="7"/>
  <c r="BS74" i="7"/>
  <c r="BB72" i="7"/>
  <c r="AT72" i="7"/>
  <c r="X72" i="7"/>
  <c r="AG72" i="7"/>
  <c r="BH64" i="7"/>
  <c r="BH56" i="7"/>
  <c r="AQ72" i="7"/>
  <c r="AX70" i="7"/>
  <c r="BE64" i="7"/>
  <c r="BR60" i="7"/>
  <c r="AT56" i="7"/>
  <c r="AY75" i="7"/>
  <c r="K75" i="7"/>
  <c r="BN73" i="7"/>
  <c r="M69" i="7"/>
  <c r="Z68" i="7"/>
  <c r="BQ58" i="7"/>
  <c r="S48" i="7"/>
  <c r="BJ72" i="7"/>
  <c r="AN68" i="7"/>
  <c r="L58" i="7"/>
  <c r="K72" i="7"/>
  <c r="AB68" i="7"/>
  <c r="AT68" i="7"/>
  <c r="BD73" i="7"/>
  <c r="BO73" i="7"/>
  <c r="AZ57" i="7"/>
  <c r="AZ53" i="7"/>
  <c r="BF34" i="7"/>
  <c r="BF67" i="7"/>
  <c r="AX61" i="7"/>
  <c r="BJ59" i="7"/>
  <c r="AQ59" i="7"/>
  <c r="AW59" i="7"/>
  <c r="AN63" i="7"/>
  <c r="AT63" i="7"/>
  <c r="AD63" i="7"/>
  <c r="BA63" i="7"/>
  <c r="S62" i="7"/>
  <c r="AV53" i="7"/>
  <c r="BO34" i="7"/>
  <c r="AY67" i="7"/>
  <c r="W59" i="7"/>
  <c r="AY57" i="7"/>
  <c r="BM55" i="7"/>
  <c r="BQ59" i="7"/>
  <c r="BD41" i="7"/>
  <c r="BP37" i="11"/>
  <c r="BT37" i="11"/>
  <c r="V37" i="11"/>
  <c r="BJ37" i="11"/>
  <c r="BK37" i="11"/>
  <c r="H37" i="11"/>
  <c r="BM37" i="11"/>
  <c r="L37" i="11"/>
  <c r="J37" i="11"/>
  <c r="AA37" i="11"/>
  <c r="BO37" i="11"/>
  <c r="M37" i="11"/>
  <c r="R37" i="11"/>
  <c r="U37" i="11"/>
  <c r="BS37" i="11"/>
  <c r="BQ37" i="11"/>
  <c r="BH37" i="11"/>
  <c r="BR37" i="11"/>
  <c r="W37" i="11"/>
  <c r="BI37" i="11"/>
  <c r="BL37" i="11"/>
  <c r="I37" i="11"/>
  <c r="Y37" i="11"/>
  <c r="BN37" i="11"/>
  <c r="Z37" i="11"/>
  <c r="Q37" i="11"/>
  <c r="AX37" i="11"/>
  <c r="K37" i="11"/>
  <c r="AL36" i="10"/>
  <c r="D17" i="5"/>
  <c r="D34" i="5"/>
  <c r="AN27" i="10"/>
  <c r="Z21" i="11"/>
  <c r="V21" i="7"/>
  <c r="E18" i="2"/>
  <c r="D96" i="5"/>
  <c r="D84" i="5"/>
  <c r="I36" i="2"/>
  <c r="BM39" i="8"/>
  <c r="BE39" i="8"/>
  <c r="BA39" i="8"/>
  <c r="AQ39" i="8"/>
  <c r="AP39" i="8"/>
  <c r="R39" i="8"/>
  <c r="H39" i="8"/>
  <c r="U39" i="8"/>
  <c r="BN39" i="8"/>
  <c r="AZ39" i="8"/>
  <c r="BG39" i="8"/>
  <c r="T39" i="8"/>
  <c r="K39" i="8"/>
  <c r="I39" i="8"/>
  <c r="AE39" i="8"/>
  <c r="AN39" i="8"/>
  <c r="BQ39" i="8"/>
  <c r="AF39" i="8"/>
  <c r="BL39" i="8"/>
  <c r="AD39" i="8"/>
  <c r="BB39" i="8"/>
  <c r="S39" i="8"/>
  <c r="BS39" i="8"/>
  <c r="W39" i="8"/>
  <c r="AX39" i="8"/>
  <c r="AJ39" i="8"/>
  <c r="AC39" i="8"/>
  <c r="AI39" i="8"/>
  <c r="AR39" i="8"/>
  <c r="AL39" i="8"/>
  <c r="X39" i="8"/>
  <c r="AU39" i="8"/>
  <c r="BD39" i="8"/>
  <c r="Z39" i="8"/>
  <c r="L39" i="8"/>
  <c r="BP39" i="8"/>
  <c r="P39" i="8"/>
  <c r="N39" i="8"/>
  <c r="BR39" i="8"/>
  <c r="AG39" i="8"/>
  <c r="BI39" i="8"/>
  <c r="BF39" i="8"/>
  <c r="BC39" i="8"/>
  <c r="AW39" i="8"/>
  <c r="AT39" i="8"/>
  <c r="BK39" i="8"/>
  <c r="AK39" i="8"/>
  <c r="AH39" i="8"/>
  <c r="AY39" i="8"/>
  <c r="Y39" i="8"/>
  <c r="V39" i="8"/>
  <c r="AM39" i="8"/>
  <c r="M39" i="8"/>
  <c r="J39" i="8"/>
  <c r="AA39" i="8"/>
  <c r="BT39" i="8"/>
  <c r="AB39" i="8"/>
  <c r="O39" i="8"/>
  <c r="BH39" i="8"/>
  <c r="AS39" i="8"/>
  <c r="BJ39" i="8"/>
  <c r="AV39" i="8"/>
  <c r="BO39" i="8"/>
  <c r="Q39" i="8"/>
  <c r="BE43" i="12"/>
  <c r="BS43" i="12"/>
  <c r="BR43" i="12"/>
  <c r="O43" i="12"/>
  <c r="BQ43" i="12"/>
  <c r="N43" i="12"/>
  <c r="BM43" i="12"/>
  <c r="M43" i="12"/>
  <c r="BL43" i="12"/>
  <c r="L43" i="12"/>
  <c r="BK43" i="12"/>
  <c r="Z43" i="12"/>
  <c r="K43" i="12"/>
  <c r="BJ43" i="12"/>
  <c r="J43" i="12"/>
  <c r="BI43" i="12"/>
  <c r="I43" i="12"/>
  <c r="BG43" i="12"/>
  <c r="BH43" i="12"/>
  <c r="BF43" i="12"/>
  <c r="W43" i="12"/>
  <c r="BP43" i="12"/>
  <c r="AR43" i="12"/>
  <c r="AX43" i="12"/>
  <c r="AY43" i="12"/>
  <c r="BA43" i="12"/>
  <c r="AZ43" i="12"/>
  <c r="BO43" i="12"/>
  <c r="H43" i="12"/>
  <c r="BD43" i="12"/>
  <c r="BB43" i="12"/>
  <c r="BN43" i="12"/>
  <c r="BC43" i="12"/>
  <c r="BN42" i="11"/>
  <c r="BS42" i="11"/>
  <c r="BQ42" i="11"/>
  <c r="BO42" i="11"/>
  <c r="M42" i="11"/>
  <c r="J42" i="11"/>
  <c r="BK42" i="11"/>
  <c r="BH42" i="11"/>
  <c r="BT42" i="11"/>
  <c r="AA42" i="11"/>
  <c r="U42" i="11"/>
  <c r="O42" i="11"/>
  <c r="L42" i="11"/>
  <c r="I42" i="11"/>
  <c r="BM42" i="11"/>
  <c r="BJ42" i="11"/>
  <c r="BR42" i="11"/>
  <c r="BP42" i="11"/>
  <c r="Z42" i="11"/>
  <c r="W42" i="11"/>
  <c r="Q42" i="11"/>
  <c r="N42" i="11"/>
  <c r="K42" i="11"/>
  <c r="BL42" i="11"/>
  <c r="BI42" i="11"/>
  <c r="H42" i="11"/>
  <c r="J42" i="7"/>
  <c r="U42" i="7"/>
  <c r="BN42" i="7"/>
  <c r="BK42" i="7"/>
  <c r="BR42" i="7"/>
  <c r="BE42" i="7"/>
  <c r="L42" i="7"/>
  <c r="I42" i="7"/>
  <c r="P42" i="7"/>
  <c r="BS42" i="7"/>
  <c r="K42" i="7"/>
  <c r="BI42" i="7"/>
  <c r="BD42" i="7"/>
  <c r="BM42" i="7"/>
  <c r="BQ42" i="7"/>
  <c r="H42" i="7"/>
  <c r="M42" i="7"/>
  <c r="BP42" i="7"/>
  <c r="BJ42" i="7"/>
  <c r="AG42" i="7"/>
  <c r="BT42" i="7"/>
  <c r="BG42" i="7"/>
  <c r="BH42" i="7"/>
  <c r="BL42" i="7"/>
  <c r="T42" i="7"/>
  <c r="N42" i="7"/>
  <c r="V42" i="7"/>
  <c r="AZ42" i="7"/>
  <c r="BO42" i="7"/>
  <c r="R42" i="7"/>
  <c r="BF42" i="7"/>
  <c r="BM41" i="10"/>
  <c r="Q41" i="10"/>
  <c r="AU41" i="10"/>
  <c r="BP41" i="10"/>
  <c r="W41" i="10"/>
  <c r="AX41" i="10"/>
  <c r="BL41" i="10"/>
  <c r="S41" i="10"/>
  <c r="L41" i="10"/>
  <c r="AI41" i="10"/>
  <c r="BQ41" i="10"/>
  <c r="AO41" i="10"/>
  <c r="BF41" i="10"/>
  <c r="N41" i="10"/>
  <c r="BI41" i="10"/>
  <c r="BE41" i="10"/>
  <c r="BD41" i="10"/>
  <c r="K41" i="10"/>
  <c r="P41" i="10"/>
  <c r="BO41" i="10"/>
  <c r="AW41" i="10"/>
  <c r="AS41" i="10"/>
  <c r="AB41" i="10"/>
  <c r="AR41" i="10"/>
  <c r="T41" i="10"/>
  <c r="BJ41" i="10"/>
  <c r="U41" i="10"/>
  <c r="BG41" i="10"/>
  <c r="R41" i="10"/>
  <c r="M41" i="10"/>
  <c r="I41" i="10"/>
  <c r="AH41" i="10"/>
  <c r="BT41" i="10"/>
  <c r="O41" i="10"/>
  <c r="BH41" i="10"/>
  <c r="BN41" i="10"/>
  <c r="AJ41" i="10"/>
  <c r="BR41" i="10"/>
  <c r="J41" i="10"/>
  <c r="BK41" i="10"/>
  <c r="BS41" i="10"/>
  <c r="H41" i="10"/>
  <c r="AA32" i="2"/>
  <c r="BD38" i="11"/>
  <c r="BJ37" i="10"/>
  <c r="J37" i="10"/>
  <c r="BG37" i="10"/>
  <c r="BC37" i="10"/>
  <c r="BB37" i="10"/>
  <c r="K37" i="10"/>
  <c r="BO37" i="10"/>
  <c r="BH37" i="10"/>
  <c r="BR37" i="10"/>
  <c r="BT37" i="10"/>
  <c r="M37" i="10"/>
  <c r="BP37" i="10"/>
  <c r="L37" i="10"/>
  <c r="BF37" i="10"/>
  <c r="BD37" i="10"/>
  <c r="BS37" i="10"/>
  <c r="BE37" i="10"/>
  <c r="BK37" i="10"/>
  <c r="BN37" i="10"/>
  <c r="I37" i="10"/>
  <c r="BM37" i="10"/>
  <c r="BL37" i="10"/>
  <c r="BA37" i="10"/>
  <c r="H37" i="10"/>
  <c r="BI37" i="10"/>
  <c r="BQ37" i="10"/>
  <c r="AA29" i="2"/>
  <c r="X28" i="2"/>
  <c r="L28" i="2"/>
  <c r="U27" i="2"/>
  <c r="I27" i="2"/>
  <c r="AV33" i="10"/>
  <c r="BQ33" i="10"/>
  <c r="BR33" i="10"/>
  <c r="AQ33" i="10"/>
  <c r="J33" i="10"/>
  <c r="H33" i="10"/>
  <c r="BE33" i="10"/>
  <c r="BJ33" i="10"/>
  <c r="AG33" i="10"/>
  <c r="BI33" i="10"/>
  <c r="BF33" i="10"/>
  <c r="Q33" i="10"/>
  <c r="BG33" i="10"/>
  <c r="AR33" i="10"/>
  <c r="K33" i="10"/>
  <c r="R33" i="10"/>
  <c r="AT33" i="10"/>
  <c r="AS33" i="10"/>
  <c r="U33" i="10"/>
  <c r="AI33" i="10"/>
  <c r="BT33" i="10"/>
  <c r="BA33" i="10"/>
  <c r="O33" i="10"/>
  <c r="AX33" i="10"/>
  <c r="BS33" i="10"/>
  <c r="AO33" i="10"/>
  <c r="BN33" i="10"/>
  <c r="AC33" i="10"/>
  <c r="AZ33" i="10"/>
  <c r="X33" i="10"/>
  <c r="BP33" i="10"/>
  <c r="AM33" i="10"/>
  <c r="V33" i="10"/>
  <c r="BC33" i="10"/>
  <c r="Z33" i="10"/>
  <c r="BH33" i="10"/>
  <c r="AP33" i="10"/>
  <c r="AU33" i="10"/>
  <c r="AB33" i="10"/>
  <c r="BL33" i="10"/>
  <c r="AD33" i="10"/>
  <c r="P33" i="10"/>
  <c r="AY33" i="10"/>
  <c r="BD33" i="10"/>
  <c r="BO33" i="10"/>
  <c r="AL33" i="10"/>
  <c r="AW33" i="10"/>
  <c r="BB33" i="10"/>
  <c r="Y33" i="10"/>
  <c r="AN33" i="10"/>
  <c r="BM33" i="10"/>
  <c r="BK33" i="10"/>
  <c r="AA25" i="2"/>
  <c r="L31" i="7"/>
  <c r="BT31" i="7"/>
  <c r="Q31" i="7"/>
  <c r="V31" i="7"/>
  <c r="BP31" i="7"/>
  <c r="BH31" i="7"/>
  <c r="K31" i="7"/>
  <c r="BM31" i="7"/>
  <c r="R31" i="7"/>
  <c r="T31" i="7"/>
  <c r="J31" i="7"/>
  <c r="BR31" i="7"/>
  <c r="BI31" i="7"/>
  <c r="BN31" i="7"/>
  <c r="I31" i="7"/>
  <c r="BJ31" i="7"/>
  <c r="P31" i="7"/>
  <c r="BS31" i="7"/>
  <c r="BK31" i="7"/>
  <c r="BO31" i="7"/>
  <c r="O31" i="7"/>
  <c r="U31" i="7"/>
  <c r="S31" i="7"/>
  <c r="BL31" i="7"/>
  <c r="H31" i="7"/>
  <c r="N31" i="7"/>
  <c r="BQ31" i="7"/>
  <c r="W31" i="7"/>
  <c r="BB28" i="11"/>
  <c r="I28" i="11"/>
  <c r="BI28" i="11"/>
  <c r="BM28" i="11"/>
  <c r="AR28" i="11"/>
  <c r="BD28" i="11"/>
  <c r="BL28" i="11"/>
  <c r="BJ28" i="11"/>
  <c r="AX28" i="11"/>
  <c r="BH28" i="11"/>
  <c r="BT28" i="11"/>
  <c r="BK28" i="11"/>
  <c r="K28" i="11"/>
  <c r="H28" i="11"/>
  <c r="BR28" i="11"/>
  <c r="BN28" i="11"/>
  <c r="BF28" i="11"/>
  <c r="BP28" i="11"/>
  <c r="J28" i="11"/>
  <c r="BS28" i="11"/>
  <c r="BQ28" i="11"/>
  <c r="AZ28" i="11"/>
  <c r="BG28" i="11"/>
  <c r="BE28" i="11"/>
  <c r="BO28" i="11"/>
  <c r="AU28" i="11"/>
  <c r="I21" i="2"/>
  <c r="L19" i="2"/>
  <c r="BS25" i="10"/>
  <c r="BR25" i="10"/>
  <c r="I25" i="10"/>
  <c r="BI25" i="10"/>
  <c r="AT25" i="10"/>
  <c r="BJ25" i="10"/>
  <c r="BH25" i="10"/>
  <c r="AS25" i="10"/>
  <c r="BQ25" i="10"/>
  <c r="J25" i="10"/>
  <c r="AV25" i="10"/>
  <c r="AW25" i="10"/>
  <c r="BN25" i="10"/>
  <c r="AN25" i="10"/>
  <c r="BP25" i="10"/>
  <c r="BB25" i="10"/>
  <c r="AU25" i="10"/>
  <c r="L25" i="10"/>
  <c r="BG25" i="10"/>
  <c r="BD25" i="10"/>
  <c r="AP25" i="10"/>
  <c r="P25" i="10"/>
  <c r="AR25" i="10"/>
  <c r="AG25" i="10"/>
  <c r="AY25" i="10"/>
  <c r="BK25" i="10"/>
  <c r="AX25" i="10"/>
  <c r="BM25" i="10"/>
  <c r="AL25" i="10"/>
  <c r="BT25" i="10"/>
  <c r="BF25" i="10"/>
  <c r="BA25" i="10"/>
  <c r="BO25" i="10"/>
  <c r="AO25" i="10"/>
  <c r="BC25" i="10"/>
  <c r="AC25" i="10"/>
  <c r="AQ25" i="10"/>
  <c r="AI25" i="10"/>
  <c r="BL25" i="10"/>
  <c r="BE25" i="10"/>
  <c r="S25" i="10"/>
  <c r="AZ25" i="10"/>
  <c r="AA17" i="2"/>
  <c r="M20" i="11"/>
  <c r="BR20" i="11"/>
  <c r="X20" i="11"/>
  <c r="V20" i="11"/>
  <c r="BI20" i="11"/>
  <c r="BS20" i="11"/>
  <c r="W20" i="11"/>
  <c r="Y20" i="11"/>
  <c r="BG20" i="11"/>
  <c r="BF20" i="11"/>
  <c r="K20" i="11"/>
  <c r="BT20" i="11"/>
  <c r="J20" i="11"/>
  <c r="L20" i="11"/>
  <c r="BH20" i="11"/>
  <c r="BQ20" i="11"/>
  <c r="P20" i="11"/>
  <c r="BJ20" i="11"/>
  <c r="AB20" i="11"/>
  <c r="I20" i="11"/>
  <c r="BK20" i="11"/>
  <c r="U20" i="11"/>
  <c r="AZ20" i="11"/>
  <c r="S20" i="11"/>
  <c r="H20" i="11"/>
  <c r="BL20" i="11"/>
  <c r="AE20" i="11"/>
  <c r="T20" i="11"/>
  <c r="BE20" i="11"/>
  <c r="R20" i="11"/>
  <c r="BC20" i="11"/>
  <c r="Q20" i="11"/>
  <c r="AD20" i="11"/>
  <c r="BO20" i="11"/>
  <c r="BD20" i="11"/>
  <c r="AC20" i="11"/>
  <c r="BP20" i="11"/>
  <c r="N20" i="11"/>
  <c r="BB20" i="11"/>
  <c r="Z20" i="11"/>
  <c r="O20" i="11"/>
  <c r="BA20" i="11"/>
  <c r="BN20" i="11"/>
  <c r="AA20" i="11"/>
  <c r="BM20" i="11"/>
  <c r="H56" i="10"/>
  <c r="BS56" i="10"/>
  <c r="BO56" i="10"/>
  <c r="BI56" i="10"/>
  <c r="BP56" i="10"/>
  <c r="BH56" i="10"/>
  <c r="K56" i="10"/>
  <c r="BG56" i="10"/>
  <c r="I56" i="10"/>
  <c r="BL56" i="10"/>
  <c r="BT56" i="10"/>
  <c r="BM56" i="10"/>
  <c r="BN56" i="10"/>
  <c r="BR56" i="10"/>
  <c r="BK56" i="10"/>
  <c r="BF56" i="10"/>
  <c r="BJ56" i="10"/>
  <c r="BE56" i="10"/>
  <c r="BD56" i="10"/>
  <c r="J56" i="10"/>
  <c r="BQ56" i="10"/>
  <c r="L56" i="10"/>
  <c r="M56" i="10"/>
  <c r="K94" i="5"/>
  <c r="AT19" i="5"/>
  <c r="BD50" i="12"/>
  <c r="U42" i="2"/>
  <c r="D101" i="5"/>
  <c r="X48" i="11"/>
  <c r="AZ48" i="12"/>
  <c r="BA48" i="7"/>
  <c r="M48" i="10"/>
  <c r="BS47" i="7"/>
  <c r="X39" i="2"/>
  <c r="BG46" i="7"/>
  <c r="AU58" i="7"/>
  <c r="Y57" i="11"/>
  <c r="AQ57" i="11"/>
  <c r="AN57" i="11"/>
  <c r="AR57" i="11"/>
  <c r="M57" i="11"/>
  <c r="BI57" i="11"/>
  <c r="BQ57" i="11"/>
  <c r="BF57" i="11"/>
  <c r="J57" i="11"/>
  <c r="AP57" i="11"/>
  <c r="K57" i="11"/>
  <c r="P57" i="11"/>
  <c r="AL57" i="11"/>
  <c r="BJ57" i="11"/>
  <c r="AB57" i="11"/>
  <c r="BH57" i="11"/>
  <c r="N57" i="11"/>
  <c r="BC57" i="11"/>
  <c r="BR57" i="11"/>
  <c r="AU57" i="11"/>
  <c r="X57" i="11"/>
  <c r="Z57" i="11"/>
  <c r="BB57" i="11"/>
  <c r="BE57" i="11"/>
  <c r="S57" i="11"/>
  <c r="L57" i="11"/>
  <c r="AG57" i="11"/>
  <c r="BT57" i="11"/>
  <c r="BD57" i="11"/>
  <c r="BG57" i="11"/>
  <c r="AW57" i="11"/>
  <c r="AE57" i="11"/>
  <c r="BM57" i="11"/>
  <c r="T57" i="11"/>
  <c r="BN57" i="11"/>
  <c r="BA57" i="11"/>
  <c r="AH57" i="11"/>
  <c r="AO57" i="11"/>
  <c r="AV57" i="11"/>
  <c r="Q57" i="11"/>
  <c r="R57" i="11"/>
  <c r="BK57" i="11"/>
  <c r="AD57" i="11"/>
  <c r="AF57" i="11"/>
  <c r="AY57" i="11"/>
  <c r="AT57" i="11"/>
  <c r="AM57" i="11"/>
  <c r="AA57" i="11"/>
  <c r="O57" i="11"/>
  <c r="U57" i="11"/>
  <c r="I57" i="11"/>
  <c r="W57" i="11"/>
  <c r="AK57" i="11"/>
  <c r="AC57" i="11"/>
  <c r="AI57" i="11"/>
  <c r="H57" i="11"/>
  <c r="AZ57" i="11"/>
  <c r="BS57" i="11"/>
  <c r="V57" i="11"/>
  <c r="BP57" i="11"/>
  <c r="AX57" i="11"/>
  <c r="BO57" i="11"/>
  <c r="AJ57" i="11"/>
  <c r="BL57" i="11"/>
  <c r="AW57" i="7"/>
  <c r="AV57" i="7"/>
  <c r="BI57" i="7"/>
  <c r="I57" i="7"/>
  <c r="BE57" i="7"/>
  <c r="BR57" i="7"/>
  <c r="BD57" i="7"/>
  <c r="BJ57" i="7"/>
  <c r="BC57" i="7"/>
  <c r="V57" i="7"/>
  <c r="BH57" i="7"/>
  <c r="H57" i="7"/>
  <c r="BS57" i="7"/>
  <c r="BF57" i="7"/>
  <c r="BQ57" i="7"/>
  <c r="Q56" i="11"/>
  <c r="S56" i="11"/>
  <c r="BR56" i="11"/>
  <c r="L56" i="11"/>
  <c r="J56" i="11"/>
  <c r="BP56" i="11"/>
  <c r="BH56" i="11"/>
  <c r="O56" i="11"/>
  <c r="BI56" i="11"/>
  <c r="BT56" i="11"/>
  <c r="BQ56" i="11"/>
  <c r="M56" i="11"/>
  <c r="BS56" i="11"/>
  <c r="BK56" i="11"/>
  <c r="R56" i="11"/>
  <c r="P56" i="11"/>
  <c r="N56" i="11"/>
  <c r="BM56" i="11"/>
  <c r="H56" i="11"/>
  <c r="V56" i="11"/>
  <c r="BO56" i="11"/>
  <c r="BL56" i="11"/>
  <c r="BJ56" i="11"/>
  <c r="BN56" i="11"/>
  <c r="I56" i="11"/>
  <c r="D91" i="5"/>
  <c r="AA46" i="2"/>
  <c r="M52" i="12"/>
  <c r="H52" i="12"/>
  <c r="BI52" i="12"/>
  <c r="BM52" i="12"/>
  <c r="BJ52" i="12"/>
  <c r="BS52" i="12"/>
  <c r="BH52" i="12"/>
  <c r="BK52" i="12"/>
  <c r="L52" i="12"/>
  <c r="BF52" i="12"/>
  <c r="J52" i="12"/>
  <c r="I52" i="12"/>
  <c r="BO52" i="12"/>
  <c r="K52" i="12"/>
  <c r="BR52" i="12"/>
  <c r="BN52" i="12"/>
  <c r="S52" i="12"/>
  <c r="O52" i="12"/>
  <c r="BL52" i="12"/>
  <c r="BP52" i="12"/>
  <c r="N52" i="12"/>
  <c r="BQ52" i="12"/>
  <c r="L45" i="2"/>
  <c r="AC51" i="11"/>
  <c r="BI51" i="11"/>
  <c r="AQ51" i="11"/>
  <c r="AE51" i="11"/>
  <c r="BQ51" i="11"/>
  <c r="Q51" i="11"/>
  <c r="AW51" i="11"/>
  <c r="U51" i="11"/>
  <c r="L51" i="11"/>
  <c r="I51" i="11"/>
  <c r="BL51" i="11"/>
  <c r="AK51" i="11"/>
  <c r="BG51" i="11"/>
  <c r="BT51" i="11"/>
  <c r="BN51" i="11"/>
  <c r="AZ51" i="11"/>
  <c r="AL51" i="11"/>
  <c r="BC51" i="11"/>
  <c r="AN51" i="11"/>
  <c r="M51" i="11"/>
  <c r="T51" i="11"/>
  <c r="AG51" i="11"/>
  <c r="AB51" i="11"/>
  <c r="BO51" i="11"/>
  <c r="BF51" i="11"/>
  <c r="K51" i="11"/>
  <c r="AU51" i="11"/>
  <c r="P51" i="11"/>
  <c r="AS51" i="11"/>
  <c r="AJ51" i="11"/>
  <c r="BS51" i="11"/>
  <c r="AT51" i="11"/>
  <c r="BK51" i="11"/>
  <c r="W51" i="11"/>
  <c r="S51" i="11"/>
  <c r="AX51" i="11"/>
  <c r="AY51" i="11"/>
  <c r="BJ51" i="11"/>
  <c r="BE51" i="11"/>
  <c r="AF51" i="11"/>
  <c r="H51" i="11"/>
  <c r="BM51" i="11"/>
  <c r="AM51" i="11"/>
  <c r="AR51" i="11"/>
  <c r="AI51" i="11"/>
  <c r="J51" i="11"/>
  <c r="X51" i="11"/>
  <c r="BP51" i="11"/>
  <c r="BA51" i="11"/>
  <c r="AA51" i="11"/>
  <c r="V51" i="11"/>
  <c r="N51" i="11"/>
  <c r="BR51" i="11"/>
  <c r="AD51" i="11"/>
  <c r="AP51" i="11"/>
  <c r="AO51" i="11"/>
  <c r="BB51" i="11"/>
  <c r="O51" i="11"/>
  <c r="BH51" i="11"/>
  <c r="BD51" i="11"/>
  <c r="AV51" i="11"/>
  <c r="Z51" i="11"/>
  <c r="R51" i="11"/>
  <c r="X61" i="2"/>
  <c r="AA62" i="2"/>
  <c r="Z68" i="12"/>
  <c r="X60" i="2"/>
  <c r="BL67" i="7"/>
  <c r="L67" i="7"/>
  <c r="BN67" i="7"/>
  <c r="AW67" i="7"/>
  <c r="BS67" i="7"/>
  <c r="BT67" i="7"/>
  <c r="BQ67" i="7"/>
  <c r="BD67" i="7"/>
  <c r="BP67" i="7"/>
  <c r="BE67" i="7"/>
  <c r="BM67" i="7"/>
  <c r="BO67" i="7"/>
  <c r="AV67" i="7"/>
  <c r="M67" i="7"/>
  <c r="AI67" i="7"/>
  <c r="I67" i="7"/>
  <c r="BC67" i="7"/>
  <c r="BK67" i="7"/>
  <c r="L66" i="11"/>
  <c r="J66" i="11"/>
  <c r="H66" i="11"/>
  <c r="N66" i="11"/>
  <c r="BS66" i="11"/>
  <c r="BQ66" i="11"/>
  <c r="BM66" i="11"/>
  <c r="BK66" i="11"/>
  <c r="M66" i="11"/>
  <c r="K66" i="11"/>
  <c r="I66" i="11"/>
  <c r="BT66" i="11"/>
  <c r="BR66" i="11"/>
  <c r="BP66" i="11"/>
  <c r="P66" i="11"/>
  <c r="S66" i="11"/>
  <c r="BH66" i="11"/>
  <c r="BF66" i="11"/>
  <c r="BD66" i="11"/>
  <c r="O66" i="11"/>
  <c r="BL66" i="11"/>
  <c r="BJ66" i="11"/>
  <c r="BN66" i="11"/>
  <c r="BI66" i="11"/>
  <c r="BG66" i="11"/>
  <c r="BE66" i="11"/>
  <c r="BO66" i="11"/>
  <c r="AA57" i="2"/>
  <c r="AA56" i="2"/>
  <c r="AY62" i="12"/>
  <c r="AX62" i="12"/>
  <c r="BM62" i="12"/>
  <c r="BD62" i="12"/>
  <c r="BA62" i="12"/>
  <c r="J62" i="12"/>
  <c r="BH62" i="12"/>
  <c r="BF62" i="12"/>
  <c r="BO62" i="12"/>
  <c r="AT62" i="12"/>
  <c r="AV62" i="12"/>
  <c r="L62" i="12"/>
  <c r="AZ62" i="12"/>
  <c r="BQ62" i="12"/>
  <c r="BI62" i="12"/>
  <c r="O62" i="12"/>
  <c r="BC62" i="12"/>
  <c r="BJ62" i="12"/>
  <c r="BN62" i="12"/>
  <c r="AW62" i="12"/>
  <c r="BS62" i="12"/>
  <c r="I62" i="12"/>
  <c r="BE62" i="12"/>
  <c r="H62" i="12"/>
  <c r="BL62" i="12"/>
  <c r="K62" i="12"/>
  <c r="M62" i="12"/>
  <c r="BP62" i="12"/>
  <c r="BG62" i="12"/>
  <c r="N62" i="12"/>
  <c r="BB62" i="12"/>
  <c r="BR62" i="12"/>
  <c r="L55" i="2"/>
  <c r="I61" i="7"/>
  <c r="BI61" i="7"/>
  <c r="H61" i="7"/>
  <c r="BH61" i="7"/>
  <c r="AS61" i="7"/>
  <c r="AR61" i="7"/>
  <c r="BK60" i="7"/>
  <c r="Q60" i="7"/>
  <c r="BL60" i="7"/>
  <c r="J60" i="7"/>
  <c r="BM60" i="7"/>
  <c r="P60" i="7"/>
  <c r="BG60" i="7"/>
  <c r="BO60" i="7"/>
  <c r="L60" i="7"/>
  <c r="BH60" i="7"/>
  <c r="M60" i="7"/>
  <c r="BD60" i="7"/>
  <c r="K60" i="7"/>
  <c r="R60" i="7"/>
  <c r="BI60" i="7"/>
  <c r="BS72" i="12"/>
  <c r="N72" i="12"/>
  <c r="BF72" i="12"/>
  <c r="O72" i="12"/>
  <c r="BG72" i="12"/>
  <c r="BQ72" i="12"/>
  <c r="BN72" i="12"/>
  <c r="AP72" i="12"/>
  <c r="BI72" i="12"/>
  <c r="AU72" i="12"/>
  <c r="BA72" i="12"/>
  <c r="AT72" i="12"/>
  <c r="BE72" i="12"/>
  <c r="H72" i="12"/>
  <c r="AW72" i="12"/>
  <c r="AO72" i="12"/>
  <c r="AK72" i="12"/>
  <c r="J72" i="12"/>
  <c r="K72" i="12"/>
  <c r="BP72" i="12"/>
  <c r="BM72" i="12"/>
  <c r="BD72" i="12"/>
  <c r="M72" i="12"/>
  <c r="BC72" i="12"/>
  <c r="AZ72" i="12"/>
  <c r="AS72" i="12"/>
  <c r="AN72" i="12"/>
  <c r="AR72" i="12"/>
  <c r="BL72" i="12"/>
  <c r="BH72" i="12"/>
  <c r="AL72" i="12"/>
  <c r="AV72" i="12"/>
  <c r="I72" i="12"/>
  <c r="BK72" i="12"/>
  <c r="AJ72" i="12"/>
  <c r="BR72" i="12"/>
  <c r="BO72" i="12"/>
  <c r="BJ72" i="12"/>
  <c r="AY72" i="12"/>
  <c r="BB72" i="12"/>
  <c r="AX72" i="12"/>
  <c r="AQ72" i="12"/>
  <c r="AM72" i="12"/>
  <c r="L72" i="12"/>
  <c r="BI43" i="5"/>
  <c r="AW43" i="5"/>
  <c r="AK43" i="5"/>
  <c r="M43" i="5"/>
  <c r="BS37" i="5"/>
  <c r="BG37" i="5"/>
  <c r="AU37" i="5"/>
  <c r="AI37" i="5"/>
  <c r="W37" i="5"/>
  <c r="K37" i="5"/>
  <c r="BL99" i="5"/>
  <c r="AZ99" i="5"/>
  <c r="AN99" i="5"/>
  <c r="AB99" i="5"/>
  <c r="P99" i="5"/>
  <c r="BQ98" i="5"/>
  <c r="BE98" i="5"/>
  <c r="AS98" i="5"/>
  <c r="AG98" i="5"/>
  <c r="U98" i="5"/>
  <c r="I98" i="5"/>
  <c r="BJ49" i="5"/>
  <c r="AX49" i="5"/>
  <c r="BO28" i="5"/>
  <c r="BM70" i="5"/>
  <c r="BA70" i="5"/>
  <c r="Q70" i="5"/>
  <c r="BR76" i="5"/>
  <c r="BF76" i="5"/>
  <c r="AT76" i="5"/>
  <c r="AH76" i="5"/>
  <c r="V76" i="5"/>
  <c r="J76" i="5"/>
  <c r="BK97" i="5"/>
  <c r="AY97" i="5"/>
  <c r="AM97" i="5"/>
  <c r="AA97" i="5"/>
  <c r="O97" i="5"/>
  <c r="BP83" i="5"/>
  <c r="BD83" i="5"/>
  <c r="AR83" i="5"/>
  <c r="AF83" i="5"/>
  <c r="T83" i="5"/>
  <c r="H83" i="5"/>
  <c r="BI85" i="5"/>
  <c r="AW85" i="5"/>
  <c r="AK85" i="5"/>
  <c r="Y85" i="5"/>
  <c r="M85" i="5"/>
  <c r="AA61" i="2"/>
  <c r="BL73" i="7"/>
  <c r="AH73" i="7"/>
  <c r="R64" i="7"/>
  <c r="J74" i="7"/>
  <c r="AJ72" i="7"/>
  <c r="O72" i="7"/>
  <c r="Z72" i="7"/>
  <c r="AL72" i="7"/>
  <c r="AS72" i="7"/>
  <c r="BP70" i="7"/>
  <c r="AU56" i="7"/>
  <c r="R72" i="7"/>
  <c r="BK70" i="7"/>
  <c r="H69" i="7"/>
  <c r="BS64" i="7"/>
  <c r="BF56" i="7"/>
  <c r="BD75" i="7"/>
  <c r="BM75" i="7"/>
  <c r="W75" i="7"/>
  <c r="AP73" i="7"/>
  <c r="I68" i="7"/>
  <c r="U60" i="7"/>
  <c r="BM73" i="7"/>
  <c r="BA58" i="7"/>
  <c r="AM72" i="7"/>
  <c r="X68" i="7"/>
  <c r="AP48" i="7"/>
  <c r="BQ71" i="7"/>
  <c r="AQ68" i="7"/>
  <c r="S73" i="7"/>
  <c r="AT34" i="7"/>
  <c r="BL61" i="7"/>
  <c r="BO61" i="7"/>
  <c r="AY61" i="7"/>
  <c r="BK59" i="7"/>
  <c r="BF59" i="7"/>
  <c r="BI59" i="7"/>
  <c r="BG63" i="7"/>
  <c r="BK63" i="7"/>
  <c r="AR63" i="7"/>
  <c r="BM63" i="7"/>
  <c r="BC34" i="7"/>
  <c r="BM57" i="7"/>
  <c r="BL57" i="7"/>
  <c r="I55" i="7"/>
  <c r="J43" i="7"/>
  <c r="AW65" i="7"/>
  <c r="BA65" i="7"/>
  <c r="BO65" i="7"/>
  <c r="AO59" i="7"/>
  <c r="BD54" i="7"/>
  <c r="I26" i="2"/>
  <c r="AD38" i="11"/>
  <c r="AV38" i="11"/>
  <c r="BF38" i="11"/>
  <c r="AA38" i="11"/>
  <c r="AF38" i="11"/>
  <c r="AC38" i="11"/>
  <c r="BP38" i="11"/>
  <c r="AJ38" i="11"/>
  <c r="Q38" i="11"/>
  <c r="BB38" i="11"/>
  <c r="V38" i="11"/>
  <c r="T38" i="11"/>
  <c r="Z38" i="11"/>
  <c r="BL38" i="11"/>
  <c r="AL38" i="11"/>
  <c r="H38" i="11"/>
  <c r="O38" i="11"/>
  <c r="AT38" i="11"/>
  <c r="AU38" i="11"/>
  <c r="AZ38" i="11"/>
  <c r="X38" i="11"/>
  <c r="BK38" i="11"/>
  <c r="AQ38" i="11"/>
  <c r="BT38" i="11"/>
  <c r="AN38" i="11"/>
  <c r="J38" i="11"/>
  <c r="AW38" i="11"/>
  <c r="BJ38" i="11"/>
  <c r="AB38" i="11"/>
  <c r="BO38" i="11"/>
  <c r="AI38" i="11"/>
  <c r="P38" i="11"/>
  <c r="AY38" i="11"/>
  <c r="U38" i="11"/>
  <c r="L38" i="11"/>
  <c r="BQ38" i="11"/>
  <c r="AK38" i="11"/>
  <c r="AE38" i="11"/>
  <c r="AG38" i="11"/>
  <c r="S38" i="11"/>
  <c r="BC38" i="11"/>
  <c r="W38" i="11"/>
  <c r="BE38" i="11"/>
  <c r="BG38" i="11"/>
  <c r="M38" i="11"/>
  <c r="R38" i="11"/>
  <c r="AS38" i="11"/>
  <c r="BM38" i="11"/>
  <c r="AM38" i="11"/>
  <c r="I38" i="11"/>
  <c r="AH38" i="11"/>
  <c r="N38" i="11"/>
  <c r="AR38" i="11"/>
  <c r="BS38" i="11"/>
  <c r="BA38" i="11"/>
  <c r="Y38" i="11"/>
  <c r="BN38" i="11"/>
  <c r="BH38" i="11"/>
  <c r="AP38" i="11"/>
  <c r="BR38" i="11"/>
  <c r="K38" i="11"/>
  <c r="AX38" i="11"/>
  <c r="AO38" i="11"/>
  <c r="BI38" i="11"/>
  <c r="AP38" i="7"/>
  <c r="AT38" i="7"/>
  <c r="BI38" i="7"/>
  <c r="K38" i="7"/>
  <c r="BT38" i="7"/>
  <c r="AR38" i="7"/>
  <c r="L38" i="7"/>
  <c r="BO38" i="7"/>
  <c r="AB38" i="7"/>
  <c r="BH38" i="7"/>
  <c r="AD38" i="7"/>
  <c r="BN38" i="7"/>
  <c r="AQ38" i="7"/>
  <c r="AW38" i="7"/>
  <c r="AV38" i="7"/>
  <c r="P38" i="7"/>
  <c r="AZ38" i="7"/>
  <c r="R38" i="7"/>
  <c r="AJ38" i="7"/>
  <c r="BR38" i="7"/>
  <c r="AL38" i="7"/>
  <c r="BK38" i="7"/>
  <c r="S38" i="7"/>
  <c r="Y38" i="7"/>
  <c r="X38" i="7"/>
  <c r="BC38" i="7"/>
  <c r="W38" i="7"/>
  <c r="AM38" i="7"/>
  <c r="BS38" i="7"/>
  <c r="BQ38" i="7"/>
  <c r="AO38" i="7"/>
  <c r="J38" i="7"/>
  <c r="O38" i="7"/>
  <c r="H38" i="7"/>
  <c r="AF38" i="7"/>
  <c r="BE38" i="7"/>
  <c r="AA38" i="7"/>
  <c r="BL38" i="7"/>
  <c r="BJ38" i="7"/>
  <c r="BA38" i="7"/>
  <c r="BF38" i="7"/>
  <c r="AS38" i="7"/>
  <c r="M38" i="7"/>
  <c r="AX38" i="7"/>
  <c r="AK38" i="7"/>
  <c r="AG38" i="7"/>
  <c r="BP38" i="7"/>
  <c r="AI38" i="7"/>
  <c r="N38" i="7"/>
  <c r="Q38" i="7"/>
  <c r="U38" i="7"/>
  <c r="BB38" i="7"/>
  <c r="T38" i="7"/>
  <c r="BD38" i="7"/>
  <c r="BM38" i="7"/>
  <c r="AC38" i="7"/>
  <c r="I38" i="7"/>
  <c r="AN38" i="7"/>
  <c r="AU38" i="7"/>
  <c r="AE38" i="7"/>
  <c r="BG38" i="7"/>
  <c r="Z38" i="7"/>
  <c r="V38" i="7"/>
  <c r="AY38" i="7"/>
  <c r="AH38" i="7"/>
  <c r="BH31" i="11"/>
  <c r="BJ31" i="11"/>
  <c r="T31" i="11"/>
  <c r="P31" i="11"/>
  <c r="V31" i="11"/>
  <c r="L31" i="11"/>
  <c r="J31" i="11"/>
  <c r="S31" i="11"/>
  <c r="O31" i="11"/>
  <c r="N31" i="11"/>
  <c r="BS31" i="11"/>
  <c r="BN31" i="11"/>
  <c r="BI31" i="11"/>
  <c r="R31" i="11"/>
  <c r="I31" i="11"/>
  <c r="AI31" i="11"/>
  <c r="BM31" i="11"/>
  <c r="BQ31" i="11"/>
  <c r="W31" i="11"/>
  <c r="M31" i="11"/>
  <c r="K31" i="11"/>
  <c r="U31" i="11"/>
  <c r="Q31" i="11"/>
  <c r="H31" i="11"/>
  <c r="BO31" i="11"/>
  <c r="BT31" i="11"/>
  <c r="BR31" i="11"/>
  <c r="BL31" i="11"/>
  <c r="BP31" i="11"/>
  <c r="BK31" i="11"/>
  <c r="S29" i="12"/>
  <c r="K29" i="12"/>
  <c r="Q29" i="12"/>
  <c r="M29" i="12"/>
  <c r="BS29" i="12"/>
  <c r="BP29" i="12"/>
  <c r="L29" i="12"/>
  <c r="H29" i="12"/>
  <c r="T29" i="12"/>
  <c r="O29" i="12"/>
  <c r="BL29" i="12"/>
  <c r="BJ29" i="12"/>
  <c r="BR29" i="12"/>
  <c r="V29" i="12"/>
  <c r="BI29" i="12"/>
  <c r="J29" i="12"/>
  <c r="P29" i="12"/>
  <c r="N29" i="12"/>
  <c r="BQ29" i="12"/>
  <c r="I29" i="12"/>
  <c r="U29" i="12"/>
  <c r="W29" i="12"/>
  <c r="BK29" i="12"/>
  <c r="BO29" i="12"/>
  <c r="Y29" i="12"/>
  <c r="BN29" i="12"/>
  <c r="BM29" i="12"/>
  <c r="R29" i="12"/>
  <c r="BH29" i="12"/>
  <c r="U21" i="2"/>
  <c r="BD26" i="12"/>
  <c r="BJ26" i="12"/>
  <c r="AU26" i="12"/>
  <c r="AT26" i="12"/>
  <c r="BL26" i="12"/>
  <c r="BR26" i="12"/>
  <c r="AL26" i="12"/>
  <c r="W26" i="12"/>
  <c r="J26" i="12"/>
  <c r="K26" i="12"/>
  <c r="BF26" i="12"/>
  <c r="N26" i="12"/>
  <c r="BQ26" i="12"/>
  <c r="BI26" i="12"/>
  <c r="BE26" i="12"/>
  <c r="BN26" i="12"/>
  <c r="AW26" i="12"/>
  <c r="BP26" i="12"/>
  <c r="BK26" i="12"/>
  <c r="AK26" i="12"/>
  <c r="Y26" i="12"/>
  <c r="I26" i="12"/>
  <c r="L26" i="12"/>
  <c r="Q26" i="12"/>
  <c r="AM26" i="12"/>
  <c r="M26" i="12"/>
  <c r="BO26" i="12"/>
  <c r="AO26" i="12"/>
  <c r="H26" i="12"/>
  <c r="BS26" i="12"/>
  <c r="BH26" i="12"/>
  <c r="BM26" i="12"/>
  <c r="O26" i="12"/>
  <c r="BG26" i="12"/>
  <c r="O22" i="11"/>
  <c r="BK22" i="11"/>
  <c r="L22" i="11"/>
  <c r="BI22" i="11"/>
  <c r="BJ22" i="11"/>
  <c r="N22" i="11"/>
  <c r="BH22" i="11"/>
  <c r="BP22" i="11"/>
  <c r="BS22" i="11"/>
  <c r="M22" i="11"/>
  <c r="BT22" i="11"/>
  <c r="AY22" i="11"/>
  <c r="AX22" i="11"/>
  <c r="BM22" i="11"/>
  <c r="BB22" i="11"/>
  <c r="AV22" i="11"/>
  <c r="BN22" i="11"/>
  <c r="I22" i="11"/>
  <c r="AW22" i="11"/>
  <c r="J22" i="11"/>
  <c r="BG22" i="11"/>
  <c r="H22" i="11"/>
  <c r="BE22" i="11"/>
  <c r="BQ22" i="11"/>
  <c r="BF22" i="11"/>
  <c r="BC22" i="11"/>
  <c r="BD22" i="11"/>
  <c r="BR22" i="11"/>
  <c r="BO22" i="11"/>
  <c r="AZ22" i="11"/>
  <c r="BA22" i="11"/>
  <c r="BL22" i="11"/>
  <c r="K22" i="11"/>
  <c r="U13" i="2"/>
  <c r="L12" i="2"/>
  <c r="BS94" i="5"/>
  <c r="BG50" i="12"/>
  <c r="BB50" i="12"/>
  <c r="L50" i="12"/>
  <c r="BK50" i="12"/>
  <c r="BP50" i="12"/>
  <c r="AX50" i="12"/>
  <c r="AK50" i="12"/>
  <c r="BQ50" i="12"/>
  <c r="H50" i="12"/>
  <c r="AW50" i="12"/>
  <c r="AY50" i="12"/>
  <c r="N50" i="12"/>
  <c r="J50" i="12"/>
  <c r="BJ50" i="12"/>
  <c r="BL50" i="12"/>
  <c r="BO50" i="12"/>
  <c r="BH50" i="12"/>
  <c r="BA50" i="12"/>
  <c r="BC50" i="12"/>
  <c r="AZ50" i="12"/>
  <c r="BN50" i="12"/>
  <c r="AV50" i="12"/>
  <c r="BM50" i="12"/>
  <c r="BF50" i="12"/>
  <c r="BI50" i="12"/>
  <c r="BS50" i="12"/>
  <c r="BE50" i="12"/>
  <c r="K50" i="12"/>
  <c r="M50" i="12"/>
  <c r="BR50" i="12"/>
  <c r="I50" i="12"/>
  <c r="O50" i="12"/>
  <c r="BM50" i="7"/>
  <c r="J50" i="7"/>
  <c r="BN50" i="7"/>
  <c r="BH50" i="7"/>
  <c r="BR50" i="7"/>
  <c r="BJ50" i="7"/>
  <c r="BI50" i="7"/>
  <c r="BS50" i="7"/>
  <c r="L50" i="7"/>
  <c r="H50" i="7"/>
  <c r="M50" i="7"/>
  <c r="BQ50" i="7"/>
  <c r="BL50" i="7"/>
  <c r="BO50" i="7"/>
  <c r="K50" i="7"/>
  <c r="BK50" i="7"/>
  <c r="I50" i="7"/>
  <c r="BT50" i="7"/>
  <c r="BP50" i="7"/>
  <c r="BG47" i="7"/>
  <c r="BK47" i="7"/>
  <c r="BD47" i="7"/>
  <c r="AX47" i="7"/>
  <c r="AQ47" i="7"/>
  <c r="BC47" i="7"/>
  <c r="AR47" i="7"/>
  <c r="AT47" i="7"/>
  <c r="BT47" i="7"/>
  <c r="AV47" i="7"/>
  <c r="BO47" i="7"/>
  <c r="BI47" i="7"/>
  <c r="BF47" i="7"/>
  <c r="BL47" i="7"/>
  <c r="AN47" i="7"/>
  <c r="AW47" i="7"/>
  <c r="BR47" i="7"/>
  <c r="BJ47" i="7"/>
  <c r="AZ47" i="7"/>
  <c r="AU47" i="7"/>
  <c r="BM47" i="7"/>
  <c r="BA47" i="7"/>
  <c r="BP47" i="7"/>
  <c r="AO47" i="7"/>
  <c r="AY47" i="7"/>
  <c r="BH47" i="7"/>
  <c r="I46" i="7"/>
  <c r="BN46" i="7"/>
  <c r="BF46" i="7"/>
  <c r="BQ46" i="7"/>
  <c r="H46" i="7"/>
  <c r="BM46" i="7"/>
  <c r="J46" i="7"/>
  <c r="BO46" i="7"/>
  <c r="BI46" i="7"/>
  <c r="BS46" i="7"/>
  <c r="AV46" i="7"/>
  <c r="K46" i="7"/>
  <c r="BT46" i="7"/>
  <c r="BJ46" i="7"/>
  <c r="BL46" i="7"/>
  <c r="M46" i="7"/>
  <c r="BP46" i="7"/>
  <c r="BH46" i="7"/>
  <c r="BE46" i="7"/>
  <c r="BD46" i="7"/>
  <c r="BR46" i="7"/>
  <c r="P46" i="7"/>
  <c r="L46" i="7"/>
  <c r="BK46" i="7"/>
  <c r="BG45" i="10"/>
  <c r="BK45" i="10"/>
  <c r="K45" i="10"/>
  <c r="BH45" i="10"/>
  <c r="BP45" i="10"/>
  <c r="BO45" i="10"/>
  <c r="BJ45" i="10"/>
  <c r="BN45" i="10"/>
  <c r="L45" i="10"/>
  <c r="BL45" i="10"/>
  <c r="I45" i="10"/>
  <c r="BQ45" i="10"/>
  <c r="BD45" i="10"/>
  <c r="BR45" i="10"/>
  <c r="BS45" i="10"/>
  <c r="BF45" i="10"/>
  <c r="BE45" i="10"/>
  <c r="BT45" i="10"/>
  <c r="BI45" i="10"/>
  <c r="BM45" i="10"/>
  <c r="M45" i="10"/>
  <c r="U45" i="10"/>
  <c r="H45" i="10"/>
  <c r="V45" i="10"/>
  <c r="W45" i="10"/>
  <c r="J45" i="10"/>
  <c r="T45" i="10"/>
  <c r="AX30" i="5"/>
  <c r="O37" i="2"/>
  <c r="BN58" i="12"/>
  <c r="BA58" i="12"/>
  <c r="J58" i="12"/>
  <c r="BP58" i="12"/>
  <c r="H58" i="12"/>
  <c r="K58" i="12"/>
  <c r="BD58" i="12"/>
  <c r="N58" i="12"/>
  <c r="BQ58" i="12"/>
  <c r="AZ58" i="12"/>
  <c r="BI58" i="12"/>
  <c r="BE58" i="12"/>
  <c r="BR58" i="12"/>
  <c r="BL58" i="12"/>
  <c r="AW58" i="12"/>
  <c r="BC58" i="12"/>
  <c r="BK58" i="12"/>
  <c r="L58" i="12"/>
  <c r="AY58" i="12"/>
  <c r="BB58" i="12"/>
  <c r="M58" i="12"/>
  <c r="I58" i="12"/>
  <c r="BS58" i="12"/>
  <c r="BH58" i="12"/>
  <c r="BM58" i="12"/>
  <c r="O58" i="12"/>
  <c r="BG58" i="12"/>
  <c r="BJ58" i="12"/>
  <c r="BO58" i="12"/>
  <c r="BF58" i="12"/>
  <c r="AX58" i="12"/>
  <c r="AV58" i="12"/>
  <c r="BN58" i="7"/>
  <c r="AT58" i="7"/>
  <c r="BL58" i="7"/>
  <c r="BD58" i="7"/>
  <c r="BJ58" i="7"/>
  <c r="I58" i="7"/>
  <c r="AX58" i="7"/>
  <c r="BK58" i="7"/>
  <c r="AY58" i="7"/>
  <c r="BM58" i="7"/>
  <c r="BB58" i="7"/>
  <c r="K58" i="7"/>
  <c r="BR58" i="7"/>
  <c r="BG58" i="7"/>
  <c r="BI58" i="7"/>
  <c r="M58" i="7"/>
  <c r="AW58" i="7"/>
  <c r="H58" i="7"/>
  <c r="U50" i="2"/>
  <c r="I50" i="2"/>
  <c r="D50" i="5"/>
  <c r="O47" i="2"/>
  <c r="AM68" i="12"/>
  <c r="X68" i="12"/>
  <c r="BH68" i="12"/>
  <c r="BJ68" i="12"/>
  <c r="V68" i="12"/>
  <c r="M68" i="12"/>
  <c r="AG68" i="12"/>
  <c r="AE68" i="12"/>
  <c r="AC68" i="12"/>
  <c r="Q68" i="12"/>
  <c r="U68" i="12"/>
  <c r="S68" i="12"/>
  <c r="AK68" i="12"/>
  <c r="I68" i="12"/>
  <c r="Y68" i="12"/>
  <c r="L68" i="12"/>
  <c r="BM68" i="12"/>
  <c r="BS68" i="12"/>
  <c r="BP68" i="12"/>
  <c r="AB68" i="12"/>
  <c r="O68" i="12"/>
  <c r="BI68" i="12"/>
  <c r="J68" i="12"/>
  <c r="AH68" i="12"/>
  <c r="P68" i="12"/>
  <c r="AA68" i="12"/>
  <c r="BL68" i="12"/>
  <c r="AJ68" i="12"/>
  <c r="AI68" i="12"/>
  <c r="AF68" i="12"/>
  <c r="N68" i="12"/>
  <c r="BR68" i="12"/>
  <c r="R68" i="12"/>
  <c r="W68" i="12"/>
  <c r="T68" i="12"/>
  <c r="BK68" i="12"/>
  <c r="AD68" i="12"/>
  <c r="AL68" i="12"/>
  <c r="K68" i="12"/>
  <c r="H68" i="12"/>
  <c r="BQ68" i="12"/>
  <c r="BO68" i="12"/>
  <c r="BN68" i="12"/>
  <c r="BP68" i="7"/>
  <c r="BO68" i="7"/>
  <c r="AF68" i="7"/>
  <c r="T68" i="7"/>
  <c r="O68" i="7"/>
  <c r="BQ68" i="7"/>
  <c r="AY68" i="7"/>
  <c r="AI68" i="7"/>
  <c r="BB68" i="7"/>
  <c r="U68" i="7"/>
  <c r="AW68" i="7"/>
  <c r="BN68" i="7"/>
  <c r="BC68" i="7"/>
  <c r="S68" i="7"/>
  <c r="AZ68" i="7"/>
  <c r="AX68" i="7"/>
  <c r="AK68" i="7"/>
  <c r="AG68" i="7"/>
  <c r="I60" i="2"/>
  <c r="X55" i="2"/>
  <c r="BN60" i="11"/>
  <c r="BG60" i="11"/>
  <c r="AN60" i="11"/>
  <c r="BF60" i="11"/>
  <c r="V60" i="11"/>
  <c r="W60" i="11"/>
  <c r="AM60" i="11"/>
  <c r="AO60" i="11"/>
  <c r="L60" i="11"/>
  <c r="AC60" i="11"/>
  <c r="AE60" i="11"/>
  <c r="Q60" i="11"/>
  <c r="I60" i="11"/>
  <c r="K60" i="11"/>
  <c r="AV60" i="11"/>
  <c r="BJ60" i="11"/>
  <c r="Y60" i="11"/>
  <c r="AB60" i="11"/>
  <c r="BO60" i="11"/>
  <c r="BD60" i="11"/>
  <c r="AL60" i="11"/>
  <c r="BI60" i="11"/>
  <c r="BL60" i="11"/>
  <c r="AH60" i="11"/>
  <c r="AR60" i="11"/>
  <c r="Z60" i="11"/>
  <c r="AY60" i="11"/>
  <c r="AF60" i="11"/>
  <c r="N60" i="11"/>
  <c r="BR60" i="11"/>
  <c r="T60" i="11"/>
  <c r="X60" i="11"/>
  <c r="J60" i="11"/>
  <c r="M60" i="11"/>
  <c r="H60" i="11"/>
  <c r="AQ60" i="11"/>
  <c r="AA60" i="11"/>
  <c r="AG60" i="11"/>
  <c r="BM60" i="11"/>
  <c r="BH60" i="11"/>
  <c r="AT60" i="11"/>
  <c r="AW60" i="11"/>
  <c r="P60" i="11"/>
  <c r="U60" i="11"/>
  <c r="BB60" i="11"/>
  <c r="AI60" i="11"/>
  <c r="AK60" i="11"/>
  <c r="BP60" i="11"/>
  <c r="AU60" i="11"/>
  <c r="AZ60" i="11"/>
  <c r="BE60" i="11"/>
  <c r="BA60" i="11"/>
  <c r="BS60" i="11"/>
  <c r="AX60" i="11"/>
  <c r="S60" i="11"/>
  <c r="AJ60" i="11"/>
  <c r="AS60" i="11"/>
  <c r="BQ60" i="11"/>
  <c r="BC60" i="11"/>
  <c r="BK60" i="11"/>
  <c r="BT60" i="11"/>
  <c r="AD60" i="11"/>
  <c r="O60" i="11"/>
  <c r="AP60" i="11"/>
  <c r="R60" i="11"/>
  <c r="D95" i="5"/>
  <c r="BR75" i="10"/>
  <c r="D43" i="5"/>
  <c r="B38" i="5"/>
  <c r="E38" i="5" s="1"/>
  <c r="AD72" i="7"/>
  <c r="AV72" i="7"/>
  <c r="AA72" i="7"/>
  <c r="AX72" i="7"/>
  <c r="Y72" i="7"/>
  <c r="W72" i="7"/>
  <c r="BC72" i="7"/>
  <c r="BS72" i="7"/>
  <c r="BG72" i="7"/>
  <c r="AY72" i="7"/>
  <c r="AV71" i="11"/>
  <c r="BG71" i="11"/>
  <c r="BN71" i="11"/>
  <c r="Q71" i="11"/>
  <c r="BM71" i="11"/>
  <c r="M71" i="11"/>
  <c r="BH71" i="11"/>
  <c r="BP71" i="11"/>
  <c r="K71" i="11"/>
  <c r="BR71" i="11"/>
  <c r="BT71" i="11"/>
  <c r="BF71" i="11"/>
  <c r="BJ71" i="11"/>
  <c r="AW71" i="11"/>
  <c r="AX71" i="11"/>
  <c r="BD71" i="11"/>
  <c r="BO71" i="11"/>
  <c r="BL71" i="11"/>
  <c r="BS71" i="11"/>
  <c r="BI71" i="11"/>
  <c r="BA71" i="11"/>
  <c r="AZ71" i="11"/>
  <c r="N71" i="11"/>
  <c r="BK71" i="11"/>
  <c r="BB71" i="11"/>
  <c r="I71" i="11"/>
  <c r="BC71" i="11"/>
  <c r="H71" i="11"/>
  <c r="BE71" i="11"/>
  <c r="J71" i="11"/>
  <c r="AY71" i="11"/>
  <c r="BQ71" i="11"/>
  <c r="D49" i="5"/>
  <c r="BT43" i="5"/>
  <c r="BH43" i="5"/>
  <c r="AV43" i="5"/>
  <c r="L43" i="5"/>
  <c r="BR37" i="5"/>
  <c r="BF37" i="5"/>
  <c r="AT37" i="5"/>
  <c r="AH37" i="5"/>
  <c r="V37" i="5"/>
  <c r="J37" i="5"/>
  <c r="BK99" i="5"/>
  <c r="AY99" i="5"/>
  <c r="AM99" i="5"/>
  <c r="AA99" i="5"/>
  <c r="O99" i="5"/>
  <c r="BP98" i="5"/>
  <c r="BD98" i="5"/>
  <c r="AR98" i="5"/>
  <c r="AF98" i="5"/>
  <c r="T98" i="5"/>
  <c r="H98" i="5"/>
  <c r="BI49" i="5"/>
  <c r="AW49" i="5"/>
  <c r="M49" i="5"/>
  <c r="BN28" i="5"/>
  <c r="BB28" i="5"/>
  <c r="AD28" i="5"/>
  <c r="R28" i="5"/>
  <c r="BL70" i="5"/>
  <c r="AZ70" i="5"/>
  <c r="BQ76" i="5"/>
  <c r="BE76" i="5"/>
  <c r="AS76" i="5"/>
  <c r="AG76" i="5"/>
  <c r="I76" i="5"/>
  <c r="BJ97" i="5"/>
  <c r="AX97" i="5"/>
  <c r="AL97" i="5"/>
  <c r="Z97" i="5"/>
  <c r="N97" i="5"/>
  <c r="BO83" i="5"/>
  <c r="BC83" i="5"/>
  <c r="AQ83" i="5"/>
  <c r="AE83" i="5"/>
  <c r="S83" i="5"/>
  <c r="BT85" i="5"/>
  <c r="BH85" i="5"/>
  <c r="AV85" i="5"/>
  <c r="AJ85" i="5"/>
  <c r="X85" i="5"/>
  <c r="L85" i="5"/>
  <c r="O53" i="2"/>
  <c r="AX73" i="7"/>
  <c r="AT73" i="7"/>
  <c r="V74" i="7"/>
  <c r="P72" i="7"/>
  <c r="N72" i="7"/>
  <c r="AZ72" i="7"/>
  <c r="BE72" i="7"/>
  <c r="AG56" i="7"/>
  <c r="BB44" i="7"/>
  <c r="BL71" i="7"/>
  <c r="AU70" i="7"/>
  <c r="BK68" i="7"/>
  <c r="O64" i="7"/>
  <c r="BR56" i="7"/>
  <c r="O75" i="7"/>
  <c r="H75" i="7"/>
  <c r="AI75" i="7"/>
  <c r="P73" i="7"/>
  <c r="BP60" i="7"/>
  <c r="AO73" i="7"/>
  <c r="BS69" i="7"/>
  <c r="BB47" i="7"/>
  <c r="L72" i="7"/>
  <c r="BR64" i="7"/>
  <c r="AD48" i="7"/>
  <c r="M71" i="7"/>
  <c r="BP71" i="7"/>
  <c r="BE68" i="7"/>
  <c r="BR68" i="7"/>
  <c r="AN73" i="7"/>
  <c r="AE72" i="7"/>
  <c r="K65" i="7"/>
  <c r="M57" i="7"/>
  <c r="BE61" i="7"/>
  <c r="BK61" i="7"/>
  <c r="Q59" i="7"/>
  <c r="BT59" i="7"/>
  <c r="H63" i="7"/>
  <c r="K63" i="7"/>
  <c r="BF63" i="7"/>
  <c r="X59" i="7"/>
  <c r="M53" i="7"/>
  <c r="BK65" i="7"/>
  <c r="BI55" i="7"/>
  <c r="L53" i="7"/>
  <c r="BF41" i="7"/>
  <c r="BN65" i="7"/>
  <c r="BT65" i="7"/>
  <c r="BE65" i="7"/>
  <c r="U59" i="7"/>
  <c r="BB54" i="7"/>
  <c r="BP54" i="7"/>
  <c r="AT67" i="7"/>
  <c r="AS20" i="10"/>
  <c r="E17" i="5"/>
  <c r="AW39" i="12"/>
  <c r="AV39" i="10"/>
  <c r="AP39" i="7"/>
  <c r="AW36" i="5"/>
  <c r="AT35" i="11"/>
  <c r="V34" i="5"/>
  <c r="AZ31" i="11"/>
  <c r="X31" i="12"/>
  <c r="AO31" i="10"/>
  <c r="AA31" i="7"/>
  <c r="E33" i="2"/>
  <c r="D78" i="5"/>
  <c r="D94" i="5"/>
  <c r="D53" i="5"/>
  <c r="D22" i="5"/>
  <c r="E20" i="2"/>
  <c r="AP18" i="10"/>
  <c r="AD24" i="11"/>
  <c r="AM24" i="7"/>
  <c r="E13" i="2"/>
  <c r="E17" i="12"/>
  <c r="AR17" i="12" s="1"/>
  <c r="E17" i="11"/>
  <c r="AX17" i="11" s="1"/>
  <c r="E17" i="7"/>
  <c r="P17" i="7" s="1"/>
  <c r="BF63" i="9"/>
  <c r="W31" i="5"/>
  <c r="BS63" i="9"/>
  <c r="AR63" i="9"/>
  <c r="R63" i="9"/>
  <c r="H63" i="9"/>
  <c r="V63" i="9"/>
  <c r="AM63" i="9"/>
  <c r="AN63" i="9"/>
  <c r="AQ63" i="9"/>
  <c r="AU63" i="9"/>
  <c r="U63" i="9"/>
  <c r="J63" i="9"/>
  <c r="P63" i="9"/>
  <c r="BQ63" i="9"/>
  <c r="BT63" i="9"/>
  <c r="AF63" i="9"/>
  <c r="AP63" i="9"/>
  <c r="K63" i="9"/>
  <c r="AS63" i="9"/>
  <c r="X63" i="9"/>
  <c r="AJ63" i="9"/>
  <c r="AK63" i="9"/>
  <c r="I63" i="9"/>
  <c r="BR63" i="9"/>
  <c r="O63" i="9"/>
  <c r="L63" i="9"/>
  <c r="AB63" i="9"/>
  <c r="W63" i="9"/>
  <c r="AT63" i="9"/>
  <c r="Y63" i="9"/>
  <c r="M63" i="9"/>
  <c r="N63" i="9"/>
  <c r="AO63" i="9"/>
  <c r="Q63" i="9"/>
  <c r="T63" i="9"/>
  <c r="AA63" i="9"/>
  <c r="S63" i="9"/>
  <c r="AD63" i="9"/>
  <c r="AA33" i="2"/>
  <c r="O33" i="2"/>
  <c r="BN39" i="12"/>
  <c r="AL39" i="12"/>
  <c r="AK39" i="12"/>
  <c r="AJ39" i="12"/>
  <c r="AH39" i="12"/>
  <c r="N39" i="12"/>
  <c r="Y39" i="12"/>
  <c r="S39" i="12"/>
  <c r="R39" i="12"/>
  <c r="U39" i="12"/>
  <c r="V39" i="12"/>
  <c r="AI39" i="12"/>
  <c r="BQ39" i="12"/>
  <c r="AM39" i="12"/>
  <c r="AG39" i="12"/>
  <c r="BL39" i="12"/>
  <c r="M39" i="12"/>
  <c r="AB39" i="12"/>
  <c r="H39" i="12"/>
  <c r="AE39" i="12"/>
  <c r="P39" i="12"/>
  <c r="W39" i="12"/>
  <c r="BI39" i="12"/>
  <c r="X39" i="12"/>
  <c r="BK39" i="12"/>
  <c r="L39" i="12"/>
  <c r="BR39" i="12"/>
  <c r="I39" i="12"/>
  <c r="AA39" i="12"/>
  <c r="BS39" i="12"/>
  <c r="AD39" i="12"/>
  <c r="BP39" i="12"/>
  <c r="O39" i="12"/>
  <c r="K39" i="12"/>
  <c r="BH39" i="12"/>
  <c r="T39" i="12"/>
  <c r="BJ39" i="12"/>
  <c r="AC39" i="12"/>
  <c r="BO39" i="12"/>
  <c r="BM39" i="12"/>
  <c r="Z39" i="12"/>
  <c r="J39" i="12"/>
  <c r="Q39" i="12"/>
  <c r="AF39" i="12"/>
  <c r="U31" i="2"/>
  <c r="K36" i="12"/>
  <c r="BQ36" i="12"/>
  <c r="AZ36" i="12"/>
  <c r="BR36" i="12"/>
  <c r="S36" i="12"/>
  <c r="H36" i="12"/>
  <c r="BM36" i="12"/>
  <c r="N36" i="12"/>
  <c r="BP36" i="12"/>
  <c r="BJ36" i="12"/>
  <c r="J36" i="12"/>
  <c r="BS36" i="12"/>
  <c r="BO36" i="12"/>
  <c r="I36" i="12"/>
  <c r="BI36" i="12"/>
  <c r="BK36" i="12"/>
  <c r="O36" i="12"/>
  <c r="M36" i="12"/>
  <c r="BN36" i="12"/>
  <c r="BH36" i="12"/>
  <c r="L36" i="12"/>
  <c r="BL36" i="12"/>
  <c r="BM35" i="11"/>
  <c r="T35" i="11"/>
  <c r="AA35" i="11"/>
  <c r="BN35" i="11"/>
  <c r="BT35" i="11"/>
  <c r="K35" i="11"/>
  <c r="BI35" i="11"/>
  <c r="BK35" i="11"/>
  <c r="W35" i="11"/>
  <c r="X35" i="11"/>
  <c r="I35" i="11"/>
  <c r="M35" i="11"/>
  <c r="H35" i="11"/>
  <c r="J35" i="11"/>
  <c r="V35" i="11"/>
  <c r="P35" i="11"/>
  <c r="Z35" i="11"/>
  <c r="BO35" i="11"/>
  <c r="N35" i="11"/>
  <c r="R35" i="11"/>
  <c r="S35" i="11"/>
  <c r="BQ35" i="11"/>
  <c r="O35" i="11"/>
  <c r="Y35" i="11"/>
  <c r="BS35" i="11"/>
  <c r="Q35" i="11"/>
  <c r="U35" i="11"/>
  <c r="BH35" i="11"/>
  <c r="L35" i="11"/>
  <c r="BP35" i="11"/>
  <c r="BJ35" i="11"/>
  <c r="BR35" i="11"/>
  <c r="BJ35" i="7"/>
  <c r="AY35" i="7"/>
  <c r="BT35" i="7"/>
  <c r="BL35" i="7"/>
  <c r="L35" i="7"/>
  <c r="BN35" i="7"/>
  <c r="BB35" i="7"/>
  <c r="BH35" i="7"/>
  <c r="J35" i="7"/>
  <c r="AW35" i="7"/>
  <c r="K35" i="7"/>
  <c r="BK35" i="7"/>
  <c r="BE35" i="7"/>
  <c r="BP35" i="7"/>
  <c r="AV35" i="7"/>
  <c r="BR35" i="7"/>
  <c r="BD35" i="7"/>
  <c r="I35" i="7"/>
  <c r="AT35" i="7"/>
  <c r="BI35" i="7"/>
  <c r="BQ35" i="7"/>
  <c r="AZ35" i="7"/>
  <c r="BA35" i="7"/>
  <c r="H35" i="7"/>
  <c r="BS35" i="7"/>
  <c r="BO35" i="7"/>
  <c r="M35" i="7"/>
  <c r="BG35" i="7"/>
  <c r="BC35" i="7"/>
  <c r="BF35" i="7"/>
  <c r="BM35" i="7"/>
  <c r="AU35" i="7"/>
  <c r="AX35" i="7"/>
  <c r="L34" i="10"/>
  <c r="K34" i="10"/>
  <c r="BH34" i="10"/>
  <c r="BF34" i="10"/>
  <c r="BG34" i="10"/>
  <c r="Q34" i="10"/>
  <c r="BP34" i="10"/>
  <c r="BE34" i="10"/>
  <c r="J34" i="10"/>
  <c r="BD34" i="10"/>
  <c r="BS34" i="10"/>
  <c r="BT34" i="10"/>
  <c r="BR34" i="10"/>
  <c r="BK34" i="10"/>
  <c r="O34" i="10"/>
  <c r="BQ34" i="10"/>
  <c r="P34" i="10"/>
  <c r="M34" i="10"/>
  <c r="BI34" i="10"/>
  <c r="H34" i="10"/>
  <c r="V34" i="10"/>
  <c r="N34" i="10"/>
  <c r="U34" i="10"/>
  <c r="BN34" i="10"/>
  <c r="BM34" i="10"/>
  <c r="T34" i="10"/>
  <c r="I34" i="10"/>
  <c r="BL34" i="10"/>
  <c r="W34" i="10"/>
  <c r="AK34" i="10"/>
  <c r="S34" i="10"/>
  <c r="BO34" i="10"/>
  <c r="BJ34" i="10"/>
  <c r="R34" i="10"/>
  <c r="BI32" i="12"/>
  <c r="AW32" i="12"/>
  <c r="BK32" i="12"/>
  <c r="I32" i="12"/>
  <c r="L32" i="12"/>
  <c r="BP32" i="12"/>
  <c r="BJ32" i="12"/>
  <c r="N32" i="12"/>
  <c r="BR32" i="12"/>
  <c r="O32" i="12"/>
  <c r="BS32" i="12"/>
  <c r="H32" i="12"/>
  <c r="J32" i="12"/>
  <c r="BC32" i="12"/>
  <c r="BL32" i="12"/>
  <c r="BN32" i="12"/>
  <c r="M32" i="12"/>
  <c r="BO32" i="12"/>
  <c r="BQ32" i="12"/>
  <c r="BH32" i="12"/>
  <c r="K32" i="12"/>
  <c r="L25" i="2"/>
  <c r="X22" i="2"/>
  <c r="L22" i="2"/>
  <c r="N28" i="10"/>
  <c r="BN26" i="11"/>
  <c r="BJ26" i="7"/>
  <c r="BH26" i="7"/>
  <c r="BG26" i="7"/>
  <c r="BN26" i="7"/>
  <c r="BP26" i="7"/>
  <c r="BM26" i="7"/>
  <c r="K26" i="7"/>
  <c r="BL26" i="7"/>
  <c r="BO26" i="7"/>
  <c r="BT26" i="7"/>
  <c r="V26" i="7"/>
  <c r="AL26" i="7"/>
  <c r="BK26" i="7"/>
  <c r="BB26" i="7"/>
  <c r="X26" i="7"/>
  <c r="BR26" i="7"/>
  <c r="BS26" i="7"/>
  <c r="AM26" i="7"/>
  <c r="AH26" i="7"/>
  <c r="BI26" i="7"/>
  <c r="BQ26" i="7"/>
  <c r="AK26" i="7"/>
  <c r="AG26" i="7"/>
  <c r="T24" i="12"/>
  <c r="O24" i="12"/>
  <c r="BR24" i="12"/>
  <c r="N24" i="12"/>
  <c r="BP24" i="12"/>
  <c r="BN24" i="12"/>
  <c r="BL24" i="12"/>
  <c r="BK24" i="12"/>
  <c r="BJ24" i="12"/>
  <c r="AA24" i="12"/>
  <c r="X24" i="12"/>
  <c r="I24" i="12"/>
  <c r="H24" i="12"/>
  <c r="L24" i="12"/>
  <c r="BO24" i="12"/>
  <c r="BS24" i="12"/>
  <c r="AQ24" i="12"/>
  <c r="BI24" i="12"/>
  <c r="J24" i="12"/>
  <c r="Z24" i="12"/>
  <c r="S24" i="12"/>
  <c r="W24" i="12"/>
  <c r="BM24" i="12"/>
  <c r="Y24" i="12"/>
  <c r="K24" i="12"/>
  <c r="V24" i="12"/>
  <c r="M24" i="12"/>
  <c r="BQ24" i="12"/>
  <c r="BH24" i="12"/>
  <c r="R24" i="12"/>
  <c r="Q24" i="12"/>
  <c r="BK24" i="7"/>
  <c r="Y24" i="7"/>
  <c r="BD24" i="7"/>
  <c r="R24" i="7"/>
  <c r="Z24" i="7"/>
  <c r="BA24" i="7"/>
  <c r="M24" i="7"/>
  <c r="AN24" i="7"/>
  <c r="BL24" i="7"/>
  <c r="L24" i="7"/>
  <c r="AZ24" i="7"/>
  <c r="BS24" i="7"/>
  <c r="X24" i="7"/>
  <c r="AV24" i="7"/>
  <c r="AL24" i="7"/>
  <c r="O24" i="7"/>
  <c r="BG24" i="7"/>
  <c r="I24" i="7"/>
  <c r="AF24" i="7"/>
  <c r="BM24" i="7"/>
  <c r="AR24" i="7"/>
  <c r="T24" i="7"/>
  <c r="AC24" i="7"/>
  <c r="AG24" i="7"/>
  <c r="BO24" i="7"/>
  <c r="AU24" i="7"/>
  <c r="BR24" i="7"/>
  <c r="P24" i="7"/>
  <c r="N24" i="7"/>
  <c r="BQ24" i="7"/>
  <c r="AT24" i="7"/>
  <c r="BE24" i="7"/>
  <c r="BJ24" i="7"/>
  <c r="BC24" i="7"/>
  <c r="AI24" i="7"/>
  <c r="BB24" i="7"/>
  <c r="AO24" i="7"/>
  <c r="AQ24" i="7"/>
  <c r="W24" i="7"/>
  <c r="BP24" i="7"/>
  <c r="AD24" i="7"/>
  <c r="AE24" i="7"/>
  <c r="BF24" i="7"/>
  <c r="V24" i="7"/>
  <c r="BH24" i="7"/>
  <c r="S24" i="7"/>
  <c r="AP24" i="7"/>
  <c r="H24" i="7"/>
  <c r="Q24" i="7"/>
  <c r="U24" i="7"/>
  <c r="BI24" i="7"/>
  <c r="AA24" i="7"/>
  <c r="BN24" i="7"/>
  <c r="AS24" i="7"/>
  <c r="AX24" i="7"/>
  <c r="J24" i="7"/>
  <c r="AW24" i="7"/>
  <c r="K24" i="7"/>
  <c r="AY24" i="7"/>
  <c r="AJ24" i="7"/>
  <c r="AK24" i="7"/>
  <c r="BT24" i="7"/>
  <c r="AB24" i="7"/>
  <c r="U15" i="2"/>
  <c r="AA14" i="2"/>
  <c r="Y57" i="10"/>
  <c r="BM19" i="12"/>
  <c r="AX19" i="12"/>
  <c r="AI19" i="12"/>
  <c r="P19" i="12"/>
  <c r="BL19" i="12"/>
  <c r="O19" i="12"/>
  <c r="BK19" i="12"/>
  <c r="N19" i="12"/>
  <c r="BJ19" i="12"/>
  <c r="M19" i="12"/>
  <c r="BI19" i="12"/>
  <c r="L19" i="12"/>
  <c r="BH19" i="12"/>
  <c r="K19" i="12"/>
  <c r="BG19" i="12"/>
  <c r="J19" i="12"/>
  <c r="BF19" i="12"/>
  <c r="I19" i="12"/>
  <c r="BE19" i="12"/>
  <c r="W19" i="12"/>
  <c r="BO19" i="12"/>
  <c r="BR19" i="12"/>
  <c r="U19" i="12"/>
  <c r="BS19" i="12"/>
  <c r="BQ19" i="12"/>
  <c r="V19" i="12"/>
  <c r="Q19" i="12"/>
  <c r="BP19" i="12"/>
  <c r="AP19" i="12"/>
  <c r="BB19" i="12"/>
  <c r="BN19" i="12"/>
  <c r="S19" i="12"/>
  <c r="R19" i="12"/>
  <c r="BD19" i="12"/>
  <c r="H19" i="12"/>
  <c r="T19" i="12"/>
  <c r="AI19" i="5"/>
  <c r="AP19" i="5"/>
  <c r="BN19" i="5"/>
  <c r="BQ24" i="5"/>
  <c r="AA37" i="2"/>
  <c r="X43" i="2"/>
  <c r="T50" i="11"/>
  <c r="I43" i="2"/>
  <c r="K49" i="10"/>
  <c r="BQ49" i="10"/>
  <c r="BI49" i="10"/>
  <c r="BG49" i="10"/>
  <c r="BS49" i="10"/>
  <c r="BL49" i="10"/>
  <c r="BO49" i="10"/>
  <c r="BR49" i="10"/>
  <c r="BT49" i="10"/>
  <c r="J49" i="10"/>
  <c r="BH49" i="10"/>
  <c r="BF49" i="10"/>
  <c r="BJ49" i="10"/>
  <c r="BK49" i="10"/>
  <c r="I49" i="10"/>
  <c r="BM49" i="10"/>
  <c r="BN49" i="10"/>
  <c r="H49" i="10"/>
  <c r="BE49" i="10"/>
  <c r="BD49" i="10"/>
  <c r="BP49" i="10"/>
  <c r="U49" i="11"/>
  <c r="AI49" i="10"/>
  <c r="Z101" i="5"/>
  <c r="AF47" i="12"/>
  <c r="I47" i="12"/>
  <c r="M47" i="12"/>
  <c r="AW47" i="12"/>
  <c r="BJ47" i="12"/>
  <c r="BK47" i="12"/>
  <c r="N47" i="12"/>
  <c r="BM47" i="12"/>
  <c r="O47" i="12"/>
  <c r="BI47" i="12"/>
  <c r="BQ47" i="12"/>
  <c r="Y47" i="12"/>
  <c r="AX47" i="12"/>
  <c r="AG47" i="12"/>
  <c r="AY47" i="12"/>
  <c r="BE47" i="12"/>
  <c r="U47" i="12"/>
  <c r="BA47" i="12"/>
  <c r="Q47" i="12"/>
  <c r="AS47" i="12"/>
  <c r="AO47" i="12"/>
  <c r="AM47" i="12"/>
  <c r="AL47" i="12"/>
  <c r="AK47" i="12"/>
  <c r="AC47" i="12"/>
  <c r="AA47" i="12"/>
  <c r="AH47" i="12"/>
  <c r="Z47" i="12"/>
  <c r="AT47" i="12"/>
  <c r="K47" i="12"/>
  <c r="S47" i="12"/>
  <c r="BF47" i="12"/>
  <c r="W47" i="12"/>
  <c r="L47" i="12"/>
  <c r="AE47" i="12"/>
  <c r="BR47" i="12"/>
  <c r="AI47" i="12"/>
  <c r="X47" i="12"/>
  <c r="AQ47" i="12"/>
  <c r="H47" i="12"/>
  <c r="AU47" i="12"/>
  <c r="AJ47" i="12"/>
  <c r="P47" i="12"/>
  <c r="R47" i="12"/>
  <c r="BC47" i="12"/>
  <c r="T47" i="12"/>
  <c r="BG47" i="12"/>
  <c r="AV47" i="12"/>
  <c r="AB47" i="12"/>
  <c r="AD47" i="12"/>
  <c r="BO47" i="12"/>
  <c r="AR47" i="12"/>
  <c r="BS47" i="12"/>
  <c r="BH47" i="12"/>
  <c r="AN47" i="12"/>
  <c r="AP47" i="12"/>
  <c r="BD47" i="12"/>
  <c r="AZ47" i="12"/>
  <c r="BB47" i="12"/>
  <c r="BP47" i="12"/>
  <c r="BL47" i="12"/>
  <c r="BN47" i="12"/>
  <c r="J47" i="12"/>
  <c r="V47" i="12"/>
  <c r="I40" i="2"/>
  <c r="BK46" i="11"/>
  <c r="S46" i="11"/>
  <c r="BA46" i="11"/>
  <c r="BB46" i="11"/>
  <c r="Q46" i="11"/>
  <c r="AL46" i="11"/>
  <c r="AE46" i="11"/>
  <c r="AA46" i="11"/>
  <c r="BM46" i="11"/>
  <c r="AZ46" i="11"/>
  <c r="Z46" i="11"/>
  <c r="AS46" i="11"/>
  <c r="BE46" i="11"/>
  <c r="AO46" i="11"/>
  <c r="U46" i="11"/>
  <c r="AM46" i="11"/>
  <c r="BJ46" i="11"/>
  <c r="BL46" i="11"/>
  <c r="AG46" i="11"/>
  <c r="N46" i="11"/>
  <c r="BC46" i="11"/>
  <c r="AN46" i="11"/>
  <c r="BN46" i="11"/>
  <c r="AQ46" i="11"/>
  <c r="R46" i="11"/>
  <c r="P46" i="11"/>
  <c r="I46" i="11"/>
  <c r="AP46" i="11"/>
  <c r="AD46" i="11"/>
  <c r="O46" i="11"/>
  <c r="L46" i="11"/>
  <c r="J46" i="11"/>
  <c r="BS46" i="11"/>
  <c r="BP46" i="11"/>
  <c r="BI46" i="11"/>
  <c r="BG46" i="11"/>
  <c r="BD46" i="11"/>
  <c r="AW46" i="11"/>
  <c r="AU46" i="11"/>
  <c r="AR46" i="11"/>
  <c r="AK46" i="11"/>
  <c r="AI46" i="11"/>
  <c r="AF46" i="11"/>
  <c r="Y46" i="11"/>
  <c r="W46" i="11"/>
  <c r="T46" i="11"/>
  <c r="M46" i="11"/>
  <c r="K46" i="11"/>
  <c r="H46" i="11"/>
  <c r="BT46" i="11"/>
  <c r="BR46" i="11"/>
  <c r="AB46" i="11"/>
  <c r="AC46" i="11"/>
  <c r="BH46" i="11"/>
  <c r="BF46" i="11"/>
  <c r="AX46" i="11"/>
  <c r="AY46" i="11"/>
  <c r="AV46" i="11"/>
  <c r="AT46" i="11"/>
  <c r="BO46" i="11"/>
  <c r="BQ46" i="11"/>
  <c r="AJ46" i="11"/>
  <c r="AH46" i="11"/>
  <c r="X46" i="11"/>
  <c r="V46" i="11"/>
  <c r="I39" i="2"/>
  <c r="BH44" i="12"/>
  <c r="O47" i="10"/>
  <c r="BS26" i="10"/>
  <c r="BR26" i="10"/>
  <c r="BQ26" i="10"/>
  <c r="BL26" i="10"/>
  <c r="P26" i="10"/>
  <c r="BJ26" i="10"/>
  <c r="O26" i="10"/>
  <c r="BI26" i="10"/>
  <c r="N26" i="10"/>
  <c r="BH26" i="10"/>
  <c r="M26" i="10"/>
  <c r="BE26" i="10"/>
  <c r="J26" i="10"/>
  <c r="BD26" i="10"/>
  <c r="I26" i="10"/>
  <c r="AZ26" i="10"/>
  <c r="H26" i="10"/>
  <c r="BO26" i="10"/>
  <c r="BT26" i="10"/>
  <c r="BA26" i="10"/>
  <c r="BF26" i="10"/>
  <c r="BM26" i="10"/>
  <c r="L26" i="10"/>
  <c r="BN26" i="10"/>
  <c r="BG26" i="10"/>
  <c r="K26" i="10"/>
  <c r="Q26" i="10"/>
  <c r="R26" i="10"/>
  <c r="BK26" i="10"/>
  <c r="BB26" i="10"/>
  <c r="S26" i="10"/>
  <c r="BC26" i="10"/>
  <c r="E49" i="2"/>
  <c r="BL53" i="12"/>
  <c r="I53" i="12"/>
  <c r="N53" i="12"/>
  <c r="AW53" i="12"/>
  <c r="AX53" i="12"/>
  <c r="BA53" i="12"/>
  <c r="BH53" i="12"/>
  <c r="BM53" i="12"/>
  <c r="BS53" i="12"/>
  <c r="BR53" i="12"/>
  <c r="BO53" i="12"/>
  <c r="BF53" i="12"/>
  <c r="H53" i="12"/>
  <c r="O53" i="12"/>
  <c r="AV53" i="12"/>
  <c r="BJ53" i="12"/>
  <c r="BK53" i="12"/>
  <c r="AY53" i="12"/>
  <c r="BI53" i="12"/>
  <c r="J53" i="12"/>
  <c r="BN53" i="12"/>
  <c r="M53" i="12"/>
  <c r="BQ53" i="12"/>
  <c r="K53" i="12"/>
  <c r="BE53" i="12"/>
  <c r="BG53" i="12"/>
  <c r="L53" i="12"/>
  <c r="BP53" i="12"/>
  <c r="L46" i="2"/>
  <c r="O52" i="11"/>
  <c r="BO52" i="11"/>
  <c r="BS52" i="11"/>
  <c r="BT52" i="11"/>
  <c r="J52" i="11"/>
  <c r="N52" i="11"/>
  <c r="BL52" i="11"/>
  <c r="BQ52" i="11"/>
  <c r="AW52" i="11"/>
  <c r="BI52" i="11"/>
  <c r="W52" i="11"/>
  <c r="BH52" i="11"/>
  <c r="BP52" i="11"/>
  <c r="I52" i="11"/>
  <c r="BK52" i="11"/>
  <c r="BM52" i="11"/>
  <c r="K52" i="11"/>
  <c r="M52" i="11"/>
  <c r="H52" i="11"/>
  <c r="BR52" i="11"/>
  <c r="P52" i="11"/>
  <c r="BJ52" i="11"/>
  <c r="L52" i="11"/>
  <c r="AV52" i="11"/>
  <c r="AY52" i="11"/>
  <c r="BF52" i="11"/>
  <c r="BG52" i="11"/>
  <c r="BD52" i="11"/>
  <c r="BA52" i="11"/>
  <c r="AZ52" i="11"/>
  <c r="BE52" i="11"/>
  <c r="AM52" i="11"/>
  <c r="AQ52" i="11"/>
  <c r="AD52" i="11"/>
  <c r="BB52" i="11"/>
  <c r="BN52" i="11"/>
  <c r="S52" i="7"/>
  <c r="BG52" i="7"/>
  <c r="N52" i="7"/>
  <c r="K52" i="7"/>
  <c r="H52" i="7"/>
  <c r="V52" i="7"/>
  <c r="BS52" i="7"/>
  <c r="BN52" i="7"/>
  <c r="BM52" i="7"/>
  <c r="BQ52" i="7"/>
  <c r="BI52" i="7"/>
  <c r="BF52" i="7"/>
  <c r="AX52" i="7"/>
  <c r="AS52" i="7"/>
  <c r="BH52" i="7"/>
  <c r="BL52" i="7"/>
  <c r="BR52" i="7"/>
  <c r="BE52" i="7"/>
  <c r="I52" i="7"/>
  <c r="L52" i="7"/>
  <c r="M52" i="7"/>
  <c r="BP52" i="7"/>
  <c r="J52" i="7"/>
  <c r="AV52" i="7"/>
  <c r="BD52" i="7"/>
  <c r="AT52" i="7"/>
  <c r="BJ52" i="7"/>
  <c r="BO52" i="7"/>
  <c r="U52" i="7"/>
  <c r="BT52" i="7"/>
  <c r="BK52" i="7"/>
  <c r="BH23" i="10"/>
  <c r="BK23" i="10"/>
  <c r="I23" i="10"/>
  <c r="BE23" i="10"/>
  <c r="BJ23" i="10"/>
  <c r="V23" i="10"/>
  <c r="BN23" i="10"/>
  <c r="L23" i="10"/>
  <c r="M23" i="10"/>
  <c r="J23" i="10"/>
  <c r="BM23" i="10"/>
  <c r="BS23" i="10"/>
  <c r="BP23" i="10"/>
  <c r="BA23" i="10"/>
  <c r="BQ23" i="10"/>
  <c r="BT23" i="10"/>
  <c r="O23" i="10"/>
  <c r="BG23" i="10"/>
  <c r="BD23" i="10"/>
  <c r="N23" i="10"/>
  <c r="AS23" i="10"/>
  <c r="BB23" i="10"/>
  <c r="Q23" i="10"/>
  <c r="BI23" i="10"/>
  <c r="BL23" i="10"/>
  <c r="K23" i="10"/>
  <c r="H23" i="10"/>
  <c r="AZ23" i="10"/>
  <c r="BR23" i="10"/>
  <c r="BO23" i="10"/>
  <c r="BF23" i="10"/>
  <c r="BC23" i="10"/>
  <c r="D87" i="5"/>
  <c r="BC69" i="12"/>
  <c r="BI69" i="12"/>
  <c r="BG69" i="12"/>
  <c r="BR69" i="12"/>
  <c r="BP69" i="12"/>
  <c r="O69" i="12"/>
  <c r="BS69" i="12"/>
  <c r="BF69" i="12"/>
  <c r="BD69" i="12"/>
  <c r="BL69" i="12"/>
  <c r="AY69" i="12"/>
  <c r="BO69" i="12"/>
  <c r="J69" i="12"/>
  <c r="H69" i="12"/>
  <c r="N69" i="12"/>
  <c r="BQ69" i="12"/>
  <c r="BH69" i="12"/>
  <c r="BE69" i="12"/>
  <c r="AX69" i="12"/>
  <c r="BB69" i="12"/>
  <c r="AV69" i="12"/>
  <c r="BJ69" i="12"/>
  <c r="M69" i="12"/>
  <c r="BN69" i="12"/>
  <c r="K69" i="12"/>
  <c r="AW69" i="12"/>
  <c r="BM69" i="12"/>
  <c r="L69" i="12"/>
  <c r="I69" i="12"/>
  <c r="AZ69" i="12"/>
  <c r="BK69" i="12"/>
  <c r="BA69" i="12"/>
  <c r="L62" i="2"/>
  <c r="BN68" i="11"/>
  <c r="I61" i="2"/>
  <c r="AT67" i="11"/>
  <c r="AF67" i="11"/>
  <c r="AS67" i="11"/>
  <c r="AH67" i="11"/>
  <c r="AK67" i="11"/>
  <c r="AE67" i="11"/>
  <c r="H67" i="11"/>
  <c r="BI67" i="11"/>
  <c r="AY67" i="11"/>
  <c r="R67" i="11"/>
  <c r="BJ67" i="11"/>
  <c r="W67" i="11"/>
  <c r="AZ67" i="11"/>
  <c r="S67" i="11"/>
  <c r="BN67" i="11"/>
  <c r="AM67" i="11"/>
  <c r="K67" i="11"/>
  <c r="Q67" i="11"/>
  <c r="BT67" i="11"/>
  <c r="AG67" i="11"/>
  <c r="BA67" i="11"/>
  <c r="AX67" i="11"/>
  <c r="BH67" i="11"/>
  <c r="AW67" i="11"/>
  <c r="BO67" i="11"/>
  <c r="AN67" i="11"/>
  <c r="AD67" i="11"/>
  <c r="BL67" i="11"/>
  <c r="AV67" i="11"/>
  <c r="BK67" i="11"/>
  <c r="BB67" i="11"/>
  <c r="AR67" i="11"/>
  <c r="BP67" i="11"/>
  <c r="BF67" i="11"/>
  <c r="N67" i="11"/>
  <c r="BM67" i="11"/>
  <c r="L67" i="11"/>
  <c r="M67" i="11"/>
  <c r="AB67" i="11"/>
  <c r="BS67" i="11"/>
  <c r="AA67" i="11"/>
  <c r="AP67" i="11"/>
  <c r="O67" i="11"/>
  <c r="AU67" i="11"/>
  <c r="BC67" i="11"/>
  <c r="BR67" i="11"/>
  <c r="AL67" i="11"/>
  <c r="J67" i="11"/>
  <c r="BQ67" i="11"/>
  <c r="BE67" i="11"/>
  <c r="BD67" i="11"/>
  <c r="AO67" i="11"/>
  <c r="AC67" i="11"/>
  <c r="BG67" i="11"/>
  <c r="I67" i="11"/>
  <c r="Y66" i="10"/>
  <c r="R66" i="10"/>
  <c r="I66" i="10"/>
  <c r="BS66" i="10"/>
  <c r="BI66" i="10"/>
  <c r="AS66" i="10"/>
  <c r="AO66" i="10"/>
  <c r="AC66" i="10"/>
  <c r="W66" i="10"/>
  <c r="M66" i="10"/>
  <c r="BC66" i="10"/>
  <c r="BD66" i="10"/>
  <c r="BR66" i="10"/>
  <c r="BG66" i="10"/>
  <c r="AR66" i="10"/>
  <c r="AN66" i="10"/>
  <c r="V66" i="10"/>
  <c r="K66" i="10"/>
  <c r="BQ66" i="10"/>
  <c r="BF66" i="10"/>
  <c r="AQ66" i="10"/>
  <c r="AK66" i="10"/>
  <c r="U66" i="10"/>
  <c r="J66" i="10"/>
  <c r="H66" i="10"/>
  <c r="BN66" i="10"/>
  <c r="BE66" i="10"/>
  <c r="AD66" i="10"/>
  <c r="AW66" i="10"/>
  <c r="AP66" i="10"/>
  <c r="AG66" i="10"/>
  <c r="Z66" i="10"/>
  <c r="BO66" i="10"/>
  <c r="AB66" i="10"/>
  <c r="N66" i="10"/>
  <c r="AZ66" i="10"/>
  <c r="BB66" i="10"/>
  <c r="BT66" i="10"/>
  <c r="AH66" i="10"/>
  <c r="BH66" i="10"/>
  <c r="S66" i="10"/>
  <c r="BK66" i="10"/>
  <c r="AV66" i="10"/>
  <c r="BM66" i="10"/>
  <c r="AY66" i="10"/>
  <c r="AJ66" i="10"/>
  <c r="AU66" i="10"/>
  <c r="AM66" i="10"/>
  <c r="X66" i="10"/>
  <c r="AF66" i="10"/>
  <c r="AA66" i="10"/>
  <c r="L66" i="10"/>
  <c r="Q66" i="10"/>
  <c r="O66" i="10"/>
  <c r="BP66" i="10"/>
  <c r="BL66" i="10"/>
  <c r="BJ66" i="10"/>
  <c r="BA66" i="10"/>
  <c r="AT66" i="10"/>
  <c r="AX66" i="10"/>
  <c r="AI66" i="10"/>
  <c r="AE66" i="10"/>
  <c r="AL66" i="10"/>
  <c r="T66" i="10"/>
  <c r="P66" i="10"/>
  <c r="AN66" i="11"/>
  <c r="H66" i="7"/>
  <c r="W76" i="5"/>
  <c r="BC64" i="12"/>
  <c r="BP64" i="12"/>
  <c r="AV64" i="12"/>
  <c r="M64" i="12"/>
  <c r="BA64" i="12"/>
  <c r="BR64" i="12"/>
  <c r="H64" i="12"/>
  <c r="BD64" i="12"/>
  <c r="BL64" i="12"/>
  <c r="BK64" i="12"/>
  <c r="J64" i="12"/>
  <c r="AW64" i="12"/>
  <c r="BG64" i="12"/>
  <c r="AY64" i="12"/>
  <c r="BN64" i="12"/>
  <c r="BI64" i="12"/>
  <c r="L64" i="12"/>
  <c r="AZ64" i="12"/>
  <c r="BQ64" i="12"/>
  <c r="O64" i="12"/>
  <c r="BB64" i="12"/>
  <c r="BS64" i="12"/>
  <c r="I64" i="12"/>
  <c r="N64" i="12"/>
  <c r="BE64" i="12"/>
  <c r="BM64" i="12"/>
  <c r="BF64" i="12"/>
  <c r="BJ64" i="12"/>
  <c r="BH64" i="12"/>
  <c r="BO64" i="12"/>
  <c r="K64" i="12"/>
  <c r="AX64" i="12"/>
  <c r="L57" i="2"/>
  <c r="P63" i="12"/>
  <c r="BG63" i="12"/>
  <c r="AF63" i="12"/>
  <c r="AU63" i="12"/>
  <c r="T63" i="12"/>
  <c r="BE63" i="12"/>
  <c r="Y63" i="12"/>
  <c r="BM63" i="12"/>
  <c r="R63" i="12"/>
  <c r="AQ63" i="12"/>
  <c r="K63" i="12"/>
  <c r="AY63" i="12"/>
  <c r="AD63" i="12"/>
  <c r="AB63" i="12"/>
  <c r="BP63" i="12"/>
  <c r="AJ63" i="12"/>
  <c r="BK63" i="12"/>
  <c r="AP63" i="12"/>
  <c r="M63" i="12"/>
  <c r="BA63" i="12"/>
  <c r="V63" i="12"/>
  <c r="Q63" i="12"/>
  <c r="AH63" i="12"/>
  <c r="BN63" i="12"/>
  <c r="N63" i="12"/>
  <c r="BB63" i="12"/>
  <c r="BR63" i="12"/>
  <c r="AM63" i="12"/>
  <c r="H63" i="12"/>
  <c r="AV63" i="12"/>
  <c r="AS63" i="12"/>
  <c r="Z63" i="12"/>
  <c r="BD63" i="12"/>
  <c r="X63" i="12"/>
  <c r="AT63" i="12"/>
  <c r="AL63" i="12"/>
  <c r="AO63" i="12"/>
  <c r="J63" i="12"/>
  <c r="AX63" i="12"/>
  <c r="BF63" i="12"/>
  <c r="AA63" i="12"/>
  <c r="BO63" i="12"/>
  <c r="S63" i="12"/>
  <c r="AE63" i="12"/>
  <c r="BJ63" i="12"/>
  <c r="AR63" i="12"/>
  <c r="L63" i="12"/>
  <c r="AZ63" i="12"/>
  <c r="AW63" i="12"/>
  <c r="BI63" i="12"/>
  <c r="AG63" i="12"/>
  <c r="AC63" i="12"/>
  <c r="BQ63" i="12"/>
  <c r="AK63" i="12"/>
  <c r="U63" i="12"/>
  <c r="BL63" i="12"/>
  <c r="AI63" i="12"/>
  <c r="O63" i="12"/>
  <c r="BC63" i="12"/>
  <c r="W63" i="12"/>
  <c r="BH63" i="12"/>
  <c r="I63" i="12"/>
  <c r="BS63" i="12"/>
  <c r="AN63" i="12"/>
  <c r="BC63" i="7"/>
  <c r="BR63" i="7"/>
  <c r="AX63" i="7"/>
  <c r="AW63" i="7"/>
  <c r="AY63" i="7"/>
  <c r="AZ63" i="7"/>
  <c r="AM63" i="7"/>
  <c r="U63" i="7"/>
  <c r="T63" i="7"/>
  <c r="S63" i="7"/>
  <c r="R63" i="7"/>
  <c r="P63" i="7"/>
  <c r="BN63" i="7"/>
  <c r="BS62" i="11"/>
  <c r="BH62" i="7"/>
  <c r="BF62" i="7"/>
  <c r="BO62" i="7"/>
  <c r="BR62" i="7"/>
  <c r="L62" i="7"/>
  <c r="H62" i="7"/>
  <c r="BS62" i="7"/>
  <c r="BD62" i="7"/>
  <c r="BK62" i="7"/>
  <c r="BG62" i="7"/>
  <c r="BP62" i="7"/>
  <c r="M62" i="7"/>
  <c r="J62" i="7"/>
  <c r="W62" i="7"/>
  <c r="BN62" i="7"/>
  <c r="BJ62" i="7"/>
  <c r="K62" i="7"/>
  <c r="BT62" i="7"/>
  <c r="BL62" i="7"/>
  <c r="BE62" i="7"/>
  <c r="I62" i="7"/>
  <c r="BM62" i="7"/>
  <c r="BI62" i="7"/>
  <c r="X61" i="11"/>
  <c r="BD61" i="11"/>
  <c r="AW61" i="11"/>
  <c r="AU61" i="11"/>
  <c r="AF61" i="11"/>
  <c r="AB61" i="11"/>
  <c r="BQ61" i="11"/>
  <c r="BR61" i="11"/>
  <c r="M61" i="11"/>
  <c r="AX61" i="11"/>
  <c r="AN61" i="11"/>
  <c r="T61" i="11"/>
  <c r="AH61" i="11"/>
  <c r="K61" i="11"/>
  <c r="BH61" i="11"/>
  <c r="BM61" i="11"/>
  <c r="BP61" i="11"/>
  <c r="BT61" i="11"/>
  <c r="AV61" i="11"/>
  <c r="AL61" i="11"/>
  <c r="V61" i="11"/>
  <c r="BA61" i="11"/>
  <c r="AC61" i="11"/>
  <c r="H61" i="11"/>
  <c r="BI61" i="11"/>
  <c r="AK61" i="11"/>
  <c r="AJ61" i="11"/>
  <c r="L61" i="11"/>
  <c r="BG61" i="11"/>
  <c r="BL61" i="11"/>
  <c r="W61" i="11"/>
  <c r="Q61" i="11"/>
  <c r="BJ61" i="11"/>
  <c r="Y61" i="11"/>
  <c r="AR61" i="11"/>
  <c r="BS61" i="11"/>
  <c r="AT61" i="11"/>
  <c r="AZ61" i="11"/>
  <c r="Z61" i="11"/>
  <c r="N61" i="11"/>
  <c r="AI61" i="11"/>
  <c r="J61" i="11"/>
  <c r="BF61" i="11"/>
  <c r="P61" i="11"/>
  <c r="AO61" i="11"/>
  <c r="U61" i="11"/>
  <c r="S61" i="11"/>
  <c r="AG61" i="11"/>
  <c r="R61" i="11"/>
  <c r="AE61" i="11"/>
  <c r="AS61" i="11"/>
  <c r="AD61" i="11"/>
  <c r="AQ61" i="11"/>
  <c r="BE61" i="11"/>
  <c r="AP61" i="11"/>
  <c r="BC61" i="11"/>
  <c r="BB61" i="11"/>
  <c r="BO61" i="11"/>
  <c r="O61" i="11"/>
  <c r="BN61" i="11"/>
  <c r="AA61" i="11"/>
  <c r="AM61" i="11"/>
  <c r="BK61" i="11"/>
  <c r="I61" i="11"/>
  <c r="AY61" i="11"/>
  <c r="I54" i="2"/>
  <c r="BC59" i="10"/>
  <c r="BT59" i="10"/>
  <c r="BK59" i="10"/>
  <c r="BH59" i="10"/>
  <c r="BD59" i="10"/>
  <c r="AT59" i="10"/>
  <c r="BM59" i="10"/>
  <c r="BI59" i="10"/>
  <c r="H59" i="10"/>
  <c r="AX59" i="10"/>
  <c r="AR59" i="10"/>
  <c r="AV59" i="10"/>
  <c r="BO59" i="10"/>
  <c r="J59" i="10"/>
  <c r="M59" i="10"/>
  <c r="BS59" i="10"/>
  <c r="BL59" i="10"/>
  <c r="BG59" i="10"/>
  <c r="BA59" i="10"/>
  <c r="AW59" i="10"/>
  <c r="K59" i="10"/>
  <c r="L59" i="10"/>
  <c r="BP59" i="10"/>
  <c r="BJ59" i="10"/>
  <c r="AQ59" i="10"/>
  <c r="AY59" i="10"/>
  <c r="AZ59" i="10"/>
  <c r="AU59" i="10"/>
  <c r="BR59" i="10"/>
  <c r="BF59" i="10"/>
  <c r="BQ59" i="10"/>
  <c r="AP59" i="10"/>
  <c r="I59" i="10"/>
  <c r="BB59" i="10"/>
  <c r="BN59" i="10"/>
  <c r="AS59" i="10"/>
  <c r="BE59" i="10"/>
  <c r="O75" i="10"/>
  <c r="P75" i="10"/>
  <c r="AX75" i="10"/>
  <c r="V75" i="10"/>
  <c r="AH75" i="10"/>
  <c r="AA75" i="10"/>
  <c r="AQ75" i="10"/>
  <c r="AM75" i="10"/>
  <c r="AN75" i="10"/>
  <c r="BL75" i="10"/>
  <c r="S75" i="10"/>
  <c r="BO75" i="10"/>
  <c r="J75" i="10"/>
  <c r="AT75" i="10"/>
  <c r="BF75" i="10"/>
  <c r="Z75" i="10"/>
  <c r="BC75" i="10"/>
  <c r="AY75" i="10"/>
  <c r="BS75" i="10"/>
  <c r="BP75" i="10"/>
  <c r="BA75" i="10"/>
  <c r="AK75" i="10"/>
  <c r="Y75" i="10"/>
  <c r="BG75" i="10"/>
  <c r="BD75" i="10"/>
  <c r="AO75" i="10"/>
  <c r="BI75" i="10"/>
  <c r="AW75" i="10"/>
  <c r="AU75" i="10"/>
  <c r="AR75" i="10"/>
  <c r="AC75" i="10"/>
  <c r="AI75" i="10"/>
  <c r="AF75" i="10"/>
  <c r="Q75" i="10"/>
  <c r="W75" i="10"/>
  <c r="T75" i="10"/>
  <c r="BK75" i="10"/>
  <c r="K75" i="10"/>
  <c r="H75" i="10"/>
  <c r="AB75" i="10"/>
  <c r="BT75" i="10"/>
  <c r="BQ75" i="10"/>
  <c r="BN75" i="10"/>
  <c r="AZ75" i="10"/>
  <c r="BH75" i="10"/>
  <c r="BE75" i="10"/>
  <c r="BB75" i="10"/>
  <c r="AV75" i="10"/>
  <c r="AS75" i="10"/>
  <c r="AP75" i="10"/>
  <c r="N75" i="10"/>
  <c r="AJ75" i="10"/>
  <c r="AG75" i="10"/>
  <c r="AD75" i="10"/>
  <c r="AE75" i="10"/>
  <c r="AL75" i="10"/>
  <c r="X75" i="10"/>
  <c r="U75" i="10"/>
  <c r="R75" i="10"/>
  <c r="BJ75" i="10"/>
  <c r="L75" i="10"/>
  <c r="I75" i="10"/>
  <c r="BM75" i="10"/>
  <c r="M75" i="10"/>
  <c r="I65" i="2"/>
  <c r="U64" i="2"/>
  <c r="D98" i="5"/>
  <c r="AV70" i="10"/>
  <c r="BQ70" i="10"/>
  <c r="BG70" i="10"/>
  <c r="AW70" i="10"/>
  <c r="BT70" i="10"/>
  <c r="AK70" i="10"/>
  <c r="Z70" i="10"/>
  <c r="BD70" i="10"/>
  <c r="AZ70" i="10"/>
  <c r="BF70" i="10"/>
  <c r="BO70" i="10"/>
  <c r="BP70" i="10"/>
  <c r="AU70" i="10"/>
  <c r="BS70" i="10"/>
  <c r="BR70" i="10"/>
  <c r="P70" i="10"/>
  <c r="BE70" i="10"/>
  <c r="AY70" i="10"/>
  <c r="BL70" i="10"/>
  <c r="J70" i="10"/>
  <c r="AX70" i="10"/>
  <c r="L70" i="10"/>
  <c r="BM70" i="10"/>
  <c r="AM70" i="10"/>
  <c r="AJ70" i="10"/>
  <c r="M70" i="10"/>
  <c r="BJ70" i="10"/>
  <c r="I70" i="10"/>
  <c r="BA70" i="10"/>
  <c r="BH70" i="10"/>
  <c r="AT70" i="10"/>
  <c r="H70" i="10"/>
  <c r="K70" i="10"/>
  <c r="BK70" i="10"/>
  <c r="BI70" i="10"/>
  <c r="AD70" i="10"/>
  <c r="AQ70" i="10"/>
  <c r="AP70" i="10"/>
  <c r="BC70" i="10"/>
  <c r="BB70" i="10"/>
  <c r="BN70" i="10"/>
  <c r="BS43" i="5"/>
  <c r="BG43" i="5"/>
  <c r="BQ37" i="5"/>
  <c r="BE37" i="5"/>
  <c r="AS37" i="5"/>
  <c r="AG37" i="5"/>
  <c r="U37" i="5"/>
  <c r="BJ99" i="5"/>
  <c r="AX99" i="5"/>
  <c r="AL99" i="5"/>
  <c r="Z99" i="5"/>
  <c r="BO98" i="5"/>
  <c r="BC98" i="5"/>
  <c r="AQ98" i="5"/>
  <c r="AE98" i="5"/>
  <c r="BT49" i="5"/>
  <c r="BH49" i="5"/>
  <c r="AV49" i="5"/>
  <c r="BM28" i="5"/>
  <c r="BA28" i="5"/>
  <c r="BK70" i="5"/>
  <c r="AY70" i="5"/>
  <c r="BP76" i="5"/>
  <c r="BD76" i="5"/>
  <c r="AR76" i="5"/>
  <c r="AF76" i="5"/>
  <c r="T76" i="5"/>
  <c r="BI97" i="5"/>
  <c r="AW97" i="5"/>
  <c r="AK97" i="5"/>
  <c r="Y97" i="5"/>
  <c r="BN83" i="5"/>
  <c r="BB83" i="5"/>
  <c r="AP83" i="5"/>
  <c r="AD83" i="5"/>
  <c r="BS85" i="5"/>
  <c r="BG85" i="5"/>
  <c r="AU85" i="5"/>
  <c r="AI85" i="5"/>
  <c r="W85" i="5"/>
  <c r="O60" i="2"/>
  <c r="AJ73" i="7"/>
  <c r="BF73" i="7"/>
  <c r="AH74" i="7"/>
  <c r="BB52" i="7"/>
  <c r="AB72" i="7"/>
  <c r="BN72" i="7"/>
  <c r="BQ72" i="7"/>
  <c r="AQ75" i="7"/>
  <c r="H64" i="7"/>
  <c r="T56" i="7"/>
  <c r="BL70" i="7"/>
  <c r="AU68" i="7"/>
  <c r="AC64" i="7"/>
  <c r="W60" i="7"/>
  <c r="V75" i="7"/>
  <c r="AU75" i="7"/>
  <c r="BO72" i="7"/>
  <c r="N73" i="7"/>
  <c r="BI68" i="7"/>
  <c r="AP47" i="7"/>
  <c r="BH71" i="7"/>
  <c r="AV58" i="7"/>
  <c r="R48" i="7"/>
  <c r="BM71" i="7"/>
  <c r="BG68" i="7"/>
  <c r="BT68" i="7"/>
  <c r="BH73" i="7"/>
  <c r="BQ63" i="7"/>
  <c r="BN55" i="7"/>
  <c r="BN44" i="7"/>
  <c r="V34" i="7"/>
  <c r="J65" i="7"/>
  <c r="BT61" i="7"/>
  <c r="BA59" i="7"/>
  <c r="AG59" i="7"/>
  <c r="H59" i="7"/>
  <c r="P68" i="7"/>
  <c r="Y63" i="7"/>
  <c r="AE63" i="7"/>
  <c r="L63" i="7"/>
  <c r="T62" i="7"/>
  <c r="AT57" i="7"/>
  <c r="BQ47" i="7"/>
  <c r="AU57" i="7"/>
  <c r="J55" i="7"/>
  <c r="BQ45" i="7"/>
  <c r="AZ45" i="7"/>
  <c r="Q65" i="7"/>
  <c r="U65" i="7"/>
  <c r="BS65" i="7"/>
  <c r="AJ68" i="7"/>
  <c r="BG54" i="7"/>
  <c r="BO54" i="7"/>
  <c r="BI53" i="7"/>
  <c r="H41" i="7"/>
  <c r="BJ67" i="7"/>
  <c r="AC84" i="5"/>
  <c r="BG84" i="5"/>
  <c r="BA84" i="5"/>
  <c r="AL75" i="5"/>
  <c r="AW75" i="5"/>
  <c r="BH84" i="5"/>
  <c r="R79" i="5"/>
  <c r="AT92" i="5"/>
  <c r="AZ92" i="5"/>
  <c r="AU72" i="5"/>
  <c r="R72" i="5"/>
  <c r="BR72" i="5"/>
  <c r="AK72" i="5"/>
  <c r="AA84" i="5"/>
  <c r="BE84" i="5"/>
  <c r="V84" i="5"/>
  <c r="BI84" i="5"/>
  <c r="BM31" i="5"/>
  <c r="AY101" i="5"/>
  <c r="BP74" i="5"/>
  <c r="L74" i="5"/>
  <c r="BB91" i="5"/>
  <c r="BE101" i="5"/>
  <c r="BD69" i="5"/>
  <c r="BQ69" i="5"/>
  <c r="S69" i="5"/>
  <c r="BO101" i="5"/>
  <c r="BK101" i="5"/>
  <c r="BH101" i="5"/>
  <c r="BP101" i="5"/>
  <c r="BF34" i="5"/>
  <c r="BO34" i="5"/>
  <c r="AZ86" i="5"/>
  <c r="AS88" i="5"/>
  <c r="Z96" i="5"/>
  <c r="AF96" i="5"/>
  <c r="BI73" i="5"/>
  <c r="BM29" i="5"/>
  <c r="M35" i="5"/>
  <c r="AJ35" i="5"/>
  <c r="I94" i="5"/>
  <c r="AL35" i="5"/>
  <c r="AV87" i="5"/>
  <c r="BO95" i="5"/>
  <c r="BF87" i="5"/>
  <c r="J80" i="5"/>
  <c r="M80" i="5"/>
  <c r="BT80" i="5"/>
  <c r="I80" i="5"/>
  <c r="X89" i="5"/>
  <c r="BN53" i="5"/>
  <c r="BH87" i="5"/>
  <c r="BN69" i="5"/>
  <c r="K69" i="5"/>
  <c r="BN73" i="5"/>
  <c r="U100" i="5"/>
  <c r="BT31" i="5"/>
  <c r="AY74" i="5"/>
  <c r="BI74" i="5"/>
  <c r="AT84" i="5"/>
  <c r="AO94" i="5"/>
  <c r="BE21" i="5"/>
  <c r="BP69" i="5"/>
  <c r="R69" i="5"/>
  <c r="H101" i="5"/>
  <c r="BL101" i="5"/>
  <c r="BT34" i="5"/>
  <c r="H34" i="5"/>
  <c r="L86" i="5"/>
  <c r="BJ88" i="5"/>
  <c r="BD34" i="5"/>
  <c r="BH18" i="5"/>
  <c r="BJ100" i="5"/>
  <c r="AM36" i="5"/>
  <c r="BP96" i="5"/>
  <c r="H86" i="5"/>
  <c r="BQ73" i="5"/>
  <c r="P35" i="5"/>
  <c r="BT35" i="5"/>
  <c r="AO90" i="5"/>
  <c r="AT35" i="5"/>
  <c r="BL35" i="5"/>
  <c r="AG35" i="5"/>
  <c r="BP35" i="5"/>
  <c r="BO90" i="5"/>
  <c r="AA87" i="5"/>
  <c r="M90" i="5"/>
  <c r="K35" i="5"/>
  <c r="S90" i="5"/>
  <c r="AM87" i="5"/>
  <c r="BO50" i="5"/>
  <c r="AX87" i="5"/>
  <c r="AF80" i="5"/>
  <c r="BP20" i="5"/>
  <c r="AZ20" i="5"/>
  <c r="S80" i="5"/>
  <c r="T80" i="5"/>
  <c r="H20" i="5"/>
  <c r="Q80" i="5"/>
  <c r="Y80" i="5"/>
  <c r="BK27" i="5"/>
  <c r="J27" i="5"/>
  <c r="BI27" i="5"/>
  <c r="BK69" i="5"/>
  <c r="BM69" i="5"/>
  <c r="BE93" i="5"/>
  <c r="BE88" i="5"/>
  <c r="BD88" i="5"/>
  <c r="BA79" i="5"/>
  <c r="M101" i="5"/>
  <c r="BE73" i="5"/>
  <c r="AA79" i="5"/>
  <c r="BO31" i="5"/>
  <c r="BO74" i="5"/>
  <c r="AX74" i="5"/>
  <c r="BR25" i="5"/>
  <c r="BQ101" i="5"/>
  <c r="I69" i="5"/>
  <c r="AA101" i="5"/>
  <c r="M79" i="5"/>
  <c r="BH34" i="5"/>
  <c r="BB88" i="5"/>
  <c r="BT81" i="5"/>
  <c r="K81" i="5"/>
  <c r="S94" i="5"/>
  <c r="W96" i="5"/>
  <c r="K93" i="5"/>
  <c r="AA35" i="5"/>
  <c r="T35" i="5"/>
  <c r="AI35" i="5"/>
  <c r="X35" i="5"/>
  <c r="AD35" i="5"/>
  <c r="AN87" i="5"/>
  <c r="L87" i="5"/>
  <c r="X87" i="5"/>
  <c r="N80" i="5"/>
  <c r="BC20" i="5"/>
  <c r="AW20" i="5"/>
  <c r="BG80" i="5"/>
  <c r="BB20" i="5"/>
  <c r="O27" i="5"/>
  <c r="BJ27" i="5"/>
  <c r="BS27" i="5"/>
  <c r="H69" i="5"/>
  <c r="BS69" i="5"/>
  <c r="U69" i="5"/>
  <c r="K101" i="5"/>
  <c r="BN96" i="5"/>
  <c r="N73" i="5"/>
  <c r="R35" i="5"/>
  <c r="H35" i="5"/>
  <c r="Z87" i="5"/>
  <c r="BH80" i="5"/>
  <c r="Z80" i="5"/>
  <c r="BB81" i="5"/>
  <c r="Z73" i="5"/>
  <c r="O69" i="5"/>
  <c r="M69" i="5"/>
  <c r="AY73" i="5"/>
  <c r="U79" i="5"/>
  <c r="BD74" i="5"/>
  <c r="BK74" i="5"/>
  <c r="BS17" i="5"/>
  <c r="AO68" i="5"/>
  <c r="U53" i="5"/>
  <c r="P69" i="5"/>
  <c r="BM101" i="5"/>
  <c r="BI81" i="5"/>
  <c r="AU81" i="5"/>
  <c r="AV81" i="5"/>
  <c r="AJ73" i="5"/>
  <c r="AI90" i="5"/>
  <c r="BR87" i="5"/>
  <c r="AU90" i="5"/>
  <c r="BP90" i="5"/>
  <c r="AH35" i="5"/>
  <c r="BG95" i="5"/>
  <c r="BQ35" i="5"/>
  <c r="S35" i="5"/>
  <c r="BI50" i="5"/>
  <c r="BD35" i="5"/>
  <c r="BL80" i="5"/>
  <c r="BF20" i="5"/>
  <c r="R80" i="5"/>
  <c r="BA20" i="5"/>
  <c r="AE80" i="5"/>
  <c r="Q90" i="5"/>
  <c r="AY27" i="5"/>
  <c r="BQ27" i="5"/>
  <c r="T27" i="5"/>
  <c r="BL27" i="5"/>
  <c r="S95" i="5"/>
  <c r="U95" i="5"/>
  <c r="AF95" i="5"/>
  <c r="AR95" i="5"/>
  <c r="Y95" i="5"/>
  <c r="AU95" i="5"/>
  <c r="Z95" i="5"/>
  <c r="AL95" i="5"/>
  <c r="AA95" i="5"/>
  <c r="K25" i="5"/>
  <c r="BC100" i="5"/>
  <c r="BS30" i="5"/>
  <c r="BF53" i="5"/>
  <c r="AV21" i="5"/>
  <c r="BD93" i="5"/>
  <c r="BN29" i="5"/>
  <c r="BH93" i="5"/>
  <c r="I88" i="5"/>
  <c r="AY88" i="5"/>
  <c r="J88" i="5"/>
  <c r="V88" i="5"/>
  <c r="N88" i="5"/>
  <c r="AC73" i="5"/>
  <c r="AX73" i="5"/>
  <c r="AI73" i="5"/>
  <c r="AE73" i="5"/>
  <c r="AZ73" i="5"/>
  <c r="AS73" i="5"/>
  <c r="BG24" i="5"/>
  <c r="BT24" i="5"/>
  <c r="BP24" i="5"/>
  <c r="AZ68" i="5"/>
  <c r="AI36" i="5"/>
  <c r="Y31" i="5"/>
  <c r="AB68" i="5"/>
  <c r="AY84" i="5"/>
  <c r="BF84" i="5"/>
  <c r="K84" i="5"/>
  <c r="BM30" i="5"/>
  <c r="BH25" i="5"/>
  <c r="BL25" i="5"/>
  <c r="BI21" i="5"/>
  <c r="BP79" i="5"/>
  <c r="BF100" i="5"/>
  <c r="S36" i="5"/>
  <c r="BF21" i="5"/>
  <c r="BK93" i="5"/>
  <c r="J93" i="5"/>
  <c r="BR88" i="5"/>
  <c r="O88" i="5"/>
  <c r="AX93" i="5"/>
  <c r="AZ88" i="5"/>
  <c r="AH88" i="5"/>
  <c r="AO88" i="5"/>
  <c r="AB73" i="5"/>
  <c r="AO73" i="5"/>
  <c r="BB73" i="5"/>
  <c r="Q73" i="5"/>
  <c r="AL73" i="5"/>
  <c r="AG73" i="5"/>
  <c r="H88" i="5"/>
  <c r="O94" i="5"/>
  <c r="BR24" i="5"/>
  <c r="BC94" i="5"/>
  <c r="BJ24" i="5"/>
  <c r="AW94" i="5"/>
  <c r="BO94" i="5"/>
  <c r="M25" i="5"/>
  <c r="AY17" i="5"/>
  <c r="P25" i="5"/>
  <c r="N68" i="5"/>
  <c r="P68" i="5"/>
  <c r="I17" i="5"/>
  <c r="AD84" i="5"/>
  <c r="BS84" i="5"/>
  <c r="BJ84" i="5"/>
  <c r="BP25" i="5"/>
  <c r="BT25" i="5"/>
  <c r="BR21" i="5"/>
  <c r="BM79" i="5"/>
  <c r="BP100" i="5"/>
  <c r="BJ53" i="5"/>
  <c r="BD36" i="5"/>
  <c r="P29" i="5"/>
  <c r="L93" i="5"/>
  <c r="BA88" i="5"/>
  <c r="BP88" i="5"/>
  <c r="AD88" i="5"/>
  <c r="AC88" i="5"/>
  <c r="AR88" i="5"/>
  <c r="BO88" i="5"/>
  <c r="M88" i="5"/>
  <c r="O73" i="5"/>
  <c r="AN73" i="5"/>
  <c r="AF73" i="5"/>
  <c r="BH73" i="5"/>
  <c r="X73" i="5"/>
  <c r="U73" i="5"/>
  <c r="BK24" i="5"/>
  <c r="S24" i="5"/>
  <c r="BF94" i="5"/>
  <c r="BH94" i="5"/>
  <c r="AX94" i="5"/>
  <c r="BF17" i="5"/>
  <c r="AQ17" i="5"/>
  <c r="BL30" i="5"/>
  <c r="BO24" i="5"/>
  <c r="L103" i="5"/>
  <c r="AH68" i="5"/>
  <c r="AB81" i="5"/>
  <c r="BS68" i="5"/>
  <c r="BJ17" i="5"/>
  <c r="AZ84" i="5"/>
  <c r="AO84" i="5"/>
  <c r="R84" i="5"/>
  <c r="AL94" i="5"/>
  <c r="BG25" i="5"/>
  <c r="AY79" i="5"/>
  <c r="BO100" i="5"/>
  <c r="BR53" i="5"/>
  <c r="BF93" i="5"/>
  <c r="BM93" i="5"/>
  <c r="I93" i="5"/>
  <c r="BM88" i="5"/>
  <c r="R88" i="5"/>
  <c r="Y88" i="5"/>
  <c r="AV88" i="5"/>
  <c r="BI88" i="5"/>
  <c r="AK88" i="5"/>
  <c r="M73" i="5"/>
  <c r="BD73" i="5"/>
  <c r="L73" i="5"/>
  <c r="AR73" i="5"/>
  <c r="H73" i="5"/>
  <c r="I73" i="5"/>
  <c r="N86" i="5"/>
  <c r="BF71" i="5"/>
  <c r="N24" i="5"/>
  <c r="BA94" i="5"/>
  <c r="I24" i="5"/>
  <c r="N94" i="5"/>
  <c r="BE94" i="5"/>
  <c r="M94" i="5"/>
  <c r="K26" i="5"/>
  <c r="AM100" i="5"/>
  <c r="O36" i="5"/>
  <c r="AY93" i="5"/>
  <c r="AL88" i="5"/>
  <c r="AN88" i="5"/>
  <c r="U88" i="5"/>
  <c r="BK88" i="5"/>
  <c r="BG88" i="5"/>
  <c r="AI88" i="5"/>
  <c r="BS88" i="5"/>
  <c r="AW88" i="5"/>
  <c r="O79" i="5"/>
  <c r="BS73" i="5"/>
  <c r="S73" i="5"/>
  <c r="BM73" i="5"/>
  <c r="AD73" i="5"/>
  <c r="BR73" i="5"/>
  <c r="O24" i="5"/>
  <c r="L94" i="5"/>
  <c r="BP94" i="5"/>
  <c r="BD24" i="5"/>
  <c r="BF68" i="5"/>
  <c r="J30" i="5"/>
  <c r="Z100" i="5"/>
  <c r="AC81" i="5"/>
  <c r="BO68" i="5"/>
  <c r="AF68" i="5"/>
  <c r="BR84" i="5"/>
  <c r="P84" i="5"/>
  <c r="AU84" i="5"/>
  <c r="BT74" i="5"/>
  <c r="AI94" i="5"/>
  <c r="K53" i="5"/>
  <c r="BO25" i="5"/>
  <c r="J25" i="5"/>
  <c r="BO30" i="5"/>
  <c r="BE79" i="5"/>
  <c r="AO100" i="5"/>
  <c r="BB93" i="5"/>
  <c r="BC93" i="5"/>
  <c r="AU88" i="5"/>
  <c r="BC88" i="5"/>
  <c r="AA88" i="5"/>
  <c r="BL88" i="5"/>
  <c r="BT88" i="5"/>
  <c r="BF88" i="5"/>
  <c r="BG73" i="5"/>
  <c r="BC73" i="5"/>
  <c r="AQ73" i="5"/>
  <c r="P73" i="5"/>
  <c r="BF73" i="5"/>
  <c r="AR78" i="5"/>
  <c r="AE89" i="5"/>
  <c r="AY94" i="5"/>
  <c r="BN94" i="5"/>
  <c r="BI24" i="5"/>
  <c r="BG94" i="5"/>
  <c r="BT94" i="5"/>
  <c r="H94" i="5"/>
  <c r="BL17" i="5"/>
  <c r="BI17" i="5"/>
  <c r="BF25" i="5"/>
  <c r="AJ68" i="5"/>
  <c r="R68" i="5"/>
  <c r="BP17" i="5"/>
  <c r="L84" i="5"/>
  <c r="BB84" i="5"/>
  <c r="BD84" i="5"/>
  <c r="AT94" i="5"/>
  <c r="I25" i="5"/>
  <c r="BK30" i="5"/>
  <c r="BR79" i="5"/>
  <c r="AV100" i="5"/>
  <c r="BN93" i="5"/>
  <c r="M93" i="5"/>
  <c r="BT93" i="5"/>
  <c r="O93" i="5"/>
  <c r="L88" i="5"/>
  <c r="AG88" i="5"/>
  <c r="BA93" i="5"/>
  <c r="BO93" i="5"/>
  <c r="BQ88" i="5"/>
  <c r="AW73" i="5"/>
  <c r="R73" i="5"/>
  <c r="W73" i="5"/>
  <c r="BO73" i="5"/>
  <c r="AT73" i="5"/>
  <c r="AV94" i="5"/>
  <c r="BR94" i="5"/>
  <c r="BJ94" i="5"/>
  <c r="BM24" i="5"/>
  <c r="BS24" i="5"/>
  <c r="BQ17" i="5"/>
  <c r="AO91" i="5"/>
  <c r="AU68" i="5"/>
  <c r="BC68" i="5"/>
  <c r="BB17" i="5"/>
  <c r="BN84" i="5"/>
  <c r="AJ84" i="5"/>
  <c r="AR84" i="5"/>
  <c r="AG94" i="5"/>
  <c r="BN25" i="5"/>
  <c r="BS25" i="5"/>
  <c r="BJ25" i="5"/>
  <c r="BJ30" i="5"/>
  <c r="BQ79" i="5"/>
  <c r="AT79" i="5"/>
  <c r="BE100" i="5"/>
  <c r="N29" i="5"/>
  <c r="H93" i="5"/>
  <c r="BH88" i="5"/>
  <c r="AM88" i="5"/>
  <c r="BJ93" i="5"/>
  <c r="BP93" i="5"/>
  <c r="BT73" i="5"/>
  <c r="BP73" i="5"/>
  <c r="BL73" i="5"/>
  <c r="BA73" i="5"/>
  <c r="AH73" i="5"/>
  <c r="H24" i="5"/>
  <c r="K24" i="5"/>
  <c r="BI94" i="5"/>
  <c r="AZ94" i="5"/>
  <c r="AY68" i="5"/>
  <c r="BN30" i="5"/>
  <c r="R100" i="5"/>
  <c r="BK25" i="5"/>
  <c r="AA68" i="5"/>
  <c r="AM68" i="5"/>
  <c r="BT17" i="5"/>
  <c r="J84" i="5"/>
  <c r="O84" i="5"/>
  <c r="BK103" i="5"/>
  <c r="AE94" i="5"/>
  <c r="BM25" i="5"/>
  <c r="BT36" i="5"/>
  <c r="AZ79" i="5"/>
  <c r="H100" i="5"/>
  <c r="L53" i="5"/>
  <c r="BL93" i="5"/>
  <c r="AN93" i="5"/>
  <c r="BR93" i="5"/>
  <c r="AZ93" i="5"/>
  <c r="X88" i="5"/>
  <c r="Q88" i="5"/>
  <c r="T88" i="5"/>
  <c r="AT88" i="5"/>
  <c r="AV73" i="5"/>
  <c r="AK73" i="5"/>
  <c r="AP73" i="5"/>
  <c r="AM73" i="5"/>
  <c r="V73" i="5"/>
  <c r="BL24" i="5"/>
  <c r="BE24" i="5"/>
  <c r="BF24" i="5"/>
  <c r="BD94" i="5"/>
  <c r="BN24" i="5"/>
  <c r="L24" i="5"/>
  <c r="P24" i="5"/>
  <c r="AN68" i="5"/>
  <c r="AG68" i="5"/>
  <c r="AG100" i="5"/>
  <c r="BG68" i="5"/>
  <c r="K68" i="5"/>
  <c r="H17" i="5"/>
  <c r="BR17" i="5"/>
  <c r="X84" i="5"/>
  <c r="BS103" i="5"/>
  <c r="AL68" i="5"/>
  <c r="BD25" i="5"/>
  <c r="L25" i="5"/>
  <c r="N25" i="5"/>
  <c r="BK36" i="5"/>
  <c r="BM100" i="5"/>
  <c r="BL36" i="5"/>
  <c r="BQ93" i="5"/>
  <c r="BI93" i="5"/>
  <c r="AE88" i="5"/>
  <c r="BN88" i="5"/>
  <c r="K88" i="5"/>
  <c r="W88" i="5"/>
  <c r="AA73" i="5"/>
  <c r="BK73" i="5"/>
  <c r="T73" i="5"/>
  <c r="Y73" i="5"/>
  <c r="M24" i="5"/>
  <c r="BH24" i="5"/>
  <c r="BK94" i="5"/>
  <c r="J94" i="5"/>
  <c r="BI89" i="5"/>
  <c r="AB89" i="5"/>
  <c r="W89" i="5"/>
  <c r="AG89" i="5"/>
  <c r="AU89" i="5"/>
  <c r="BQ89" i="5"/>
  <c r="BC89" i="5"/>
  <c r="BG89" i="5"/>
  <c r="BM89" i="5"/>
  <c r="H89" i="5"/>
  <c r="BK89" i="5"/>
  <c r="AW89" i="5"/>
  <c r="AI89" i="5"/>
  <c r="AA89" i="5"/>
  <c r="V89" i="5"/>
  <c r="AV89" i="5"/>
  <c r="R89" i="5"/>
  <c r="AF89" i="5"/>
  <c r="AZ89" i="5"/>
  <c r="AY89" i="5"/>
  <c r="M89" i="5"/>
  <c r="BS89" i="5"/>
  <c r="AJ89" i="5"/>
  <c r="N89" i="5"/>
  <c r="BH89" i="5"/>
  <c r="AO89" i="5"/>
  <c r="BJ89" i="5"/>
  <c r="K89" i="5"/>
  <c r="J89" i="5"/>
  <c r="AQ89" i="5"/>
  <c r="Q89" i="5"/>
  <c r="AM89" i="5"/>
  <c r="I89" i="5"/>
  <c r="AH89" i="5"/>
  <c r="BN89" i="5"/>
  <c r="BT89" i="5"/>
  <c r="AS89" i="5"/>
  <c r="BR89" i="5"/>
  <c r="AK89" i="5"/>
  <c r="BD89" i="5"/>
  <c r="AP89" i="5"/>
  <c r="S89" i="5"/>
  <c r="BO89" i="5"/>
  <c r="BP89" i="5"/>
  <c r="AR89" i="5"/>
  <c r="P89" i="5"/>
  <c r="AN89" i="5"/>
  <c r="AX89" i="5"/>
  <c r="BA89" i="5"/>
  <c r="Z89" i="5"/>
  <c r="T89" i="5"/>
  <c r="L89" i="5"/>
  <c r="BB24" i="5"/>
  <c r="AV24" i="5"/>
  <c r="AF24" i="5"/>
  <c r="Y24" i="5"/>
  <c r="AK24" i="5"/>
  <c r="AQ24" i="5"/>
  <c r="AC24" i="5"/>
  <c r="AH24" i="5"/>
  <c r="AA24" i="5"/>
  <c r="BA24" i="5"/>
  <c r="AN24" i="5"/>
  <c r="BP103" i="5"/>
  <c r="AY24" i="5"/>
  <c r="J78" i="5"/>
  <c r="Y89" i="5"/>
  <c r="W26" i="5"/>
  <c r="AV91" i="5"/>
  <c r="AR91" i="5"/>
  <c r="AY91" i="5"/>
  <c r="BN68" i="5"/>
  <c r="S68" i="5"/>
  <c r="M68" i="5"/>
  <c r="BP68" i="5"/>
  <c r="BM17" i="5"/>
  <c r="K17" i="5"/>
  <c r="BL103" i="5"/>
  <c r="AQ21" i="5"/>
  <c r="BG71" i="5"/>
  <c r="M31" i="5"/>
  <c r="T86" i="5"/>
  <c r="AV86" i="5"/>
  <c r="Q78" i="5"/>
  <c r="AI78" i="5"/>
  <c r="BO86" i="5"/>
  <c r="AG96" i="5"/>
  <c r="M96" i="5"/>
  <c r="S96" i="5"/>
  <c r="BD96" i="5"/>
  <c r="BM96" i="5"/>
  <c r="AE96" i="5"/>
  <c r="BQ96" i="5"/>
  <c r="BE96" i="5"/>
  <c r="J96" i="5"/>
  <c r="BR96" i="5"/>
  <c r="AI96" i="5"/>
  <c r="BH96" i="5"/>
  <c r="X96" i="5"/>
  <c r="N96" i="5"/>
  <c r="AA96" i="5"/>
  <c r="BF96" i="5"/>
  <c r="AH96" i="5"/>
  <c r="AB96" i="5"/>
  <c r="H96" i="5"/>
  <c r="K96" i="5"/>
  <c r="V96" i="5"/>
  <c r="O96" i="5"/>
  <c r="T96" i="5"/>
  <c r="Y96" i="5"/>
  <c r="BI96" i="5"/>
  <c r="Q96" i="5"/>
  <c r="BL96" i="5"/>
  <c r="P96" i="5"/>
  <c r="BJ96" i="5"/>
  <c r="BO96" i="5"/>
  <c r="AN91" i="5"/>
  <c r="BA91" i="5"/>
  <c r="AS91" i="5"/>
  <c r="AM91" i="5"/>
  <c r="BD68" i="5"/>
  <c r="O68" i="5"/>
  <c r="BJ68" i="5"/>
  <c r="BB68" i="5"/>
  <c r="AG84" i="5"/>
  <c r="S84" i="5"/>
  <c r="AE84" i="5"/>
  <c r="AH84" i="5"/>
  <c r="H84" i="5"/>
  <c r="Y84" i="5"/>
  <c r="AF84" i="5"/>
  <c r="AL24" i="5"/>
  <c r="BI71" i="5"/>
  <c r="AP86" i="5"/>
  <c r="BM53" i="5"/>
  <c r="BP53" i="5"/>
  <c r="M53" i="5"/>
  <c r="BD53" i="5"/>
  <c r="J53" i="5"/>
  <c r="S53" i="5"/>
  <c r="T53" i="5"/>
  <c r="O53" i="5"/>
  <c r="BK53" i="5"/>
  <c r="P53" i="5"/>
  <c r="BS53" i="5"/>
  <c r="BL53" i="5"/>
  <c r="I53" i="5"/>
  <c r="Q53" i="5"/>
  <c r="BO53" i="5"/>
  <c r="R53" i="5"/>
  <c r="BT53" i="5"/>
  <c r="BQ53" i="5"/>
  <c r="N53" i="5"/>
  <c r="BH53" i="5"/>
  <c r="H53" i="5"/>
  <c r="BI53" i="5"/>
  <c r="AS78" i="5"/>
  <c r="BS78" i="5"/>
  <c r="BC81" i="5"/>
  <c r="AQ81" i="5"/>
  <c r="AW81" i="5"/>
  <c r="I81" i="5"/>
  <c r="AY81" i="5"/>
  <c r="AO81" i="5"/>
  <c r="BQ81" i="5"/>
  <c r="AX81" i="5"/>
  <c r="BH81" i="5"/>
  <c r="BA81" i="5"/>
  <c r="AR81" i="5"/>
  <c r="BN81" i="5"/>
  <c r="AP81" i="5"/>
  <c r="AS81" i="5"/>
  <c r="BL81" i="5"/>
  <c r="BJ81" i="5"/>
  <c r="BM81" i="5"/>
  <c r="BK81" i="5"/>
  <c r="M81" i="5"/>
  <c r="H81" i="5"/>
  <c r="BO81" i="5"/>
  <c r="BD81" i="5"/>
  <c r="L81" i="5"/>
  <c r="BG81" i="5"/>
  <c r="O89" i="5"/>
  <c r="I103" i="5"/>
  <c r="AV103" i="5"/>
  <c r="BE103" i="5"/>
  <c r="BJ103" i="5"/>
  <c r="BG103" i="5"/>
  <c r="J103" i="5"/>
  <c r="V103" i="5"/>
  <c r="BO103" i="5"/>
  <c r="BR103" i="5"/>
  <c r="BN103" i="5"/>
  <c r="L68" i="5"/>
  <c r="BK68" i="5"/>
  <c r="W68" i="5"/>
  <c r="X68" i="5"/>
  <c r="H103" i="5"/>
  <c r="K103" i="5"/>
  <c r="BE71" i="5"/>
  <c r="L30" i="5"/>
  <c r="H30" i="5"/>
  <c r="BI30" i="5"/>
  <c r="BP30" i="5"/>
  <c r="BR30" i="5"/>
  <c r="BT30" i="5"/>
  <c r="BQ30" i="5"/>
  <c r="BH30" i="5"/>
  <c r="AM78" i="5"/>
  <c r="BE78" i="5"/>
  <c r="BE89" i="5"/>
  <c r="AD89" i="5"/>
  <c r="AY103" i="5"/>
  <c r="AK91" i="5"/>
  <c r="AX91" i="5"/>
  <c r="I68" i="5"/>
  <c r="AI68" i="5"/>
  <c r="BI68" i="5"/>
  <c r="J68" i="5"/>
  <c r="BH17" i="5"/>
  <c r="BO17" i="5"/>
  <c r="BI103" i="5"/>
  <c r="BD86" i="5"/>
  <c r="K86" i="5"/>
  <c r="AK86" i="5"/>
  <c r="AP100" i="5"/>
  <c r="AR100" i="5"/>
  <c r="J100" i="5"/>
  <c r="BT100" i="5"/>
  <c r="BD100" i="5"/>
  <c r="BK100" i="5"/>
  <c r="BG100" i="5"/>
  <c r="BA100" i="5"/>
  <c r="BR100" i="5"/>
  <c r="L100" i="5"/>
  <c r="AT100" i="5"/>
  <c r="I100" i="5"/>
  <c r="AZ100" i="5"/>
  <c r="AU100" i="5"/>
  <c r="AQ100" i="5"/>
  <c r="BQ100" i="5"/>
  <c r="BB100" i="5"/>
  <c r="AW100" i="5"/>
  <c r="BS100" i="5"/>
  <c r="BN100" i="5"/>
  <c r="K100" i="5"/>
  <c r="BI100" i="5"/>
  <c r="N100" i="5"/>
  <c r="AN100" i="5"/>
  <c r="M100" i="5"/>
  <c r="AX100" i="5"/>
  <c r="BL100" i="5"/>
  <c r="AS100" i="5"/>
  <c r="AY100" i="5"/>
  <c r="N78" i="5"/>
  <c r="AA78" i="5"/>
  <c r="U89" i="5"/>
  <c r="S26" i="5"/>
  <c r="BS26" i="5"/>
  <c r="BO26" i="5"/>
  <c r="I26" i="5"/>
  <c r="Q26" i="5"/>
  <c r="BR26" i="5"/>
  <c r="BQ26" i="5"/>
  <c r="BK26" i="5"/>
  <c r="M26" i="5"/>
  <c r="R26" i="5"/>
  <c r="O26" i="5"/>
  <c r="BJ26" i="5"/>
  <c r="N26" i="5"/>
  <c r="BP26" i="5"/>
  <c r="T26" i="5"/>
  <c r="BM26" i="5"/>
  <c r="V26" i="5"/>
  <c r="L26" i="5"/>
  <c r="BN26" i="5"/>
  <c r="BI26" i="5"/>
  <c r="BH26" i="5"/>
  <c r="BL26" i="5"/>
  <c r="BT26" i="5"/>
  <c r="P26" i="5"/>
  <c r="BF26" i="5"/>
  <c r="J26" i="5"/>
  <c r="AQ91" i="5"/>
  <c r="AL91" i="5"/>
  <c r="H68" i="5"/>
  <c r="AW68" i="5"/>
  <c r="V68" i="5"/>
  <c r="BM68" i="5"/>
  <c r="BK17" i="5"/>
  <c r="BA17" i="5"/>
  <c r="AX84" i="5"/>
  <c r="BT84" i="5"/>
  <c r="I84" i="5"/>
  <c r="T84" i="5"/>
  <c r="AT24" i="5"/>
  <c r="I30" i="5"/>
  <c r="J86" i="5"/>
  <c r="AL86" i="5"/>
  <c r="AC94" i="5"/>
  <c r="AA94" i="5"/>
  <c r="AQ94" i="5"/>
  <c r="X94" i="5"/>
  <c r="AM94" i="5"/>
  <c r="T94" i="5"/>
  <c r="AJ94" i="5"/>
  <c r="AD94" i="5"/>
  <c r="AF94" i="5"/>
  <c r="Y94" i="5"/>
  <c r="P94" i="5"/>
  <c r="AR94" i="5"/>
  <c r="Z94" i="5"/>
  <c r="AB94" i="5"/>
  <c r="U94" i="5"/>
  <c r="AK94" i="5"/>
  <c r="AP94" i="5"/>
  <c r="AS94" i="5"/>
  <c r="Q94" i="5"/>
  <c r="AH94" i="5"/>
  <c r="R94" i="5"/>
  <c r="W94" i="5"/>
  <c r="J31" i="5"/>
  <c r="BH78" i="5"/>
  <c r="BB78" i="5"/>
  <c r="BS96" i="5"/>
  <c r="AC89" i="5"/>
  <c r="BE26" i="5"/>
  <c r="BF50" i="5"/>
  <c r="J50" i="5"/>
  <c r="BM50" i="5"/>
  <c r="BP50" i="5"/>
  <c r="BJ50" i="5"/>
  <c r="BG50" i="5"/>
  <c r="L50" i="5"/>
  <c r="BK50" i="5"/>
  <c r="O50" i="5"/>
  <c r="K50" i="5"/>
  <c r="BE50" i="5"/>
  <c r="I50" i="5"/>
  <c r="BT50" i="5"/>
  <c r="BD50" i="5"/>
  <c r="H50" i="5"/>
  <c r="BR50" i="5"/>
  <c r="P50" i="5"/>
  <c r="BL50" i="5"/>
  <c r="BN50" i="5"/>
  <c r="M50" i="5"/>
  <c r="AZ78" i="5"/>
  <c r="AU91" i="5"/>
  <c r="BC91" i="5"/>
  <c r="AP68" i="5"/>
  <c r="AV68" i="5"/>
  <c r="BH68" i="5"/>
  <c r="BA68" i="5"/>
  <c r="AZ17" i="5"/>
  <c r="AW84" i="5"/>
  <c r="AP84" i="5"/>
  <c r="BL84" i="5"/>
  <c r="BC84" i="5"/>
  <c r="AZ21" i="5"/>
  <c r="BB21" i="5"/>
  <c r="BJ21" i="5"/>
  <c r="AN86" i="5"/>
  <c r="AI86" i="5"/>
  <c r="R95" i="5"/>
  <c r="AS95" i="5"/>
  <c r="P95" i="5"/>
  <c r="AH95" i="5"/>
  <c r="Q95" i="5"/>
  <c r="AD95" i="5"/>
  <c r="AT95" i="5"/>
  <c r="AB95" i="5"/>
  <c r="AP95" i="5"/>
  <c r="W95" i="5"/>
  <c r="AC95" i="5"/>
  <c r="AG95" i="5"/>
  <c r="AI95" i="5"/>
  <c r="AN95" i="5"/>
  <c r="AE95" i="5"/>
  <c r="X95" i="5"/>
  <c r="AM95" i="5"/>
  <c r="AQ95" i="5"/>
  <c r="AJ95" i="5"/>
  <c r="T95" i="5"/>
  <c r="AK95" i="5"/>
  <c r="BG18" i="5"/>
  <c r="AK78" i="5"/>
  <c r="BL89" i="5"/>
  <c r="BC102" i="5"/>
  <c r="I102" i="5"/>
  <c r="AE102" i="5"/>
  <c r="AU102" i="5"/>
  <c r="BF102" i="5"/>
  <c r="BK102" i="5"/>
  <c r="BS102" i="5"/>
  <c r="BD78" i="5"/>
  <c r="R78" i="5"/>
  <c r="AG78" i="5"/>
  <c r="BT78" i="5"/>
  <c r="AC78" i="5"/>
  <c r="BP78" i="5"/>
  <c r="AH78" i="5"/>
  <c r="BA78" i="5"/>
  <c r="AL78" i="5"/>
  <c r="AT78" i="5"/>
  <c r="L78" i="5"/>
  <c r="AV78" i="5"/>
  <c r="V78" i="5"/>
  <c r="O78" i="5"/>
  <c r="AU78" i="5"/>
  <c r="S78" i="5"/>
  <c r="Z78" i="5"/>
  <c r="BJ78" i="5"/>
  <c r="AP78" i="5"/>
  <c r="BG78" i="5"/>
  <c r="BI78" i="5"/>
  <c r="AE78" i="5"/>
  <c r="AN78" i="5"/>
  <c r="U78" i="5"/>
  <c r="BL78" i="5"/>
  <c r="P78" i="5"/>
  <c r="AJ78" i="5"/>
  <c r="BC78" i="5"/>
  <c r="BR78" i="5"/>
  <c r="AW78" i="5"/>
  <c r="AX78" i="5"/>
  <c r="I78" i="5"/>
  <c r="BM78" i="5"/>
  <c r="BO78" i="5"/>
  <c r="M78" i="5"/>
  <c r="BK78" i="5"/>
  <c r="X78" i="5"/>
  <c r="BN78" i="5"/>
  <c r="AB78" i="5"/>
  <c r="T78" i="5"/>
  <c r="AO78" i="5"/>
  <c r="AD78" i="5"/>
  <c r="Y78" i="5"/>
  <c r="BQ78" i="5"/>
  <c r="AZ91" i="5"/>
  <c r="AJ91" i="5"/>
  <c r="AP91" i="5"/>
  <c r="AK68" i="5"/>
  <c r="BT68" i="5"/>
  <c r="AT68" i="5"/>
  <c r="BD17" i="5"/>
  <c r="J17" i="5"/>
  <c r="AL84" i="5"/>
  <c r="N84" i="5"/>
  <c r="AS84" i="5"/>
  <c r="AQ84" i="5"/>
  <c r="AH103" i="5"/>
  <c r="AP24" i="5"/>
  <c r="L79" i="5"/>
  <c r="BH100" i="5"/>
  <c r="BF78" i="5"/>
  <c r="AF78" i="5"/>
  <c r="AD96" i="5"/>
  <c r="J91" i="5"/>
  <c r="AE91" i="5"/>
  <c r="BF91" i="5"/>
  <c r="BE91" i="5"/>
  <c r="BK91" i="5"/>
  <c r="AH91" i="5"/>
  <c r="Z91" i="5"/>
  <c r="O91" i="5"/>
  <c r="AL89" i="5"/>
  <c r="BF89" i="5"/>
  <c r="BH103" i="5"/>
  <c r="BQ103" i="5"/>
  <c r="I21" i="5"/>
  <c r="AW21" i="5"/>
  <c r="AX21" i="5"/>
  <c r="BG21" i="5"/>
  <c r="Y21" i="5"/>
  <c r="K21" i="5"/>
  <c r="AT21" i="5"/>
  <c r="M21" i="5"/>
  <c r="BM21" i="5"/>
  <c r="BL21" i="5"/>
  <c r="BD21" i="5"/>
  <c r="BS21" i="5"/>
  <c r="BA21" i="5"/>
  <c r="BP21" i="5"/>
  <c r="BQ21" i="5"/>
  <c r="BN21" i="5"/>
  <c r="BC21" i="5"/>
  <c r="H21" i="5"/>
  <c r="AY21" i="5"/>
  <c r="BK21" i="5"/>
  <c r="J21" i="5"/>
  <c r="L21" i="5"/>
  <c r="AH21" i="5"/>
  <c r="BO21" i="5"/>
  <c r="AY78" i="5"/>
  <c r="H78" i="5"/>
  <c r="BI86" i="5"/>
  <c r="BH86" i="5"/>
  <c r="U86" i="5"/>
  <c r="AX86" i="5"/>
  <c r="O86" i="5"/>
  <c r="BK86" i="5"/>
  <c r="AM86" i="5"/>
  <c r="AQ86" i="5"/>
  <c r="AC86" i="5"/>
  <c r="BM86" i="5"/>
  <c r="Z86" i="5"/>
  <c r="BE86" i="5"/>
  <c r="R86" i="5"/>
  <c r="AW86" i="5"/>
  <c r="AJ86" i="5"/>
  <c r="BT86" i="5"/>
  <c r="BL86" i="5"/>
  <c r="BA86" i="5"/>
  <c r="BC86" i="5"/>
  <c r="AG86" i="5"/>
  <c r="AT86" i="5"/>
  <c r="BQ86" i="5"/>
  <c r="X86" i="5"/>
  <c r="V86" i="5"/>
  <c r="AE86" i="5"/>
  <c r="AY86" i="5"/>
  <c r="AR86" i="5"/>
  <c r="W86" i="5"/>
  <c r="AU86" i="5"/>
  <c r="AD86" i="5"/>
  <c r="AO86" i="5"/>
  <c r="BP86" i="5"/>
  <c r="AH86" i="5"/>
  <c r="Y86" i="5"/>
  <c r="BJ86" i="5"/>
  <c r="AB86" i="5"/>
  <c r="BG86" i="5"/>
  <c r="AS86" i="5"/>
  <c r="S86" i="5"/>
  <c r="Q86" i="5"/>
  <c r="M86" i="5"/>
  <c r="BR86" i="5"/>
  <c r="P86" i="5"/>
  <c r="AA86" i="5"/>
  <c r="I71" i="5"/>
  <c r="BR71" i="5"/>
  <c r="BC71" i="5"/>
  <c r="AZ71" i="5"/>
  <c r="H71" i="5"/>
  <c r="AW71" i="5"/>
  <c r="BT71" i="5"/>
  <c r="BQ71" i="5"/>
  <c r="AV71" i="5"/>
  <c r="K71" i="5"/>
  <c r="BL71" i="5"/>
  <c r="BA71" i="5"/>
  <c r="BO71" i="5"/>
  <c r="BN71" i="5"/>
  <c r="BB71" i="5"/>
  <c r="BS71" i="5"/>
  <c r="J71" i="5"/>
  <c r="BK71" i="5"/>
  <c r="AX71" i="5"/>
  <c r="AX31" i="5"/>
  <c r="BG31" i="5"/>
  <c r="I31" i="5"/>
  <c r="K31" i="5"/>
  <c r="L31" i="5"/>
  <c r="AT89" i="5"/>
  <c r="BB89" i="5"/>
  <c r="AW91" i="5"/>
  <c r="AY71" i="5"/>
  <c r="BB86" i="5"/>
  <c r="AU79" i="5"/>
  <c r="H79" i="5"/>
  <c r="AL79" i="5"/>
  <c r="AP79" i="5"/>
  <c r="BG79" i="5"/>
  <c r="AW79" i="5"/>
  <c r="BK79" i="5"/>
  <c r="AS79" i="5"/>
  <c r="BS79" i="5"/>
  <c r="BO79" i="5"/>
  <c r="AN79" i="5"/>
  <c r="BC79" i="5"/>
  <c r="I79" i="5"/>
  <c r="K79" i="5"/>
  <c r="BT79" i="5"/>
  <c r="BL79" i="5"/>
  <c r="AQ79" i="5"/>
  <c r="AX79" i="5"/>
  <c r="AO79" i="5"/>
  <c r="J79" i="5"/>
  <c r="AM79" i="5"/>
  <c r="BB79" i="5"/>
  <c r="N79" i="5"/>
  <c r="AR79" i="5"/>
  <c r="BD79" i="5"/>
  <c r="AV79" i="5"/>
  <c r="BF79" i="5"/>
  <c r="AK79" i="5"/>
  <c r="BI79" i="5"/>
  <c r="BN79" i="5"/>
  <c r="W78" i="5"/>
  <c r="AQ78" i="5"/>
  <c r="U26" i="5"/>
  <c r="AT91" i="5"/>
  <c r="BF103" i="5"/>
  <c r="BT95" i="5"/>
  <c r="AI87" i="5"/>
  <c r="BB87" i="5"/>
  <c r="AY95" i="5"/>
  <c r="N87" i="5"/>
  <c r="P87" i="5"/>
  <c r="BQ87" i="5"/>
  <c r="AH87" i="5"/>
  <c r="AZ95" i="5"/>
  <c r="AF81" i="5"/>
  <c r="BJ87" i="5"/>
  <c r="BP87" i="5"/>
  <c r="AF87" i="5"/>
  <c r="BK95" i="5"/>
  <c r="W87" i="5"/>
  <c r="AU87" i="5"/>
  <c r="AJ87" i="5"/>
  <c r="AO87" i="5"/>
  <c r="Y87" i="5"/>
  <c r="BF80" i="5"/>
  <c r="AF86" i="5"/>
  <c r="AT87" i="5"/>
  <c r="BD87" i="5"/>
  <c r="BI87" i="5"/>
  <c r="BN95" i="5"/>
  <c r="BE87" i="5"/>
  <c r="U87" i="5"/>
  <c r="BT87" i="5"/>
  <c r="AG87" i="5"/>
  <c r="BA87" i="5"/>
  <c r="T87" i="5"/>
  <c r="AD87" i="5"/>
  <c r="AG36" i="5"/>
  <c r="BL95" i="5"/>
  <c r="BR95" i="5"/>
  <c r="BQ95" i="5"/>
  <c r="BB95" i="5"/>
  <c r="J87" i="5"/>
  <c r="AL87" i="5"/>
  <c r="AK87" i="5"/>
  <c r="AS87" i="5"/>
  <c r="BM87" i="5"/>
  <c r="AP87" i="5"/>
  <c r="AV95" i="5"/>
  <c r="BC95" i="5"/>
  <c r="BS95" i="5"/>
  <c r="H95" i="5"/>
  <c r="K95" i="5"/>
  <c r="BG87" i="5"/>
  <c r="O95" i="5"/>
  <c r="AY87" i="5"/>
  <c r="BL87" i="5"/>
  <c r="N95" i="5"/>
  <c r="BD95" i="5"/>
  <c r="AQ87" i="5"/>
  <c r="BS87" i="5"/>
  <c r="BJ95" i="5"/>
  <c r="AE87" i="5"/>
  <c r="AN17" i="5"/>
  <c r="V87" i="5"/>
  <c r="L95" i="5"/>
  <c r="BC87" i="5"/>
  <c r="AR87" i="5"/>
  <c r="BF95" i="5"/>
  <c r="R87" i="5"/>
  <c r="BP95" i="5"/>
  <c r="O87" i="5"/>
  <c r="AB87" i="5"/>
  <c r="AU80" i="5"/>
  <c r="AN80" i="5"/>
  <c r="AZ80" i="5"/>
  <c r="AY80" i="5"/>
  <c r="AO80" i="5"/>
  <c r="AP80" i="5"/>
  <c r="AL80" i="5"/>
  <c r="BB80" i="5"/>
  <c r="AJ80" i="5"/>
  <c r="AQ80" i="5"/>
  <c r="AV80" i="5"/>
  <c r="BC80" i="5"/>
  <c r="AX80" i="5"/>
  <c r="AR80" i="5"/>
  <c r="AK80" i="5"/>
  <c r="AS80" i="5"/>
  <c r="AW80" i="5"/>
  <c r="AT80" i="5"/>
  <c r="AM80" i="5"/>
  <c r="AQ96" i="5"/>
  <c r="AO96" i="5"/>
  <c r="AJ96" i="5"/>
  <c r="BB96" i="5"/>
  <c r="AT96" i="5"/>
  <c r="AN96" i="5"/>
  <c r="AW96" i="5"/>
  <c r="AL96" i="5"/>
  <c r="AX96" i="5"/>
  <c r="AY96" i="5"/>
  <c r="BA96" i="5"/>
  <c r="BC96" i="5"/>
  <c r="AK96" i="5"/>
  <c r="AR96" i="5"/>
  <c r="AS96" i="5"/>
  <c r="AZ96" i="5"/>
  <c r="AU96" i="5"/>
  <c r="AP96" i="5"/>
  <c r="AT102" i="5"/>
  <c r="S102" i="5"/>
  <c r="AK102" i="5"/>
  <c r="AK36" i="5"/>
  <c r="BF18" i="5"/>
  <c r="AJ36" i="5"/>
  <c r="N36" i="5"/>
  <c r="U36" i="5"/>
  <c r="AY36" i="5"/>
  <c r="Q29" i="5"/>
  <c r="AJ29" i="5"/>
  <c r="W29" i="5"/>
  <c r="BJ29" i="5"/>
  <c r="O102" i="5"/>
  <c r="AX102" i="5"/>
  <c r="BP102" i="5"/>
  <c r="AI102" i="5"/>
  <c r="AP102" i="5"/>
  <c r="Y102" i="5"/>
  <c r="AR36" i="5"/>
  <c r="BQ18" i="5"/>
  <c r="BD18" i="5"/>
  <c r="L18" i="5"/>
  <c r="L36" i="5"/>
  <c r="BH36" i="5"/>
  <c r="W36" i="5"/>
  <c r="J36" i="5"/>
  <c r="V36" i="5"/>
  <c r="BR29" i="5"/>
  <c r="T29" i="5"/>
  <c r="BS29" i="5"/>
  <c r="BT29" i="5"/>
  <c r="BQ102" i="5"/>
  <c r="K102" i="5"/>
  <c r="BL102" i="5"/>
  <c r="BG102" i="5"/>
  <c r="AH102" i="5"/>
  <c r="AD102" i="5"/>
  <c r="AM102" i="5"/>
  <c r="I18" i="5"/>
  <c r="BO18" i="5"/>
  <c r="BQ36" i="5"/>
  <c r="AT36" i="5"/>
  <c r="AP36" i="5"/>
  <c r="P36" i="5"/>
  <c r="AH36" i="5"/>
  <c r="Z29" i="5"/>
  <c r="X29" i="5"/>
  <c r="AC29" i="5"/>
  <c r="J29" i="5"/>
  <c r="P102" i="5"/>
  <c r="BK29" i="5"/>
  <c r="BO102" i="5"/>
  <c r="BT102" i="5"/>
  <c r="BE102" i="5"/>
  <c r="H102" i="5"/>
  <c r="W102" i="5"/>
  <c r="R102" i="5"/>
  <c r="AJ102" i="5"/>
  <c r="I36" i="5"/>
  <c r="T36" i="5"/>
  <c r="BM18" i="5"/>
  <c r="BT18" i="5"/>
  <c r="BC18" i="5"/>
  <c r="Q36" i="5"/>
  <c r="M36" i="5"/>
  <c r="U29" i="5"/>
  <c r="K29" i="5"/>
  <c r="BR102" i="5"/>
  <c r="V102" i="5"/>
  <c r="AO102" i="5"/>
  <c r="X102" i="5"/>
  <c r="BM36" i="5"/>
  <c r="AW18" i="5"/>
  <c r="H18" i="5"/>
  <c r="BA18" i="5"/>
  <c r="AQ18" i="5"/>
  <c r="BO36" i="5"/>
  <c r="BI29" i="5"/>
  <c r="R29" i="5"/>
  <c r="BH102" i="5"/>
  <c r="N102" i="5"/>
  <c r="BA102" i="5"/>
  <c r="BM82" i="5"/>
  <c r="AS102" i="5"/>
  <c r="AC102" i="5"/>
  <c r="BS36" i="5"/>
  <c r="BJ18" i="5"/>
  <c r="BE18" i="5"/>
  <c r="O18" i="5"/>
  <c r="K18" i="5"/>
  <c r="K36" i="5"/>
  <c r="I29" i="5"/>
  <c r="L29" i="5"/>
  <c r="AA29" i="5"/>
  <c r="S29" i="5"/>
  <c r="BD102" i="5"/>
  <c r="BI102" i="5"/>
  <c r="AF18" i="5"/>
  <c r="AG102" i="5"/>
  <c r="Q102" i="5"/>
  <c r="AD36" i="5"/>
  <c r="AV18" i="5"/>
  <c r="BS18" i="5"/>
  <c r="BP18" i="5"/>
  <c r="BN18" i="5"/>
  <c r="Z36" i="5"/>
  <c r="M29" i="5"/>
  <c r="H29" i="5"/>
  <c r="M102" i="5"/>
  <c r="BB102" i="5"/>
  <c r="BM102" i="5"/>
  <c r="BJ102" i="5"/>
  <c r="U102" i="5"/>
  <c r="AN102" i="5"/>
  <c r="AY18" i="5"/>
  <c r="AZ18" i="5"/>
  <c r="R36" i="5"/>
  <c r="BH29" i="5"/>
  <c r="BN102" i="5"/>
  <c r="AV102" i="5"/>
  <c r="AZ102" i="5"/>
  <c r="AR102" i="5"/>
  <c r="AB102" i="5"/>
  <c r="AX18" i="5"/>
  <c r="BR18" i="5"/>
  <c r="H36" i="5"/>
  <c r="X36" i="5"/>
  <c r="AA36" i="5"/>
  <c r="J102" i="5"/>
  <c r="AF102" i="5"/>
  <c r="AL102" i="5"/>
  <c r="BI18" i="5"/>
  <c r="J18" i="5"/>
  <c r="AF36" i="5"/>
  <c r="AL36" i="5"/>
  <c r="AQ36" i="5"/>
  <c r="AE36" i="5"/>
  <c r="Y29" i="5"/>
  <c r="O29" i="5"/>
  <c r="BL29" i="5"/>
  <c r="AG29" i="5"/>
  <c r="L102" i="5"/>
  <c r="AQ102" i="5"/>
  <c r="Z102" i="5"/>
  <c r="BL18" i="5"/>
  <c r="BN36" i="5"/>
  <c r="AB36" i="5"/>
  <c r="AC36" i="5"/>
  <c r="BR36" i="5"/>
  <c r="BI36" i="5"/>
  <c r="BJ36" i="5"/>
  <c r="BP36" i="5"/>
  <c r="BQ29" i="5"/>
  <c r="BO29" i="5"/>
  <c r="BP29" i="5"/>
  <c r="V29" i="5"/>
  <c r="AW102" i="5"/>
  <c r="AY102" i="5"/>
  <c r="AD82" i="5"/>
  <c r="AF100" i="5"/>
  <c r="T82" i="5"/>
  <c r="R25" i="5"/>
  <c r="S100" i="5"/>
  <c r="AI79" i="5"/>
  <c r="AT82" i="5"/>
  <c r="AN101" i="5"/>
  <c r="AU101" i="5"/>
  <c r="AH101" i="5"/>
  <c r="AK101" i="5"/>
  <c r="AQ101" i="5"/>
  <c r="AT101" i="5"/>
  <c r="AW101" i="5"/>
  <c r="AM101" i="5"/>
  <c r="AL101" i="5"/>
  <c r="AO101" i="5"/>
  <c r="AI101" i="5"/>
  <c r="AP101" i="5"/>
  <c r="AX101" i="5"/>
  <c r="AR101" i="5"/>
  <c r="AJ101" i="5"/>
  <c r="AF101" i="5"/>
  <c r="AG101" i="5"/>
  <c r="AD100" i="5"/>
  <c r="BP82" i="5"/>
  <c r="X82" i="5"/>
  <c r="S82" i="5"/>
  <c r="BO82" i="5"/>
  <c r="BA82" i="5"/>
  <c r="BR82" i="5"/>
  <c r="AN82" i="5"/>
  <c r="AJ82" i="5"/>
  <c r="AH82" i="5"/>
  <c r="V82" i="5"/>
  <c r="N82" i="5"/>
  <c r="BB82" i="5"/>
  <c r="BE82" i="5"/>
  <c r="BL82" i="5"/>
  <c r="P82" i="5"/>
  <c r="AL82" i="5"/>
  <c r="K82" i="5"/>
  <c r="BF82" i="5"/>
  <c r="U82" i="5"/>
  <c r="BD82" i="5"/>
  <c r="O82" i="5"/>
  <c r="BC82" i="5"/>
  <c r="AC82" i="5"/>
  <c r="AE82" i="5"/>
  <c r="L82" i="5"/>
  <c r="AA82" i="5"/>
  <c r="BQ82" i="5"/>
  <c r="AU82" i="5"/>
  <c r="BS82" i="5"/>
  <c r="AQ82" i="5"/>
  <c r="AM82" i="5"/>
  <c r="R82" i="5"/>
  <c r="BN82" i="5"/>
  <c r="AG82" i="5"/>
  <c r="AR82" i="5"/>
  <c r="AY82" i="5"/>
  <c r="AF82" i="5"/>
  <c r="I82" i="5"/>
  <c r="BT82" i="5"/>
  <c r="M82" i="5"/>
  <c r="AA100" i="5"/>
  <c r="X100" i="5"/>
  <c r="Q100" i="5"/>
  <c r="V100" i="5"/>
  <c r="AE100" i="5"/>
  <c r="T100" i="5"/>
  <c r="Z82" i="5"/>
  <c r="AU17" i="5"/>
  <c r="AS17" i="5"/>
  <c r="AT17" i="5"/>
  <c r="AX17" i="5"/>
  <c r="AR17" i="5"/>
  <c r="AO17" i="5"/>
  <c r="AP17" i="5"/>
  <c r="AV17" i="5"/>
  <c r="AW17" i="5"/>
  <c r="AB100" i="5"/>
  <c r="V79" i="5"/>
  <c r="AH79" i="5"/>
  <c r="W79" i="5"/>
  <c r="AD79" i="5"/>
  <c r="Y79" i="5"/>
  <c r="S79" i="5"/>
  <c r="Z79" i="5"/>
  <c r="AE79" i="5"/>
  <c r="P79" i="5"/>
  <c r="AF79" i="5"/>
  <c r="AB79" i="5"/>
  <c r="S25" i="5"/>
  <c r="AH100" i="5"/>
  <c r="P100" i="5"/>
  <c r="AB82" i="5"/>
  <c r="Q25" i="5"/>
  <c r="W100" i="5"/>
  <c r="Y100" i="5"/>
  <c r="Q82" i="5"/>
  <c r="AI100" i="5"/>
  <c r="AC79" i="5"/>
  <c r="AS101" i="5"/>
  <c r="AP82" i="5"/>
  <c r="U81" i="5"/>
  <c r="Q81" i="5"/>
  <c r="W81" i="5"/>
  <c r="I72" i="5"/>
  <c r="AJ72" i="5"/>
  <c r="AX72" i="5"/>
  <c r="BJ72" i="5"/>
  <c r="BM72" i="5"/>
  <c r="AY92" i="5"/>
  <c r="BC92" i="5"/>
  <c r="BG92" i="5"/>
  <c r="BJ82" i="5"/>
  <c r="Y82" i="5"/>
  <c r="AK82" i="5"/>
  <c r="AI82" i="5"/>
  <c r="W82" i="5"/>
  <c r="AS82" i="5"/>
  <c r="AU24" i="5"/>
  <c r="AM24" i="5"/>
  <c r="Z81" i="5"/>
  <c r="AI81" i="5"/>
  <c r="AL81" i="5"/>
  <c r="X72" i="5"/>
  <c r="BT72" i="5"/>
  <c r="L72" i="5"/>
  <c r="AV72" i="5"/>
  <c r="BA72" i="5"/>
  <c r="AN92" i="5"/>
  <c r="BR92" i="5"/>
  <c r="AU92" i="5"/>
  <c r="O81" i="5"/>
  <c r="U72" i="5"/>
  <c r="N72" i="5"/>
  <c r="BH72" i="5"/>
  <c r="AH72" i="5"/>
  <c r="AO72" i="5"/>
  <c r="AL92" i="5"/>
  <c r="AP92" i="5"/>
  <c r="P92" i="5"/>
  <c r="BI92" i="5"/>
  <c r="Q84" i="5"/>
  <c r="BQ84" i="5"/>
  <c r="AK84" i="5"/>
  <c r="W84" i="5"/>
  <c r="U84" i="5"/>
  <c r="AA81" i="5"/>
  <c r="N81" i="5"/>
  <c r="BD72" i="5"/>
  <c r="BF72" i="5"/>
  <c r="AQ72" i="5"/>
  <c r="T72" i="5"/>
  <c r="AC72" i="5"/>
  <c r="BF92" i="5"/>
  <c r="BB92" i="5"/>
  <c r="AJ81" i="5"/>
  <c r="AD81" i="5"/>
  <c r="AM96" i="5"/>
  <c r="BO72" i="5"/>
  <c r="AB72" i="5"/>
  <c r="W72" i="5"/>
  <c r="BI72" i="5"/>
  <c r="Q72" i="5"/>
  <c r="J92" i="5"/>
  <c r="BQ92" i="5"/>
  <c r="K92" i="5"/>
  <c r="AD68" i="5"/>
  <c r="T68" i="5"/>
  <c r="AQ68" i="5"/>
  <c r="O74" i="5"/>
  <c r="BE17" i="5"/>
  <c r="BN17" i="5"/>
  <c r="L17" i="5"/>
  <c r="AN84" i="5"/>
  <c r="AB84" i="5"/>
  <c r="BM84" i="5"/>
  <c r="AV84" i="5"/>
  <c r="BO84" i="5"/>
  <c r="BG82" i="5"/>
  <c r="AW82" i="5"/>
  <c r="H82" i="5"/>
  <c r="AO82" i="5"/>
  <c r="AX82" i="5"/>
  <c r="BM103" i="5"/>
  <c r="BD103" i="5"/>
  <c r="M103" i="5"/>
  <c r="AW74" i="5"/>
  <c r="AG81" i="5"/>
  <c r="BP72" i="5"/>
  <c r="P72" i="5"/>
  <c r="BE72" i="5"/>
  <c r="BG72" i="5"/>
  <c r="BE92" i="5"/>
  <c r="AO92" i="5"/>
  <c r="M18" i="5"/>
  <c r="BK18" i="5"/>
  <c r="AE81" i="5"/>
  <c r="V81" i="5"/>
  <c r="BT92" i="5"/>
  <c r="BA92" i="5"/>
  <c r="T92" i="5"/>
  <c r="AD72" i="5"/>
  <c r="K72" i="5"/>
  <c r="AE72" i="5"/>
  <c r="AR72" i="5"/>
  <c r="BK72" i="5"/>
  <c r="AH81" i="5"/>
  <c r="X81" i="5"/>
  <c r="J72" i="5"/>
  <c r="O72" i="5"/>
  <c r="BS72" i="5"/>
  <c r="V72" i="5"/>
  <c r="S72" i="5"/>
  <c r="BK92" i="5"/>
  <c r="BM92" i="5"/>
  <c r="AM92" i="5"/>
  <c r="AV92" i="5"/>
  <c r="BL68" i="5"/>
  <c r="Y68" i="5"/>
  <c r="AR68" i="5"/>
  <c r="U68" i="5"/>
  <c r="AS68" i="5"/>
  <c r="BR68" i="5"/>
  <c r="P81" i="5"/>
  <c r="AZ72" i="5"/>
  <c r="AT72" i="5"/>
  <c r="AY72" i="5"/>
  <c r="BQ72" i="5"/>
  <c r="BN72" i="5"/>
  <c r="AX92" i="5"/>
  <c r="BP92" i="5"/>
  <c r="Y81" i="5"/>
  <c r="AK81" i="5"/>
  <c r="S81" i="5"/>
  <c r="AI72" i="5"/>
  <c r="AS72" i="5"/>
  <c r="AF72" i="5"/>
  <c r="BC72" i="5"/>
  <c r="BB72" i="5"/>
  <c r="AW92" i="5"/>
  <c r="BN92" i="5"/>
  <c r="BL92" i="5"/>
  <c r="I92" i="5"/>
  <c r="X92" i="5"/>
  <c r="BG17" i="5"/>
  <c r="AV96" i="5"/>
  <c r="R81" i="5"/>
  <c r="Z72" i="5"/>
  <c r="AL72" i="5"/>
  <c r="M72" i="5"/>
  <c r="AM72" i="5"/>
  <c r="AP72" i="5"/>
  <c r="AC92" i="5"/>
  <c r="AQ92" i="5"/>
  <c r="BJ92" i="5"/>
  <c r="L92" i="5"/>
  <c r="AE68" i="5"/>
  <c r="BE68" i="5"/>
  <c r="AX68" i="5"/>
  <c r="BQ68" i="5"/>
  <c r="AC68" i="5"/>
  <c r="H74" i="5"/>
  <c r="BA74" i="5"/>
  <c r="BC17" i="5"/>
  <c r="AI84" i="5"/>
  <c r="BK84" i="5"/>
  <c r="M84" i="5"/>
  <c r="Z84" i="5"/>
  <c r="BP84" i="5"/>
  <c r="BI82" i="5"/>
  <c r="AZ82" i="5"/>
  <c r="AV82" i="5"/>
  <c r="BH82" i="5"/>
  <c r="J82" i="5"/>
  <c r="AW103" i="5"/>
  <c r="Y103" i="5"/>
  <c r="BT103" i="5"/>
  <c r="I91" i="5"/>
  <c r="R91" i="5"/>
  <c r="BI91" i="5"/>
  <c r="BR91" i="5"/>
  <c r="BS91" i="5"/>
  <c r="AC91" i="5"/>
  <c r="BE80" i="5"/>
  <c r="H91" i="5"/>
  <c r="BD91" i="5"/>
  <c r="Q91" i="5"/>
  <c r="BJ80" i="5"/>
  <c r="AG91" i="5"/>
  <c r="T91" i="5"/>
  <c r="BT91" i="5"/>
  <c r="BJ91" i="5"/>
  <c r="AF91" i="5"/>
  <c r="BM91" i="5"/>
  <c r="BH91" i="5"/>
  <c r="AI91" i="5"/>
  <c r="BQ91" i="5"/>
  <c r="AD91" i="5"/>
  <c r="AB91" i="5"/>
  <c r="X91" i="5"/>
  <c r="W91" i="5"/>
  <c r="M91" i="5"/>
  <c r="P91" i="5"/>
  <c r="BJ71" i="5"/>
  <c r="Y91" i="5"/>
  <c r="BP91" i="5"/>
  <c r="BL91" i="5"/>
  <c r="N91" i="5"/>
  <c r="U91" i="5"/>
  <c r="AA91" i="5"/>
  <c r="BP71" i="5"/>
  <c r="K91" i="5"/>
  <c r="BG91" i="5"/>
  <c r="L91" i="5"/>
  <c r="BI31" i="5"/>
  <c r="BA80" i="5"/>
  <c r="V94" i="5"/>
  <c r="AO95" i="5"/>
  <c r="V95" i="5"/>
  <c r="T102" i="5"/>
  <c r="O25" i="5"/>
  <c r="BE25" i="5"/>
  <c r="BQ25" i="5"/>
  <c r="BD71" i="5"/>
  <c r="BE31" i="5"/>
  <c r="L71" i="5"/>
  <c r="H31" i="5"/>
  <c r="BD31" i="5"/>
  <c r="BF31" i="5"/>
  <c r="BO91" i="5"/>
  <c r="S91" i="5"/>
  <c r="BN91" i="5"/>
  <c r="U38" i="5" l="1"/>
  <c r="AM69" i="10"/>
  <c r="AR103" i="7"/>
  <c r="AM103" i="7"/>
  <c r="BO77" i="5"/>
  <c r="AT77" i="5"/>
  <c r="BQ77" i="5"/>
  <c r="AH77" i="5"/>
  <c r="BE77" i="5"/>
  <c r="BE79" i="12"/>
  <c r="BN79" i="12"/>
  <c r="AY79" i="12"/>
  <c r="T79" i="12"/>
  <c r="AZ79" i="12"/>
  <c r="AK79" i="12"/>
  <c r="AT79" i="12"/>
  <c r="BG79" i="12"/>
  <c r="BS79" i="12"/>
  <c r="AD79" i="12"/>
  <c r="BM79" i="12"/>
  <c r="I79" i="12"/>
  <c r="L79" i="12"/>
  <c r="AS79" i="12"/>
  <c r="J79" i="12"/>
  <c r="Y79" i="12"/>
  <c r="AW79" i="12"/>
  <c r="BH79" i="12"/>
  <c r="AD81" i="7"/>
  <c r="BH81" i="7"/>
  <c r="T81" i="7"/>
  <c r="AY77" i="5"/>
  <c r="AM79" i="12"/>
  <c r="AG62" i="10"/>
  <c r="AI62" i="10"/>
  <c r="V62" i="10"/>
  <c r="X79" i="12"/>
  <c r="K86" i="7"/>
  <c r="BF81" i="12"/>
  <c r="S37" i="10"/>
  <c r="AA37" i="10"/>
  <c r="AF37" i="10"/>
  <c r="R81" i="12"/>
  <c r="AS100" i="11"/>
  <c r="O100" i="11"/>
  <c r="AQ43" i="12"/>
  <c r="AU43" i="12"/>
  <c r="P43" i="12"/>
  <c r="AR79" i="12"/>
  <c r="BT78" i="7"/>
  <c r="BD100" i="11"/>
  <c r="N102" i="11"/>
  <c r="M102" i="11"/>
  <c r="AN49" i="12"/>
  <c r="V49" i="12"/>
  <c r="AD49" i="12"/>
  <c r="U49" i="12"/>
  <c r="AR49" i="12"/>
  <c r="Y37" i="10"/>
  <c r="X49" i="12"/>
  <c r="X62" i="10"/>
  <c r="R79" i="12"/>
  <c r="BH102" i="11"/>
  <c r="AS32" i="5"/>
  <c r="U32" i="5"/>
  <c r="AU85" i="7"/>
  <c r="M85" i="7"/>
  <c r="BA85" i="7"/>
  <c r="AP69" i="10"/>
  <c r="M79" i="12"/>
  <c r="AU81" i="12"/>
  <c r="W102" i="11"/>
  <c r="AM95" i="7"/>
  <c r="BA95" i="7"/>
  <c r="P95" i="7"/>
  <c r="T95" i="7"/>
  <c r="AL69" i="10"/>
  <c r="U79" i="12"/>
  <c r="AI85" i="7"/>
  <c r="BR81" i="12"/>
  <c r="BB100" i="11"/>
  <c r="AY102" i="11"/>
  <c r="AF78" i="7"/>
  <c r="BG81" i="12"/>
  <c r="AO102" i="11"/>
  <c r="AT103" i="7"/>
  <c r="AC37" i="10"/>
  <c r="X69" i="7"/>
  <c r="S70" i="5"/>
  <c r="Z49" i="12"/>
  <c r="BR84" i="7"/>
  <c r="BT84" i="7"/>
  <c r="AB78" i="7"/>
  <c r="BI79" i="12"/>
  <c r="BB84" i="7"/>
  <c r="AM84" i="7"/>
  <c r="AY82" i="12"/>
  <c r="AF81" i="12"/>
  <c r="BJ81" i="12"/>
  <c r="AL84" i="7"/>
  <c r="T84" i="7"/>
  <c r="BC100" i="11"/>
  <c r="X100" i="11"/>
  <c r="BS95" i="7"/>
  <c r="AZ102" i="11"/>
  <c r="R102" i="11"/>
  <c r="O84" i="7"/>
  <c r="BK103" i="7"/>
  <c r="H79" i="12"/>
  <c r="N69" i="7"/>
  <c r="Z69" i="7"/>
  <c r="O69" i="7"/>
  <c r="AC79" i="12"/>
  <c r="BO81" i="12"/>
  <c r="I78" i="7"/>
  <c r="AQ78" i="7"/>
  <c r="R78" i="7"/>
  <c r="S78" i="7"/>
  <c r="BF78" i="7"/>
  <c r="P78" i="7"/>
  <c r="BK79" i="12"/>
  <c r="X81" i="12"/>
  <c r="AI100" i="11"/>
  <c r="BK102" i="11"/>
  <c r="R52" i="12"/>
  <c r="AC49" i="12"/>
  <c r="W69" i="7"/>
  <c r="AA81" i="12"/>
  <c r="BJ102" i="11"/>
  <c r="BC37" i="11"/>
  <c r="AQ37" i="11"/>
  <c r="BB37" i="11"/>
  <c r="BG37" i="11"/>
  <c r="N69" i="10"/>
  <c r="R69" i="10"/>
  <c r="AF69" i="10"/>
  <c r="Y69" i="10"/>
  <c r="U69" i="10"/>
  <c r="AR69" i="10"/>
  <c r="P69" i="10"/>
  <c r="AE69" i="10"/>
  <c r="AC69" i="10"/>
  <c r="AN69" i="10"/>
  <c r="AG69" i="10"/>
  <c r="AF49" i="12"/>
  <c r="BJ85" i="7"/>
  <c r="S79" i="12"/>
  <c r="AC70" i="5"/>
  <c r="AS40" i="10"/>
  <c r="AO49" i="12"/>
  <c r="T69" i="10"/>
  <c r="AX84" i="7"/>
  <c r="P79" i="12"/>
  <c r="Q37" i="10"/>
  <c r="W78" i="7"/>
  <c r="X82" i="12"/>
  <c r="BN84" i="7"/>
  <c r="BP78" i="7"/>
  <c r="AA69" i="7"/>
  <c r="AG37" i="11"/>
  <c r="I38" i="5"/>
  <c r="Y49" i="12"/>
  <c r="P49" i="12"/>
  <c r="AM38" i="5"/>
  <c r="AW78" i="7"/>
  <c r="BL79" i="12"/>
  <c r="BH84" i="7"/>
  <c r="K82" i="12"/>
  <c r="AB84" i="7"/>
  <c r="BK81" i="12"/>
  <c r="AQ32" i="5"/>
  <c r="BM100" i="11"/>
  <c r="AM102" i="11"/>
  <c r="V103" i="7"/>
  <c r="AO81" i="7"/>
  <c r="AT81" i="12"/>
  <c r="BS81" i="12"/>
  <c r="U81" i="12"/>
  <c r="AX81" i="12"/>
  <c r="AH81" i="12"/>
  <c r="AM81" i="12"/>
  <c r="P81" i="12"/>
  <c r="AJ81" i="12"/>
  <c r="BQ81" i="12"/>
  <c r="Z81" i="12"/>
  <c r="T81" i="12"/>
  <c r="BA81" i="12"/>
  <c r="H81" i="12"/>
  <c r="O81" i="12"/>
  <c r="J81" i="12"/>
  <c r="S81" i="12"/>
  <c r="V81" i="12"/>
  <c r="Y81" i="12"/>
  <c r="AW81" i="12"/>
  <c r="BP81" i="12"/>
  <c r="AD81" i="12"/>
  <c r="AG81" i="12"/>
  <c r="Y92" i="7"/>
  <c r="AS92" i="7"/>
  <c r="AL92" i="7"/>
  <c r="I92" i="7"/>
  <c r="U52" i="12"/>
  <c r="AF52" i="12"/>
  <c r="AM52" i="12"/>
  <c r="AJ52" i="12"/>
  <c r="P100" i="11"/>
  <c r="AP100" i="11"/>
  <c r="BN100" i="11"/>
  <c r="U100" i="11"/>
  <c r="AQ100" i="11"/>
  <c r="AV100" i="11"/>
  <c r="BJ100" i="11"/>
  <c r="BF100" i="11"/>
  <c r="AE100" i="11"/>
  <c r="Z100" i="11"/>
  <c r="AN100" i="11"/>
  <c r="V100" i="11"/>
  <c r="H100" i="11"/>
  <c r="M100" i="11"/>
  <c r="AM100" i="11"/>
  <c r="L100" i="11"/>
  <c r="BA100" i="11"/>
  <c r="AR100" i="11"/>
  <c r="BS100" i="11"/>
  <c r="AG100" i="11"/>
  <c r="BM84" i="10"/>
  <c r="AA84" i="10"/>
  <c r="BE84" i="10"/>
  <c r="N84" i="10"/>
  <c r="R84" i="10"/>
  <c r="BN88" i="10"/>
  <c r="AO88" i="10"/>
  <c r="BT82" i="11"/>
  <c r="BA82" i="11"/>
  <c r="N62" i="10"/>
  <c r="AG79" i="12"/>
  <c r="O78" i="7"/>
  <c r="AY81" i="12"/>
  <c r="AW100" i="11"/>
  <c r="AF62" i="11"/>
  <c r="Z62" i="11"/>
  <c r="O102" i="11"/>
  <c r="BO102" i="11"/>
  <c r="BE102" i="11"/>
  <c r="AT102" i="11"/>
  <c r="P102" i="11"/>
  <c r="BL102" i="11"/>
  <c r="BS102" i="11"/>
  <c r="AW102" i="11"/>
  <c r="AA102" i="11"/>
  <c r="V102" i="11"/>
  <c r="BG102" i="11"/>
  <c r="T102" i="11"/>
  <c r="AD102" i="11"/>
  <c r="AX102" i="11"/>
  <c r="AJ102" i="11"/>
  <c r="AI102" i="11"/>
  <c r="L102" i="11"/>
  <c r="AL102" i="11"/>
  <c r="AR102" i="11"/>
  <c r="BM102" i="11"/>
  <c r="Q52" i="12"/>
  <c r="AL79" i="12"/>
  <c r="M81" i="12"/>
  <c r="BT100" i="11"/>
  <c r="Q70" i="10"/>
  <c r="U70" i="10"/>
  <c r="AE70" i="10"/>
  <c r="AG70" i="10"/>
  <c r="AB70" i="10"/>
  <c r="AI49" i="12"/>
  <c r="AV79" i="12"/>
  <c r="BD84" i="10"/>
  <c r="AP81" i="12"/>
  <c r="AL100" i="11"/>
  <c r="AJ100" i="11"/>
  <c r="BG100" i="11"/>
  <c r="H102" i="11"/>
  <c r="AY92" i="7"/>
  <c r="BM84" i="7"/>
  <c r="BQ84" i="7"/>
  <c r="K84" i="7"/>
  <c r="BJ84" i="7"/>
  <c r="AF84" i="7"/>
  <c r="BF84" i="7"/>
  <c r="AH84" i="7"/>
  <c r="BG84" i="7"/>
  <c r="AC84" i="7"/>
  <c r="AG84" i="7"/>
  <c r="J84" i="7"/>
  <c r="AK84" i="7"/>
  <c r="I84" i="7"/>
  <c r="AY84" i="7"/>
  <c r="BK84" i="7"/>
  <c r="BC84" i="7"/>
  <c r="AN84" i="7"/>
  <c r="BP84" i="7"/>
  <c r="S84" i="7"/>
  <c r="AE84" i="7"/>
  <c r="R84" i="7"/>
  <c r="AO84" i="7"/>
  <c r="AR84" i="7"/>
  <c r="X84" i="7"/>
  <c r="AD84" i="7"/>
  <c r="BD84" i="7"/>
  <c r="AW82" i="11"/>
  <c r="AL70" i="10"/>
  <c r="AT49" i="12"/>
  <c r="N84" i="7"/>
  <c r="Y84" i="7"/>
  <c r="P84" i="7"/>
  <c r="AE81" i="12"/>
  <c r="H84" i="7"/>
  <c r="AF100" i="11"/>
  <c r="S100" i="11"/>
  <c r="AV102" i="11"/>
  <c r="Y102" i="11"/>
  <c r="AZ103" i="7"/>
  <c r="AI84" i="7"/>
  <c r="AS49" i="12"/>
  <c r="AE49" i="12"/>
  <c r="AD69" i="10"/>
  <c r="V62" i="11"/>
  <c r="T85" i="7"/>
  <c r="W84" i="7"/>
  <c r="V78" i="7"/>
  <c r="AP84" i="7"/>
  <c r="BA84" i="7"/>
  <c r="BI81" i="12"/>
  <c r="AK81" i="12"/>
  <c r="L84" i="7"/>
  <c r="I100" i="11"/>
  <c r="W95" i="7"/>
  <c r="BN102" i="11"/>
  <c r="J102" i="11"/>
  <c r="AV103" i="7"/>
  <c r="AG49" i="12"/>
  <c r="AT84" i="7"/>
  <c r="BD79" i="12"/>
  <c r="W79" i="12"/>
  <c r="O85" i="7"/>
  <c r="AS84" i="7"/>
  <c r="BL84" i="7"/>
  <c r="AM32" i="5"/>
  <c r="AJ84" i="7"/>
  <c r="BE81" i="12"/>
  <c r="BS84" i="7"/>
  <c r="BE84" i="7"/>
  <c r="T100" i="11"/>
  <c r="Q100" i="11"/>
  <c r="BK95" i="7"/>
  <c r="AS102" i="11"/>
  <c r="X102" i="11"/>
  <c r="AS70" i="10"/>
  <c r="AN70" i="10"/>
  <c r="AI70" i="10"/>
  <c r="BF77" i="5"/>
  <c r="BE37" i="11"/>
  <c r="AW37" i="11"/>
  <c r="AV40" i="10"/>
  <c r="Q69" i="10"/>
  <c r="AE78" i="7"/>
  <c r="V79" i="12"/>
  <c r="M84" i="7"/>
  <c r="U84" i="7"/>
  <c r="BO84" i="7"/>
  <c r="BM81" i="12"/>
  <c r="Q81" i="12"/>
  <c r="J100" i="11"/>
  <c r="BR100" i="11"/>
  <c r="AU102" i="11"/>
  <c r="BP102" i="11"/>
  <c r="AY82" i="10"/>
  <c r="O86" i="10"/>
  <c r="BK86" i="10"/>
  <c r="O38" i="5"/>
  <c r="BH81" i="11"/>
  <c r="AG81" i="11"/>
  <c r="AJ81" i="11"/>
  <c r="J81" i="11"/>
  <c r="AM81" i="11"/>
  <c r="AK81" i="11"/>
  <c r="BM81" i="11"/>
  <c r="AF81" i="11"/>
  <c r="AH81" i="11"/>
  <c r="BD81" i="11"/>
  <c r="W81" i="11"/>
  <c r="BN81" i="11"/>
  <c r="AA81" i="11"/>
  <c r="AB81" i="11"/>
  <c r="BQ81" i="11"/>
  <c r="BT81" i="11"/>
  <c r="Q81" i="11"/>
  <c r="Z81" i="11"/>
  <c r="Y81" i="11"/>
  <c r="AD81" i="11"/>
  <c r="BB81" i="11"/>
  <c r="R81" i="11"/>
  <c r="AL81" i="11"/>
  <c r="P81" i="11"/>
  <c r="AW81" i="11"/>
  <c r="BJ81" i="11"/>
  <c r="BS81" i="11"/>
  <c r="I81" i="11"/>
  <c r="AS81" i="11"/>
  <c r="AZ81" i="11"/>
  <c r="BI81" i="11"/>
  <c r="H81" i="11"/>
  <c r="AE81" i="11"/>
  <c r="BK81" i="11"/>
  <c r="BO81" i="11"/>
  <c r="K81" i="11"/>
  <c r="BE81" i="11"/>
  <c r="BG81" i="11"/>
  <c r="BR81" i="11"/>
  <c r="AI81" i="11"/>
  <c r="AK80" i="7"/>
  <c r="L80" i="7"/>
  <c r="AS80" i="7"/>
  <c r="BH80" i="7"/>
  <c r="AC80" i="7"/>
  <c r="BO80" i="7"/>
  <c r="S81" i="11"/>
  <c r="AL97" i="10"/>
  <c r="BR97" i="10"/>
  <c r="BE97" i="10"/>
  <c r="U81" i="11"/>
  <c r="BH86" i="10"/>
  <c r="AZ86" i="10"/>
  <c r="AU86" i="10"/>
  <c r="BR86" i="10"/>
  <c r="BJ86" i="10"/>
  <c r="BT86" i="10"/>
  <c r="BA86" i="10"/>
  <c r="X86" i="10"/>
  <c r="AR86" i="10"/>
  <c r="BO86" i="10"/>
  <c r="BS86" i="10"/>
  <c r="AB86" i="10"/>
  <c r="BD86" i="10"/>
  <c r="T86" i="10"/>
  <c r="AW86" i="10"/>
  <c r="AY86" i="10"/>
  <c r="Z86" i="10"/>
  <c r="BN86" i="10"/>
  <c r="BP86" i="10"/>
  <c r="N86" i="10"/>
  <c r="Y86" i="10"/>
  <c r="U86" i="10"/>
  <c r="AQ86" i="10"/>
  <c r="BE86" i="10"/>
  <c r="AO86" i="10"/>
  <c r="BM86" i="10"/>
  <c r="AI86" i="10"/>
  <c r="BF86" i="10"/>
  <c r="AX86" i="10"/>
  <c r="AM86" i="10"/>
  <c r="AT86" i="10"/>
  <c r="R86" i="10"/>
  <c r="AH86" i="10"/>
  <c r="AC86" i="10"/>
  <c r="AN86" i="10"/>
  <c r="AK86" i="10"/>
  <c r="AF86" i="10"/>
  <c r="BC86" i="10"/>
  <c r="BG86" i="10"/>
  <c r="AP86" i="10"/>
  <c r="AG86" i="10"/>
  <c r="W86" i="10"/>
  <c r="AL86" i="10"/>
  <c r="L86" i="10"/>
  <c r="BB86" i="10"/>
  <c r="AU81" i="11"/>
  <c r="Y95" i="7"/>
  <c r="BB85" i="11"/>
  <c r="AG85" i="11"/>
  <c r="BD85" i="11"/>
  <c r="P85" i="11"/>
  <c r="AD85" i="11"/>
  <c r="L85" i="11"/>
  <c r="BL81" i="11"/>
  <c r="AZ95" i="7"/>
  <c r="P86" i="10"/>
  <c r="AV36" i="12"/>
  <c r="BG36" i="12"/>
  <c r="BB36" i="12"/>
  <c r="N77" i="12"/>
  <c r="AO77" i="12"/>
  <c r="L77" i="12"/>
  <c r="BN77" i="12"/>
  <c r="AW77" i="12"/>
  <c r="BQ77" i="12"/>
  <c r="BD77" i="12"/>
  <c r="I77" i="12"/>
  <c r="AD77" i="12"/>
  <c r="AQ77" i="12"/>
  <c r="BS77" i="12"/>
  <c r="AY77" i="12"/>
  <c r="X77" i="12"/>
  <c r="AU77" i="12"/>
  <c r="T77" i="12"/>
  <c r="AG77" i="12"/>
  <c r="BK77" i="12"/>
  <c r="Y77" i="12"/>
  <c r="AC77" i="12"/>
  <c r="AA77" i="12"/>
  <c r="J77" i="12"/>
  <c r="U77" i="12"/>
  <c r="AN77" i="12"/>
  <c r="BI77" i="12"/>
  <c r="BF77" i="12"/>
  <c r="V77" i="12"/>
  <c r="AJ77" i="12"/>
  <c r="K77" i="12"/>
  <c r="BE77" i="12"/>
  <c r="AL77" i="12"/>
  <c r="AB77" i="12"/>
  <c r="BB77" i="12"/>
  <c r="AI77" i="12"/>
  <c r="P77" i="12"/>
  <c r="AR77" i="12"/>
  <c r="AT77" i="12"/>
  <c r="AX81" i="11"/>
  <c r="BL95" i="7"/>
  <c r="AS86" i="10"/>
  <c r="AP100" i="10"/>
  <c r="BP77" i="12"/>
  <c r="BR77" i="12"/>
  <c r="AV77" i="12"/>
  <c r="L81" i="11"/>
  <c r="AY81" i="11"/>
  <c r="AC81" i="11"/>
  <c r="BS88" i="12"/>
  <c r="AU95" i="7"/>
  <c r="V86" i="10"/>
  <c r="Q86" i="10"/>
  <c r="T81" i="11"/>
  <c r="AR81" i="11"/>
  <c r="AW93" i="11"/>
  <c r="BC93" i="11"/>
  <c r="AY93" i="11"/>
  <c r="U93" i="11"/>
  <c r="AK93" i="11"/>
  <c r="J93" i="11"/>
  <c r="BL93" i="11"/>
  <c r="BO93" i="11"/>
  <c r="AQ81" i="11"/>
  <c r="Y60" i="7"/>
  <c r="AZ60" i="7"/>
  <c r="AJ60" i="7"/>
  <c r="BK100" i="10"/>
  <c r="T100" i="10"/>
  <c r="AY100" i="10"/>
  <c r="AF100" i="10"/>
  <c r="AM100" i="10"/>
  <c r="I100" i="10"/>
  <c r="BE100" i="10"/>
  <c r="N100" i="10"/>
  <c r="AH100" i="10"/>
  <c r="BI100" i="10"/>
  <c r="O100" i="10"/>
  <c r="AJ100" i="10"/>
  <c r="AT81" i="11"/>
  <c r="W53" i="5"/>
  <c r="AD53" i="5"/>
  <c r="J93" i="12"/>
  <c r="AN93" i="12"/>
  <c r="P93" i="12"/>
  <c r="BG93" i="12"/>
  <c r="S93" i="12"/>
  <c r="S95" i="7"/>
  <c r="BM95" i="7"/>
  <c r="X95" i="7"/>
  <c r="N95" i="7"/>
  <c r="I95" i="7"/>
  <c r="AB95" i="7"/>
  <c r="BO95" i="7"/>
  <c r="AD95" i="7"/>
  <c r="R95" i="7"/>
  <c r="BJ95" i="7"/>
  <c r="M95" i="7"/>
  <c r="AO95" i="7"/>
  <c r="AE95" i="7"/>
  <c r="AP95" i="7"/>
  <c r="AY95" i="7"/>
  <c r="H95" i="7"/>
  <c r="BF95" i="7"/>
  <c r="AT95" i="7"/>
  <c r="BN95" i="7"/>
  <c r="K95" i="7"/>
  <c r="U95" i="7"/>
  <c r="AA95" i="7"/>
  <c r="AH95" i="7"/>
  <c r="BC95" i="7"/>
  <c r="AQ95" i="7"/>
  <c r="AF95" i="7"/>
  <c r="AV95" i="7"/>
  <c r="AL95" i="7"/>
  <c r="BI95" i="7"/>
  <c r="AC95" i="7"/>
  <c r="BE95" i="7"/>
  <c r="AJ95" i="7"/>
  <c r="BT95" i="7"/>
  <c r="BD95" i="7"/>
  <c r="BB95" i="7"/>
  <c r="L95" i="7"/>
  <c r="BG95" i="7"/>
  <c r="AK95" i="7"/>
  <c r="AS95" i="7"/>
  <c r="V95" i="7"/>
  <c r="AI95" i="7"/>
  <c r="AG95" i="7"/>
  <c r="Z95" i="7"/>
  <c r="O95" i="7"/>
  <c r="AD86" i="10"/>
  <c r="BC93" i="12"/>
  <c r="V82" i="10"/>
  <c r="AS82" i="10"/>
  <c r="Z82" i="10"/>
  <c r="Y82" i="10"/>
  <c r="AA60" i="7"/>
  <c r="H80" i="7"/>
  <c r="BQ95" i="7"/>
  <c r="H93" i="12"/>
  <c r="X57" i="7"/>
  <c r="AR57" i="7"/>
  <c r="T57" i="7"/>
  <c r="AF57" i="7"/>
  <c r="U57" i="7"/>
  <c r="AC57" i="7"/>
  <c r="AK57" i="7"/>
  <c r="Z57" i="7"/>
  <c r="Q57" i="7"/>
  <c r="AN59" i="10"/>
  <c r="AH59" i="10"/>
  <c r="AO59" i="10"/>
  <c r="T59" i="10"/>
  <c r="N59" i="10"/>
  <c r="AM59" i="10"/>
  <c r="T75" i="5"/>
  <c r="S75" i="5"/>
  <c r="BG75" i="5"/>
  <c r="BI75" i="5"/>
  <c r="BN75" i="5"/>
  <c r="BD75" i="5"/>
  <c r="BF75" i="5"/>
  <c r="BP75" i="5"/>
  <c r="I91" i="12"/>
  <c r="T91" i="12"/>
  <c r="R77" i="12"/>
  <c r="BC81" i="11"/>
  <c r="BF81" i="11"/>
  <c r="J82" i="10"/>
  <c r="AN95" i="7"/>
  <c r="S86" i="10"/>
  <c r="Z57" i="12"/>
  <c r="BJ77" i="12"/>
  <c r="BG77" i="12"/>
  <c r="AM77" i="12"/>
  <c r="O81" i="11"/>
  <c r="BA81" i="11"/>
  <c r="T80" i="7"/>
  <c r="AW95" i="7"/>
  <c r="BH95" i="7"/>
  <c r="AE86" i="10"/>
  <c r="BQ86" i="10"/>
  <c r="Z100" i="10"/>
  <c r="AP81" i="11"/>
  <c r="AF80" i="7"/>
  <c r="AO81" i="11"/>
  <c r="J86" i="10"/>
  <c r="Q57" i="12"/>
  <c r="BA77" i="12"/>
  <c r="AZ77" i="12"/>
  <c r="AN81" i="11"/>
  <c r="BP81" i="11"/>
  <c r="BP95" i="7"/>
  <c r="AR95" i="7"/>
  <c r="AV86" i="10"/>
  <c r="I86" i="10"/>
  <c r="AQ100" i="10"/>
  <c r="BA65" i="10"/>
  <c r="AP65" i="10"/>
  <c r="AJ65" i="10"/>
  <c r="AV81" i="11"/>
  <c r="AS77" i="12"/>
  <c r="AP77" i="12"/>
  <c r="N81" i="11"/>
  <c r="V81" i="11"/>
  <c r="J95" i="7"/>
  <c r="BA93" i="11"/>
  <c r="H86" i="10"/>
  <c r="BI86" i="10"/>
  <c r="AJ87" i="11"/>
  <c r="BR79" i="12"/>
  <c r="R38" i="5"/>
  <c r="AN77" i="5"/>
  <c r="AH38" i="5"/>
  <c r="K38" i="5"/>
  <c r="V65" i="7"/>
  <c r="BH61" i="10"/>
  <c r="AN79" i="12"/>
  <c r="AO79" i="12"/>
  <c r="BQ79" i="12"/>
  <c r="AX79" i="12"/>
  <c r="Z79" i="12"/>
  <c r="AI87" i="11"/>
  <c r="AS83" i="12"/>
  <c r="K83" i="12"/>
  <c r="BF83" i="12"/>
  <c r="BR78" i="10"/>
  <c r="BC99" i="11"/>
  <c r="BA99" i="11"/>
  <c r="AZ99" i="11"/>
  <c r="L99" i="11"/>
  <c r="AQ85" i="7"/>
  <c r="V38" i="5"/>
  <c r="BC83" i="12"/>
  <c r="Y78" i="10"/>
  <c r="AF99" i="11"/>
  <c r="V52" i="11"/>
  <c r="X77" i="5"/>
  <c r="AZ77" i="5"/>
  <c r="AT38" i="5"/>
  <c r="W65" i="7"/>
  <c r="BL78" i="11"/>
  <c r="AU79" i="12"/>
  <c r="AB79" i="12"/>
  <c r="K79" i="12"/>
  <c r="BF79" i="12"/>
  <c r="AI79" i="12"/>
  <c r="AK87" i="11"/>
  <c r="P83" i="12"/>
  <c r="I83" i="12"/>
  <c r="L83" i="12"/>
  <c r="V78" i="10"/>
  <c r="Y99" i="11"/>
  <c r="BL99" i="11"/>
  <c r="AN99" i="11"/>
  <c r="AU99" i="11"/>
  <c r="H87" i="11"/>
  <c r="AU83" i="12"/>
  <c r="AG87" i="11"/>
  <c r="BE99" i="11"/>
  <c r="BL38" i="5"/>
  <c r="X52" i="11"/>
  <c r="AJ77" i="5"/>
  <c r="T65" i="7"/>
  <c r="BL77" i="5"/>
  <c r="I78" i="11"/>
  <c r="AP79" i="12"/>
  <c r="AF79" i="12"/>
  <c r="AE79" i="12"/>
  <c r="N79" i="12"/>
  <c r="BA79" i="12"/>
  <c r="BL87" i="11"/>
  <c r="AK83" i="12"/>
  <c r="AN83" i="12"/>
  <c r="T83" i="12"/>
  <c r="BJ79" i="12"/>
  <c r="BQ78" i="10"/>
  <c r="T90" i="10"/>
  <c r="M99" i="11"/>
  <c r="AV99" i="11"/>
  <c r="N99" i="11"/>
  <c r="AB99" i="11"/>
  <c r="AA93" i="7"/>
  <c r="AL83" i="12"/>
  <c r="BF78" i="10"/>
  <c r="P99" i="11"/>
  <c r="AO99" i="11"/>
  <c r="AV77" i="5"/>
  <c r="W78" i="11"/>
  <c r="BO79" i="12"/>
  <c r="AJ79" i="12"/>
  <c r="BP79" i="12"/>
  <c r="Q79" i="12"/>
  <c r="BB79" i="12"/>
  <c r="Q87" i="11"/>
  <c r="BQ83" i="12"/>
  <c r="BP83" i="12"/>
  <c r="BJ83" i="12"/>
  <c r="N78" i="10"/>
  <c r="AX83" i="12"/>
  <c r="AZ78" i="10"/>
  <c r="H99" i="11"/>
  <c r="V99" i="11"/>
  <c r="O99" i="11"/>
  <c r="AC99" i="11"/>
  <c r="AZ93" i="7"/>
  <c r="R88" i="10"/>
  <c r="AF82" i="11"/>
  <c r="V77" i="5"/>
  <c r="AP52" i="11"/>
  <c r="Q77" i="5"/>
  <c r="N54" i="7"/>
  <c r="AC78" i="11"/>
  <c r="O79" i="12"/>
  <c r="BC79" i="12"/>
  <c r="AQ79" i="12"/>
  <c r="AH79" i="12"/>
  <c r="AZ87" i="11"/>
  <c r="AF83" i="12"/>
  <c r="H83" i="12"/>
  <c r="R83" i="12"/>
  <c r="AY78" i="10"/>
  <c r="AE99" i="11"/>
  <c r="K99" i="11"/>
  <c r="BG99" i="11"/>
  <c r="H62" i="5"/>
  <c r="X90" i="10"/>
  <c r="BQ82" i="12"/>
  <c r="AC82" i="12"/>
  <c r="BS82" i="12"/>
  <c r="BS7" i="12" s="1"/>
  <c r="BH82" i="12"/>
  <c r="H82" i="12"/>
  <c r="AM82" i="12"/>
  <c r="AB82" i="12"/>
  <c r="T82" i="12"/>
  <c r="BR82" i="12"/>
  <c r="J82" i="12"/>
  <c r="BL82" i="12"/>
  <c r="BP82" i="12"/>
  <c r="AE82" i="12"/>
  <c r="AJ82" i="12"/>
  <c r="W82" i="12"/>
  <c r="V82" i="12"/>
  <c r="AU82" i="12"/>
  <c r="BI82" i="12"/>
  <c r="AT82" i="12"/>
  <c r="Y82" i="12"/>
  <c r="AQ82" i="12"/>
  <c r="BG82" i="12"/>
  <c r="BE82" i="12"/>
  <c r="M82" i="12"/>
  <c r="AZ82" i="12"/>
  <c r="BD82" i="12"/>
  <c r="AS82" i="12"/>
  <c r="P82" i="12"/>
  <c r="BC82" i="12"/>
  <c r="BK82" i="12"/>
  <c r="BJ82" i="12"/>
  <c r="S82" i="12"/>
  <c r="AA82" i="12"/>
  <c r="AV82" i="12"/>
  <c r="AH82" i="12"/>
  <c r="BM82" i="12"/>
  <c r="BF82" i="12"/>
  <c r="BN82" i="12"/>
  <c r="AK82" i="12"/>
  <c r="I88" i="11"/>
  <c r="BH88" i="11"/>
  <c r="P85" i="7"/>
  <c r="BO82" i="12"/>
  <c r="AT85" i="7"/>
  <c r="AZ90" i="10"/>
  <c r="BD88" i="11"/>
  <c r="Q89" i="7"/>
  <c r="P89" i="7"/>
  <c r="AR89" i="7"/>
  <c r="R89" i="7"/>
  <c r="AO89" i="7"/>
  <c r="BL89" i="7"/>
  <c r="BR89" i="7"/>
  <c r="AP89" i="7"/>
  <c r="T89" i="7"/>
  <c r="BS89" i="7"/>
  <c r="AE89" i="7"/>
  <c r="O89" i="7"/>
  <c r="BM89" i="7"/>
  <c r="AQ89" i="7"/>
  <c r="AZ89" i="7"/>
  <c r="BO89" i="7"/>
  <c r="BP89" i="7"/>
  <c r="AW89" i="7"/>
  <c r="BK89" i="7"/>
  <c r="AU89" i="7"/>
  <c r="AV89" i="7"/>
  <c r="K89" i="7"/>
  <c r="BQ97" i="12"/>
  <c r="I97" i="12"/>
  <c r="BH97" i="12"/>
  <c r="BN97" i="12"/>
  <c r="BC97" i="12"/>
  <c r="BD97" i="12"/>
  <c r="BF97" i="12"/>
  <c r="AM97" i="12"/>
  <c r="AS97" i="12"/>
  <c r="AJ97" i="12"/>
  <c r="BP97" i="12"/>
  <c r="BB97" i="12"/>
  <c r="N97" i="12"/>
  <c r="AN97" i="12"/>
  <c r="Q97" i="12"/>
  <c r="J97" i="12"/>
  <c r="AB97" i="12"/>
  <c r="AQ97" i="12"/>
  <c r="AR97" i="12"/>
  <c r="Z97" i="12"/>
  <c r="BL97" i="12"/>
  <c r="X97" i="12"/>
  <c r="AP97" i="12"/>
  <c r="AF97" i="12"/>
  <c r="AW97" i="12"/>
  <c r="V97" i="12"/>
  <c r="BA97" i="12"/>
  <c r="H97" i="12"/>
  <c r="AU97" i="12"/>
  <c r="AA97" i="12"/>
  <c r="BS97" i="12"/>
  <c r="AV97" i="12"/>
  <c r="AK97" i="12"/>
  <c r="AZ97" i="12"/>
  <c r="AG97" i="12"/>
  <c r="P97" i="12"/>
  <c r="BN89" i="7"/>
  <c r="BK88" i="11"/>
  <c r="AW85" i="7"/>
  <c r="AW82" i="12"/>
  <c r="AD90" i="10"/>
  <c r="S101" i="7"/>
  <c r="AJ70" i="5"/>
  <c r="L85" i="7"/>
  <c r="AB88" i="11"/>
  <c r="BE92" i="7"/>
  <c r="BL88" i="12"/>
  <c r="N88" i="12"/>
  <c r="BI88" i="12"/>
  <c r="AI88" i="12"/>
  <c r="BO88" i="12"/>
  <c r="AD88" i="12"/>
  <c r="AP88" i="12"/>
  <c r="BG88" i="12"/>
  <c r="Y88" i="12"/>
  <c r="R88" i="12"/>
  <c r="T88" i="12"/>
  <c r="AJ88" i="12"/>
  <c r="AT88" i="12"/>
  <c r="AU88" i="12"/>
  <c r="AT57" i="12"/>
  <c r="T54" i="11"/>
  <c r="L88" i="11"/>
  <c r="BD101" i="7"/>
  <c r="H82" i="11"/>
  <c r="BI97" i="12"/>
  <c r="AL65" i="11"/>
  <c r="AA65" i="11"/>
  <c r="AT85" i="11"/>
  <c r="AH85" i="11"/>
  <c r="AC85" i="11"/>
  <c r="Q85" i="11"/>
  <c r="BH85" i="11"/>
  <c r="AJ85" i="11"/>
  <c r="BG85" i="11"/>
  <c r="W85" i="11"/>
  <c r="BP85" i="11"/>
  <c r="H85" i="11"/>
  <c r="O85" i="11"/>
  <c r="BQ85" i="11"/>
  <c r="AP85" i="11"/>
  <c r="AN85" i="11"/>
  <c r="N85" i="11"/>
  <c r="I85" i="11"/>
  <c r="AE85" i="11"/>
  <c r="Q38" i="5"/>
  <c r="AF60" i="7"/>
  <c r="BG88" i="11"/>
  <c r="S84" i="10"/>
  <c r="BJ82" i="7"/>
  <c r="AR101" i="7"/>
  <c r="BG82" i="11"/>
  <c r="W93" i="12"/>
  <c r="AK92" i="7"/>
  <c r="AK50" i="10"/>
  <c r="AV50" i="10"/>
  <c r="S52" i="11"/>
  <c r="R52" i="11"/>
  <c r="Y52" i="11"/>
  <c r="AE52" i="11"/>
  <c r="AC52" i="11"/>
  <c r="AU52" i="11"/>
  <c r="AS52" i="11"/>
  <c r="T52" i="11"/>
  <c r="U52" i="11"/>
  <c r="AN52" i="11"/>
  <c r="BA84" i="12"/>
  <c r="W84" i="12"/>
  <c r="AK84" i="12"/>
  <c r="AV81" i="10"/>
  <c r="BL81" i="10"/>
  <c r="AI81" i="10"/>
  <c r="BR81" i="10"/>
  <c r="Z81" i="10"/>
  <c r="AM81" i="10"/>
  <c r="BE82" i="10"/>
  <c r="X82" i="10"/>
  <c r="AJ82" i="10"/>
  <c r="AP82" i="10"/>
  <c r="BK82" i="10"/>
  <c r="AW82" i="10"/>
  <c r="I82" i="10"/>
  <c r="AQ82" i="10"/>
  <c r="AL82" i="10"/>
  <c r="AK82" i="10"/>
  <c r="BR82" i="10"/>
  <c r="BB82" i="10"/>
  <c r="AA82" i="10"/>
  <c r="AC82" i="10"/>
  <c r="AD82" i="10"/>
  <c r="BJ82" i="10"/>
  <c r="Q82" i="10"/>
  <c r="AE82" i="10"/>
  <c r="BO82" i="10"/>
  <c r="AF82" i="10"/>
  <c r="T82" i="10"/>
  <c r="BH82" i="10"/>
  <c r="BC82" i="10"/>
  <c r="AU82" i="10"/>
  <c r="BI82" i="10"/>
  <c r="AM82" i="10"/>
  <c r="AH82" i="10"/>
  <c r="BN82" i="10"/>
  <c r="H82" i="10"/>
  <c r="BA82" i="10"/>
  <c r="S82" i="10"/>
  <c r="AG82" i="10"/>
  <c r="AT82" i="10"/>
  <c r="AB82" i="10"/>
  <c r="BP82" i="10"/>
  <c r="BG82" i="10"/>
  <c r="U82" i="10"/>
  <c r="AR82" i="10"/>
  <c r="BF82" i="10"/>
  <c r="BT82" i="10"/>
  <c r="AX82" i="10"/>
  <c r="N82" i="10"/>
  <c r="Q52" i="11"/>
  <c r="AC38" i="5"/>
  <c r="Z61" i="10"/>
  <c r="O78" i="11"/>
  <c r="BL88" i="11"/>
  <c r="BJ78" i="10"/>
  <c r="BM82" i="11"/>
  <c r="AY93" i="7"/>
  <c r="H93" i="7"/>
  <c r="BM93" i="7"/>
  <c r="BB93" i="7"/>
  <c r="W93" i="7"/>
  <c r="Y93" i="7"/>
  <c r="U93" i="7"/>
  <c r="BQ93" i="7"/>
  <c r="AR93" i="7"/>
  <c r="N93" i="7"/>
  <c r="AX93" i="7"/>
  <c r="AM93" i="7"/>
  <c r="AR52" i="11"/>
  <c r="AO38" i="5"/>
  <c r="AD57" i="12"/>
  <c r="AC77" i="5"/>
  <c r="AW50" i="10"/>
  <c r="BT61" i="10"/>
  <c r="AF88" i="11"/>
  <c r="BG78" i="11"/>
  <c r="S88" i="11"/>
  <c r="K88" i="11"/>
  <c r="BT81" i="10"/>
  <c r="BO82" i="7"/>
  <c r="AP82" i="12"/>
  <c r="N82" i="12"/>
  <c r="AW78" i="10"/>
  <c r="BF80" i="12"/>
  <c r="BL82" i="10"/>
  <c r="Q88" i="12"/>
  <c r="AI102" i="7"/>
  <c r="BL93" i="12"/>
  <c r="AG93" i="12"/>
  <c r="W97" i="12"/>
  <c r="M92" i="7"/>
  <c r="V92" i="7"/>
  <c r="N96" i="7"/>
  <c r="AU90" i="10"/>
  <c r="AR90" i="10"/>
  <c r="AL90" i="10"/>
  <c r="AX90" i="10"/>
  <c r="V90" i="10"/>
  <c r="AN90" i="10"/>
  <c r="BH90" i="10"/>
  <c r="BN90" i="10"/>
  <c r="BO90" i="10"/>
  <c r="AT90" i="10"/>
  <c r="BJ90" i="10"/>
  <c r="BE90" i="10"/>
  <c r="K90" i="10"/>
  <c r="BD90" i="10"/>
  <c r="AI90" i="10"/>
  <c r="BP90" i="10"/>
  <c r="R90" i="10"/>
  <c r="Q90" i="10"/>
  <c r="I90" i="10"/>
  <c r="AJ90" i="10"/>
  <c r="AV90" i="10"/>
  <c r="AE90" i="10"/>
  <c r="N90" i="10"/>
  <c r="P90" i="10"/>
  <c r="AH90" i="10"/>
  <c r="BB90" i="10"/>
  <c r="AS90" i="10"/>
  <c r="AP90" i="10"/>
  <c r="BR90" i="10"/>
  <c r="S90" i="10"/>
  <c r="BS90" i="10"/>
  <c r="AM90" i="10"/>
  <c r="O90" i="10"/>
  <c r="AK90" i="10"/>
  <c r="L90" i="10"/>
  <c r="AB90" i="10"/>
  <c r="W90" i="10"/>
  <c r="BC90" i="10"/>
  <c r="BL90" i="10"/>
  <c r="M90" i="10"/>
  <c r="BK90" i="10"/>
  <c r="BT90" i="10"/>
  <c r="AQ90" i="10"/>
  <c r="BI90" i="10"/>
  <c r="H90" i="10"/>
  <c r="AG90" i="10"/>
  <c r="AC90" i="10"/>
  <c r="AA90" i="10"/>
  <c r="BQ97" i="10"/>
  <c r="AE97" i="10"/>
  <c r="M97" i="10"/>
  <c r="AP97" i="10"/>
  <c r="S97" i="10"/>
  <c r="BG97" i="10"/>
  <c r="T97" i="10"/>
  <c r="J97" i="10"/>
  <c r="BL97" i="10"/>
  <c r="AI97" i="10"/>
  <c r="U97" i="10"/>
  <c r="AK97" i="10"/>
  <c r="BB97" i="10"/>
  <c r="L97" i="10"/>
  <c r="AY97" i="10"/>
  <c r="AF97" i="10"/>
  <c r="BI97" i="10"/>
  <c r="BD97" i="10"/>
  <c r="AU97" i="10"/>
  <c r="AS97" i="10"/>
  <c r="W97" i="10"/>
  <c r="AN97" i="10"/>
  <c r="I97" i="10"/>
  <c r="BN97" i="10"/>
  <c r="AB97" i="10"/>
  <c r="N97" i="10"/>
  <c r="AC97" i="10"/>
  <c r="BC97" i="10"/>
  <c r="AO97" i="10"/>
  <c r="BT97" i="10"/>
  <c r="BB82" i="12"/>
  <c r="Z90" i="10"/>
  <c r="AQ97" i="10"/>
  <c r="AE33" i="5"/>
  <c r="P54" i="11"/>
  <c r="W54" i="11"/>
  <c r="V54" i="11"/>
  <c r="U54" i="11"/>
  <c r="AV64" i="7"/>
  <c r="AA64" i="7"/>
  <c r="AL64" i="7"/>
  <c r="X64" i="7"/>
  <c r="AT70" i="5"/>
  <c r="AB70" i="5"/>
  <c r="AA70" i="5"/>
  <c r="T70" i="5"/>
  <c r="AU70" i="5"/>
  <c r="P70" i="5"/>
  <c r="AI70" i="5"/>
  <c r="AM70" i="5"/>
  <c r="AQ70" i="5"/>
  <c r="O70" i="5"/>
  <c r="BB85" i="7"/>
  <c r="BG85" i="7"/>
  <c r="S85" i="7"/>
  <c r="BT85" i="7"/>
  <c r="BC85" i="7"/>
  <c r="AX85" i="7"/>
  <c r="BF85" i="7"/>
  <c r="AV85" i="7"/>
  <c r="AP85" i="7"/>
  <c r="W85" i="7"/>
  <c r="AB85" i="7"/>
  <c r="K85" i="7"/>
  <c r="AC85" i="7"/>
  <c r="AA85" i="7"/>
  <c r="AJ85" i="7"/>
  <c r="BM85" i="7"/>
  <c r="BI85" i="7"/>
  <c r="BD85" i="7"/>
  <c r="AD85" i="7"/>
  <c r="AV89" i="11"/>
  <c r="AK89" i="11"/>
  <c r="BS89" i="11"/>
  <c r="AM89" i="11"/>
  <c r="Q89" i="11"/>
  <c r="AQ89" i="11"/>
  <c r="BT89" i="11"/>
  <c r="BK89" i="11"/>
  <c r="H89" i="11"/>
  <c r="T89" i="11"/>
  <c r="BO89" i="11"/>
  <c r="AE70" i="5"/>
  <c r="T57" i="12"/>
  <c r="BC64" i="7"/>
  <c r="AR85" i="7"/>
  <c r="AF90" i="10"/>
  <c r="F74" i="2"/>
  <c r="AF101" i="7"/>
  <c r="BM101" i="7"/>
  <c r="AK101" i="7"/>
  <c r="BF101" i="7"/>
  <c r="X101" i="7"/>
  <c r="AZ101" i="7"/>
  <c r="BS101" i="7"/>
  <c r="BR101" i="7"/>
  <c r="AU101" i="7"/>
  <c r="BA101" i="7"/>
  <c r="U101" i="7"/>
  <c r="J101" i="7"/>
  <c r="AE101" i="7"/>
  <c r="I101" i="7"/>
  <c r="K101" i="7"/>
  <c r="AO101" i="7"/>
  <c r="Z101" i="7"/>
  <c r="AC101" i="7"/>
  <c r="AV101" i="7"/>
  <c r="AB101" i="7"/>
  <c r="H101" i="7"/>
  <c r="AQ101" i="7"/>
  <c r="AG101" i="7"/>
  <c r="T101" i="7"/>
  <c r="BO101" i="7"/>
  <c r="AT101" i="7"/>
  <c r="AY101" i="7"/>
  <c r="BJ101" i="7"/>
  <c r="AP101" i="7"/>
  <c r="BB101" i="7"/>
  <c r="BC101" i="7"/>
  <c r="AJ101" i="7"/>
  <c r="BN101" i="7"/>
  <c r="AN70" i="5"/>
  <c r="X70" i="5"/>
  <c r="T88" i="11"/>
  <c r="AO82" i="12"/>
  <c r="AD89" i="7"/>
  <c r="V88" i="7"/>
  <c r="AR88" i="7"/>
  <c r="K88" i="7"/>
  <c r="AF88" i="7"/>
  <c r="O88" i="7"/>
  <c r="BN88" i="7"/>
  <c r="AD88" i="7"/>
  <c r="AA88" i="7"/>
  <c r="W88" i="7"/>
  <c r="Y88" i="7"/>
  <c r="AI88" i="7"/>
  <c r="BE88" i="7"/>
  <c r="AY88" i="7"/>
  <c r="AU88" i="7"/>
  <c r="M88" i="7"/>
  <c r="S88" i="7"/>
  <c r="BQ88" i="7"/>
  <c r="AM88" i="7"/>
  <c r="U88" i="7"/>
  <c r="P88" i="7"/>
  <c r="BB88" i="7"/>
  <c r="AJ88" i="7"/>
  <c r="BK88" i="7"/>
  <c r="N88" i="7"/>
  <c r="BA64" i="7"/>
  <c r="AS57" i="12"/>
  <c r="AZ64" i="7"/>
  <c r="BS82" i="7"/>
  <c r="AP82" i="7"/>
  <c r="AS85" i="7"/>
  <c r="AF82" i="12"/>
  <c r="J90" i="10"/>
  <c r="AA89" i="7"/>
  <c r="BF83" i="7"/>
  <c r="Y83" i="7"/>
  <c r="AQ83" i="7"/>
  <c r="AY83" i="7"/>
  <c r="AB83" i="7"/>
  <c r="AR83" i="7"/>
  <c r="BB83" i="7"/>
  <c r="AA83" i="7"/>
  <c r="K83" i="7"/>
  <c r="AU83" i="7"/>
  <c r="AS83" i="7"/>
  <c r="I83" i="7"/>
  <c r="BL83" i="7"/>
  <c r="P83" i="7"/>
  <c r="BS83" i="7"/>
  <c r="BQ83" i="7"/>
  <c r="AK83" i="7"/>
  <c r="S83" i="7"/>
  <c r="AW83" i="7"/>
  <c r="AI83" i="7"/>
  <c r="AL83" i="7"/>
  <c r="BK83" i="7"/>
  <c r="V83" i="7"/>
  <c r="AD83" i="7"/>
  <c r="BO84" i="10"/>
  <c r="BA84" i="10"/>
  <c r="BF84" i="10"/>
  <c r="AV84" i="10"/>
  <c r="BH84" i="10"/>
  <c r="K84" i="10"/>
  <c r="O84" i="10"/>
  <c r="X84" i="10"/>
  <c r="AL84" i="10"/>
  <c r="Y84" i="10"/>
  <c r="BG84" i="10"/>
  <c r="I84" i="10"/>
  <c r="U84" i="10"/>
  <c r="AB84" i="10"/>
  <c r="P84" i="10"/>
  <c r="BL84" i="10"/>
  <c r="BJ84" i="10"/>
  <c r="AY84" i="10"/>
  <c r="AJ84" i="10"/>
  <c r="Q84" i="10"/>
  <c r="BP84" i="10"/>
  <c r="AL82" i="11"/>
  <c r="AN82" i="11"/>
  <c r="AX82" i="11"/>
  <c r="AD82" i="11"/>
  <c r="Z82" i="11"/>
  <c r="BC82" i="11"/>
  <c r="Q82" i="11"/>
  <c r="S82" i="11"/>
  <c r="AV82" i="11"/>
  <c r="N82" i="11"/>
  <c r="AK82" i="11"/>
  <c r="AS82" i="11"/>
  <c r="AR82" i="11"/>
  <c r="AG82" i="11"/>
  <c r="AO82" i="11"/>
  <c r="AH82" i="11"/>
  <c r="BS82" i="11"/>
  <c r="BE82" i="11"/>
  <c r="R82" i="11"/>
  <c r="AZ82" i="11"/>
  <c r="BN82" i="11"/>
  <c r="Y82" i="11"/>
  <c r="BH82" i="11"/>
  <c r="AU82" i="11"/>
  <c r="BP82" i="11"/>
  <c r="AM82" i="11"/>
  <c r="AI82" i="11"/>
  <c r="BJ82" i="11"/>
  <c r="BL82" i="11"/>
  <c r="V82" i="11"/>
  <c r="AC82" i="11"/>
  <c r="AB82" i="11"/>
  <c r="BR82" i="11"/>
  <c r="AY82" i="11"/>
  <c r="U82" i="11"/>
  <c r="L91" i="10"/>
  <c r="K91" i="10"/>
  <c r="Y91" i="10"/>
  <c r="H91" i="10"/>
  <c r="AD70" i="5"/>
  <c r="L89" i="7"/>
  <c r="V84" i="10"/>
  <c r="BA90" i="10"/>
  <c r="AX101" i="7"/>
  <c r="AP82" i="11"/>
  <c r="W38" i="5"/>
  <c r="AG82" i="12"/>
  <c r="N85" i="7"/>
  <c r="V80" i="12"/>
  <c r="Y85" i="7"/>
  <c r="L82" i="11"/>
  <c r="O65" i="7"/>
  <c r="S65" i="7"/>
  <c r="BP22" i="5"/>
  <c r="K22" i="5"/>
  <c r="BQ22" i="5"/>
  <c r="BR22" i="5"/>
  <c r="AZ85" i="7"/>
  <c r="AH93" i="11"/>
  <c r="AQ93" i="11"/>
  <c r="BR93" i="11"/>
  <c r="BJ93" i="11"/>
  <c r="Z93" i="11"/>
  <c r="K93" i="11"/>
  <c r="Q93" i="11"/>
  <c r="AG93" i="11"/>
  <c r="AT93" i="11"/>
  <c r="AZ93" i="11"/>
  <c r="BD93" i="11"/>
  <c r="AR93" i="11"/>
  <c r="T93" i="11"/>
  <c r="X93" i="11"/>
  <c r="AX93" i="11"/>
  <c r="BI93" i="11"/>
  <c r="BM93" i="11"/>
  <c r="AM93" i="11"/>
  <c r="R93" i="11"/>
  <c r="BK93" i="11"/>
  <c r="AI93" i="11"/>
  <c r="W93" i="11"/>
  <c r="BB93" i="11"/>
  <c r="AV93" i="11"/>
  <c r="AO93" i="11"/>
  <c r="I93" i="11"/>
  <c r="AE93" i="11"/>
  <c r="BS93" i="11"/>
  <c r="V93" i="11"/>
  <c r="Y93" i="11"/>
  <c r="AS93" i="11"/>
  <c r="O93" i="11"/>
  <c r="BT93" i="11"/>
  <c r="AP93" i="11"/>
  <c r="AA96" i="7"/>
  <c r="BR96" i="7"/>
  <c r="AH96" i="7"/>
  <c r="AE96" i="7"/>
  <c r="AV96" i="7"/>
  <c r="BC96" i="7"/>
  <c r="R96" i="7"/>
  <c r="O96" i="7"/>
  <c r="AC96" i="7"/>
  <c r="Y96" i="7"/>
  <c r="AX96" i="7"/>
  <c r="AY96" i="7"/>
  <c r="AF96" i="7"/>
  <c r="J96" i="7"/>
  <c r="S96" i="7"/>
  <c r="AJ96" i="7"/>
  <c r="AZ96" i="7"/>
  <c r="BK96" i="7"/>
  <c r="W96" i="7"/>
  <c r="AO96" i="7"/>
  <c r="BM96" i="7"/>
  <c r="H96" i="7"/>
  <c r="AU96" i="7"/>
  <c r="BH96" i="7"/>
  <c r="T96" i="7"/>
  <c r="AI96" i="7"/>
  <c r="AM96" i="7"/>
  <c r="BF96" i="7"/>
  <c r="K96" i="7"/>
  <c r="Q96" i="7"/>
  <c r="AL96" i="7"/>
  <c r="BI96" i="7"/>
  <c r="AP96" i="7"/>
  <c r="AT96" i="7"/>
  <c r="X96" i="7"/>
  <c r="BE96" i="7"/>
  <c r="AR96" i="7"/>
  <c r="BL96" i="7"/>
  <c r="AW96" i="7"/>
  <c r="AN96" i="7"/>
  <c r="Z96" i="7"/>
  <c r="BS96" i="7"/>
  <c r="BO96" i="7"/>
  <c r="BB96" i="7"/>
  <c r="I96" i="7"/>
  <c r="BD96" i="7"/>
  <c r="AQ96" i="7"/>
  <c r="U96" i="7"/>
  <c r="AK96" i="7"/>
  <c r="AG65" i="7"/>
  <c r="AI38" i="5"/>
  <c r="AR88" i="11"/>
  <c r="AK88" i="7"/>
  <c r="Z82" i="12"/>
  <c r="J84" i="10"/>
  <c r="BG80" i="12"/>
  <c r="AQ102" i="7"/>
  <c r="AZ93" i="12"/>
  <c r="BG97" i="12"/>
  <c r="T92" i="7"/>
  <c r="AX38" i="5"/>
  <c r="AR77" i="5"/>
  <c r="P77" i="5"/>
  <c r="Z77" i="5"/>
  <c r="BP77" i="5"/>
  <c r="AL77" i="5"/>
  <c r="U77" i="5"/>
  <c r="BK77" i="5"/>
  <c r="U81" i="7"/>
  <c r="BL81" i="7"/>
  <c r="AX81" i="7"/>
  <c r="AA81" i="7"/>
  <c r="AK81" i="7"/>
  <c r="AH81" i="7"/>
  <c r="BN81" i="7"/>
  <c r="Q81" i="7"/>
  <c r="BI81" i="7"/>
  <c r="BF81" i="7"/>
  <c r="BA81" i="7"/>
  <c r="AR81" i="7"/>
  <c r="AU81" i="7"/>
  <c r="AB81" i="7"/>
  <c r="BP81" i="7"/>
  <c r="AQ81" i="7"/>
  <c r="K81" i="7"/>
  <c r="AN38" i="5"/>
  <c r="AO77" i="5"/>
  <c r="X65" i="7"/>
  <c r="AG77" i="5"/>
  <c r="AK85" i="7"/>
  <c r="AD88" i="11"/>
  <c r="BQ85" i="7"/>
  <c r="BS88" i="7"/>
  <c r="I81" i="10"/>
  <c r="Q82" i="12"/>
  <c r="AR82" i="12"/>
  <c r="BB84" i="10"/>
  <c r="AW90" i="10"/>
  <c r="X88" i="7"/>
  <c r="AN82" i="10"/>
  <c r="AH88" i="12"/>
  <c r="W101" i="7"/>
  <c r="BR83" i="7"/>
  <c r="X33" i="5"/>
  <c r="BA97" i="10"/>
  <c r="BN93" i="11"/>
  <c r="AJ82" i="11"/>
  <c r="M93" i="12"/>
  <c r="AC97" i="12"/>
  <c r="AA84" i="12"/>
  <c r="AW92" i="7"/>
  <c r="L96" i="7"/>
  <c r="AG96" i="7"/>
  <c r="BD86" i="7"/>
  <c r="Q86" i="7"/>
  <c r="AC86" i="7"/>
  <c r="AB86" i="7"/>
  <c r="AV86" i="7"/>
  <c r="BA86" i="7"/>
  <c r="AA86" i="7"/>
  <c r="AN86" i="7"/>
  <c r="BF86" i="7"/>
  <c r="N86" i="7"/>
  <c r="BP86" i="7"/>
  <c r="AR86" i="7"/>
  <c r="L86" i="7"/>
  <c r="AY80" i="12"/>
  <c r="AM80" i="12"/>
  <c r="BM80" i="12"/>
  <c r="O80" i="12"/>
  <c r="BA80" i="12"/>
  <c r="H80" i="12"/>
  <c r="K80" i="12"/>
  <c r="AH80" i="12"/>
  <c r="BE80" i="12"/>
  <c r="BP80" i="12"/>
  <c r="AK80" i="12"/>
  <c r="AJ80" i="12"/>
  <c r="AD80" i="12"/>
  <c r="AU80" i="12"/>
  <c r="U80" i="12"/>
  <c r="BI80" i="12"/>
  <c r="AZ80" i="12"/>
  <c r="Q80" i="12"/>
  <c r="I82" i="12"/>
  <c r="BG90" i="10"/>
  <c r="AX82" i="12"/>
  <c r="AH60" i="7"/>
  <c r="AM60" i="7"/>
  <c r="AY60" i="7"/>
  <c r="AE60" i="7"/>
  <c r="BA60" i="7"/>
  <c r="AT60" i="7"/>
  <c r="BB60" i="7"/>
  <c r="AU60" i="7"/>
  <c r="AQ60" i="7"/>
  <c r="AK57" i="12"/>
  <c r="AC57" i="12"/>
  <c r="AO57" i="12"/>
  <c r="Y57" i="12"/>
  <c r="U57" i="12"/>
  <c r="AN57" i="12"/>
  <c r="AQ57" i="12"/>
  <c r="P57" i="12"/>
  <c r="AU57" i="12"/>
  <c r="X57" i="12"/>
  <c r="S57" i="12"/>
  <c r="BT102" i="7"/>
  <c r="AO102" i="7"/>
  <c r="AZ102" i="7"/>
  <c r="AE102" i="7"/>
  <c r="BL102" i="7"/>
  <c r="AF102" i="7"/>
  <c r="AU102" i="7"/>
  <c r="AM102" i="7"/>
  <c r="BQ102" i="7"/>
  <c r="AP102" i="7"/>
  <c r="AV102" i="7"/>
  <c r="AG102" i="7"/>
  <c r="BS102" i="7"/>
  <c r="AV88" i="11"/>
  <c r="BJ88" i="11"/>
  <c r="AS88" i="11"/>
  <c r="H88" i="11"/>
  <c r="N88" i="11"/>
  <c r="AG88" i="11"/>
  <c r="AN88" i="11"/>
  <c r="AO88" i="11"/>
  <c r="AT88" i="11"/>
  <c r="Q88" i="11"/>
  <c r="AX88" i="11"/>
  <c r="AP88" i="11"/>
  <c r="AM88" i="11"/>
  <c r="V88" i="11"/>
  <c r="BN88" i="11"/>
  <c r="AU88" i="11"/>
  <c r="AA88" i="11"/>
  <c r="AJ88" i="11"/>
  <c r="AE88" i="11"/>
  <c r="BC88" i="11"/>
  <c r="BT88" i="11"/>
  <c r="AC88" i="11"/>
  <c r="BR88" i="11"/>
  <c r="BS88" i="11"/>
  <c r="BO88" i="11"/>
  <c r="BA88" i="11"/>
  <c r="AZ88" i="11"/>
  <c r="Z88" i="11"/>
  <c r="R88" i="11"/>
  <c r="AL88" i="11"/>
  <c r="BF88" i="11"/>
  <c r="AW88" i="11"/>
  <c r="X88" i="11"/>
  <c r="AO70" i="5"/>
  <c r="AH57" i="12"/>
  <c r="AX60" i="7"/>
  <c r="AH88" i="11"/>
  <c r="AI82" i="12"/>
  <c r="BS85" i="7"/>
  <c r="AO85" i="7"/>
  <c r="H86" i="7"/>
  <c r="J88" i="11"/>
  <c r="BR82" i="7"/>
  <c r="Y82" i="7"/>
  <c r="Z82" i="7"/>
  <c r="P82" i="7"/>
  <c r="AT82" i="7"/>
  <c r="AB82" i="7"/>
  <c r="BN82" i="7"/>
  <c r="H82" i="7"/>
  <c r="N82" i="7"/>
  <c r="AQ82" i="7"/>
  <c r="W82" i="7"/>
  <c r="L82" i="7"/>
  <c r="BE82" i="7"/>
  <c r="BD82" i="7"/>
  <c r="BT82" i="7"/>
  <c r="AZ82" i="7"/>
  <c r="BI82" i="7"/>
  <c r="AM82" i="7"/>
  <c r="BM82" i="7"/>
  <c r="AO82" i="7"/>
  <c r="R82" i="7"/>
  <c r="AE82" i="7"/>
  <c r="AF82" i="7"/>
  <c r="K82" i="7"/>
  <c r="AK82" i="7"/>
  <c r="AY82" i="7"/>
  <c r="AD60" i="7"/>
  <c r="W88" i="11"/>
  <c r="BC82" i="7"/>
  <c r="Z85" i="7"/>
  <c r="AJ86" i="7"/>
  <c r="BJ86" i="7"/>
  <c r="BQ90" i="10"/>
  <c r="AX97" i="10"/>
  <c r="BE97" i="12"/>
  <c r="BA92" i="7"/>
  <c r="J92" i="7"/>
  <c r="BM92" i="7"/>
  <c r="BC92" i="7"/>
  <c r="AB92" i="7"/>
  <c r="AU92" i="7"/>
  <c r="AF92" i="7"/>
  <c r="AI92" i="7"/>
  <c r="H92" i="7"/>
  <c r="AN92" i="7"/>
  <c r="AO92" i="7"/>
  <c r="BO92" i="7"/>
  <c r="AP92" i="7"/>
  <c r="AX92" i="7"/>
  <c r="O92" i="7"/>
  <c r="U92" i="7"/>
  <c r="BF92" i="7"/>
  <c r="BK92" i="7"/>
  <c r="BQ92" i="7"/>
  <c r="X92" i="7"/>
  <c r="BR92" i="7"/>
  <c r="BG92" i="7"/>
  <c r="BN92" i="7"/>
  <c r="AG92" i="7"/>
  <c r="BP92" i="7"/>
  <c r="P92" i="7"/>
  <c r="BS92" i="7"/>
  <c r="R92" i="7"/>
  <c r="BD92" i="7"/>
  <c r="BL92" i="7"/>
  <c r="W92" i="7"/>
  <c r="AR92" i="7"/>
  <c r="BH92" i="7"/>
  <c r="L92" i="7"/>
  <c r="AD92" i="7"/>
  <c r="K92" i="7"/>
  <c r="Z92" i="7"/>
  <c r="AZ92" i="7"/>
  <c r="BI92" i="7"/>
  <c r="BJ92" i="7"/>
  <c r="BB92" i="7"/>
  <c r="AJ92" i="7"/>
  <c r="S92" i="7"/>
  <c r="AE92" i="7"/>
  <c r="Q92" i="7"/>
  <c r="AC92" i="7"/>
  <c r="AH92" i="7"/>
  <c r="AA92" i="7"/>
  <c r="BT92" i="7"/>
  <c r="R70" i="5"/>
  <c r="X60" i="7"/>
  <c r="AK88" i="11"/>
  <c r="P88" i="11"/>
  <c r="O82" i="12"/>
  <c r="BJ89" i="7"/>
  <c r="AT88" i="7"/>
  <c r="U90" i="10"/>
  <c r="R101" i="7"/>
  <c r="BO97" i="10"/>
  <c r="U97" i="12"/>
  <c r="AI88" i="10"/>
  <c r="BO88" i="10"/>
  <c r="Q88" i="10"/>
  <c r="BS88" i="10"/>
  <c r="BC88" i="10"/>
  <c r="J88" i="10"/>
  <c r="BT88" i="10"/>
  <c r="AR88" i="10"/>
  <c r="BQ88" i="10"/>
  <c r="L88" i="10"/>
  <c r="M88" i="10"/>
  <c r="AU88" i="10"/>
  <c r="AZ88" i="10"/>
  <c r="H88" i="10"/>
  <c r="AH88" i="10"/>
  <c r="Z88" i="10"/>
  <c r="W88" i="10"/>
  <c r="AW88" i="10"/>
  <c r="BR88" i="10"/>
  <c r="AD88" i="10"/>
  <c r="O88" i="10"/>
  <c r="AM88" i="10"/>
  <c r="BM88" i="10"/>
  <c r="BJ89" i="10"/>
  <c r="AB89" i="10"/>
  <c r="BH89" i="10"/>
  <c r="AY88" i="11"/>
  <c r="BI89" i="7"/>
  <c r="U82" i="12"/>
  <c r="BA82" i="12"/>
  <c r="BN84" i="10"/>
  <c r="BC89" i="7"/>
  <c r="BM90" i="10"/>
  <c r="AM92" i="7"/>
  <c r="BT38" i="5"/>
  <c r="BH38" i="5"/>
  <c r="BE38" i="5"/>
  <c r="BO38" i="5"/>
  <c r="AB38" i="5"/>
  <c r="AS38" i="5"/>
  <c r="BD38" i="5"/>
  <c r="BC38" i="5"/>
  <c r="AG38" i="5"/>
  <c r="AR38" i="5"/>
  <c r="AQ38" i="5"/>
  <c r="AK78" i="11"/>
  <c r="AZ78" i="11"/>
  <c r="BP78" i="11"/>
  <c r="H78" i="11"/>
  <c r="AW78" i="11"/>
  <c r="AM78" i="11"/>
  <c r="AB78" i="11"/>
  <c r="BI78" i="11"/>
  <c r="AJ78" i="11"/>
  <c r="V78" i="11"/>
  <c r="AC82" i="7"/>
  <c r="AL91" i="12"/>
  <c r="J91" i="12"/>
  <c r="BK91" i="12"/>
  <c r="BP91" i="12"/>
  <c r="AR91" i="12"/>
  <c r="V91" i="12"/>
  <c r="AT91" i="12"/>
  <c r="AJ91" i="12"/>
  <c r="BE91" i="12"/>
  <c r="W91" i="12"/>
  <c r="AP91" i="12"/>
  <c r="AH93" i="12"/>
  <c r="AV93" i="12"/>
  <c r="BI93" i="12"/>
  <c r="BQ93" i="12"/>
  <c r="BM93" i="12"/>
  <c r="L93" i="12"/>
  <c r="BA93" i="12"/>
  <c r="AE93" i="12"/>
  <c r="AQ93" i="12"/>
  <c r="AF93" i="12"/>
  <c r="AT93" i="12"/>
  <c r="AS93" i="12"/>
  <c r="Z93" i="12"/>
  <c r="AA93" i="12"/>
  <c r="AJ93" i="12"/>
  <c r="AP93" i="12"/>
  <c r="AX93" i="12"/>
  <c r="N93" i="12"/>
  <c r="Y93" i="12"/>
  <c r="BO93" i="12"/>
  <c r="AR93" i="12"/>
  <c r="BE93" i="12"/>
  <c r="O93" i="12"/>
  <c r="R93" i="12"/>
  <c r="X93" i="12"/>
  <c r="AD93" i="12"/>
  <c r="AM93" i="12"/>
  <c r="AB93" i="12"/>
  <c r="BK93" i="12"/>
  <c r="AW93" i="12"/>
  <c r="BH93" i="12"/>
  <c r="AY93" i="12"/>
  <c r="AK93" i="12"/>
  <c r="BN93" i="12"/>
  <c r="AC93" i="12"/>
  <c r="BD93" i="12"/>
  <c r="AU93" i="12"/>
  <c r="AI93" i="12"/>
  <c r="AL93" i="12"/>
  <c r="K93" i="12"/>
  <c r="BS93" i="12"/>
  <c r="BR93" i="12"/>
  <c r="BP93" i="12"/>
  <c r="BB93" i="12"/>
  <c r="I93" i="12"/>
  <c r="AO93" i="12"/>
  <c r="T93" i="12"/>
  <c r="V93" i="12"/>
  <c r="AL85" i="7"/>
  <c r="BR85" i="7"/>
  <c r="BJ88" i="10"/>
  <c r="AP70" i="5"/>
  <c r="Q54" i="11"/>
  <c r="AT89" i="7"/>
  <c r="AD78" i="11"/>
  <c r="BQ88" i="11"/>
  <c r="BL88" i="7"/>
  <c r="L82" i="12"/>
  <c r="AY90" i="10"/>
  <c r="N83" i="7"/>
  <c r="BD102" i="7"/>
  <c r="BF93" i="12"/>
  <c r="L97" i="12"/>
  <c r="BS75" i="5"/>
  <c r="BO75" i="5"/>
  <c r="AH75" i="5"/>
  <c r="BK75" i="5"/>
  <c r="BL75" i="5"/>
  <c r="O75" i="5"/>
  <c r="M75" i="5"/>
  <c r="H75" i="5"/>
  <c r="AJ75" i="5"/>
  <c r="R75" i="5"/>
  <c r="BE75" i="5"/>
  <c r="BM75" i="5"/>
  <c r="BT75" i="5"/>
  <c r="BQ75" i="5"/>
  <c r="AG75" i="5"/>
  <c r="BJ75" i="5"/>
  <c r="L75" i="5"/>
  <c r="K75" i="5"/>
  <c r="BQ61" i="10"/>
  <c r="AY61" i="10"/>
  <c r="AR61" i="10"/>
  <c r="BO61" i="10"/>
  <c r="AJ78" i="10"/>
  <c r="AC78" i="10"/>
  <c r="AX78" i="10"/>
  <c r="AB78" i="10"/>
  <c r="AG78" i="10"/>
  <c r="AM78" i="10"/>
  <c r="R78" i="10"/>
  <c r="BK78" i="10"/>
  <c r="AN78" i="10"/>
  <c r="BG78" i="10"/>
  <c r="H78" i="10"/>
  <c r="AL78" i="10"/>
  <c r="AU78" i="10"/>
  <c r="AQ78" i="10"/>
  <c r="BE78" i="10"/>
  <c r="P78" i="10"/>
  <c r="L78" i="10"/>
  <c r="AO78" i="10"/>
  <c r="BP78" i="10"/>
  <c r="O78" i="10"/>
  <c r="BL78" i="10"/>
  <c r="AD78" i="10"/>
  <c r="AV78" i="10"/>
  <c r="AP78" i="10"/>
  <c r="AS78" i="10"/>
  <c r="Z78" i="10"/>
  <c r="BS78" i="10"/>
  <c r="AR78" i="10"/>
  <c r="I78" i="10"/>
  <c r="AF78" i="10"/>
  <c r="BT78" i="10"/>
  <c r="AH78" i="10"/>
  <c r="BI78" i="10"/>
  <c r="BO78" i="10"/>
  <c r="K78" i="10"/>
  <c r="W78" i="10"/>
  <c r="BH78" i="10"/>
  <c r="BN78" i="10"/>
  <c r="BD78" i="10"/>
  <c r="J78" i="10"/>
  <c r="M78" i="10"/>
  <c r="X78" i="10"/>
  <c r="BC78" i="10"/>
  <c r="AI78" i="10"/>
  <c r="T78" i="10"/>
  <c r="AP57" i="12"/>
  <c r="AS70" i="5"/>
  <c r="BB50" i="10"/>
  <c r="BF81" i="10"/>
  <c r="AN82" i="12"/>
  <c r="AH88" i="7"/>
  <c r="AO90" i="10"/>
  <c r="AO82" i="10"/>
  <c r="AN101" i="7"/>
  <c r="W83" i="7"/>
  <c r="AJ93" i="11"/>
  <c r="BI82" i="11"/>
  <c r="BJ93" i="12"/>
  <c r="S97" i="12"/>
  <c r="AT92" i="7"/>
  <c r="BN96" i="7"/>
  <c r="AZ38" i="5"/>
  <c r="J75" i="5"/>
  <c r="AB77" i="5"/>
  <c r="J38" i="5"/>
  <c r="BA50" i="10"/>
  <c r="BN77" i="5"/>
  <c r="AN60" i="7"/>
  <c r="O61" i="10"/>
  <c r="AS77" i="5"/>
  <c r="AA38" i="5"/>
  <c r="I85" i="7"/>
  <c r="T88" i="7"/>
  <c r="S78" i="11"/>
  <c r="Z89" i="7"/>
  <c r="BM88" i="11"/>
  <c r="BE88" i="11"/>
  <c r="H89" i="7"/>
  <c r="AG85" i="7"/>
  <c r="X82" i="7"/>
  <c r="Q82" i="7"/>
  <c r="AL82" i="12"/>
  <c r="R82" i="12"/>
  <c r="I88" i="7"/>
  <c r="BI88" i="7"/>
  <c r="AK84" i="10"/>
  <c r="AH85" i="7"/>
  <c r="AQ88" i="7"/>
  <c r="U85" i="7"/>
  <c r="AK78" i="10"/>
  <c r="AT80" i="12"/>
  <c r="BF90" i="10"/>
  <c r="AS88" i="7"/>
  <c r="BS82" i="10"/>
  <c r="AF85" i="11"/>
  <c r="AF88" i="12"/>
  <c r="BG101" i="7"/>
  <c r="F95" i="2"/>
  <c r="AH83" i="7"/>
  <c r="AG33" i="5"/>
  <c r="BJ97" i="10"/>
  <c r="AA93" i="11"/>
  <c r="AH102" i="7"/>
  <c r="BB82" i="11"/>
  <c r="U93" i="12"/>
  <c r="BP89" i="11"/>
  <c r="AY97" i="12"/>
  <c r="AC88" i="10"/>
  <c r="BG84" i="12"/>
  <c r="AQ92" i="7"/>
  <c r="AV92" i="7"/>
  <c r="BJ96" i="7"/>
  <c r="BP96" i="7"/>
  <c r="U69" i="7"/>
  <c r="R69" i="7"/>
  <c r="Z62" i="10"/>
  <c r="T62" i="10"/>
  <c r="P69" i="7"/>
  <c r="Q69" i="7"/>
  <c r="AI83" i="12"/>
  <c r="BH83" i="12"/>
  <c r="BA83" i="12"/>
  <c r="N83" i="12"/>
  <c r="Y83" i="12"/>
  <c r="V83" i="12"/>
  <c r="BD83" i="12"/>
  <c r="AV83" i="12"/>
  <c r="BO83" i="12"/>
  <c r="T52" i="12"/>
  <c r="AT78" i="7"/>
  <c r="BD78" i="7"/>
  <c r="BA78" i="7"/>
  <c r="BQ78" i="7"/>
  <c r="AN78" i="7"/>
  <c r="AU103" i="7"/>
  <c r="X103" i="7"/>
  <c r="N103" i="7"/>
  <c r="AH103" i="7"/>
  <c r="AO103" i="7"/>
  <c r="AJ103" i="7"/>
  <c r="BE103" i="7"/>
  <c r="I103" i="7"/>
  <c r="BG103" i="7"/>
  <c r="K103" i="7"/>
  <c r="AW103" i="7"/>
  <c r="AU52" i="12"/>
  <c r="BN83" i="12"/>
  <c r="Z78" i="7"/>
  <c r="P52" i="12"/>
  <c r="AR78" i="7"/>
  <c r="U78" i="7"/>
  <c r="BS78" i="7"/>
  <c r="BK83" i="12"/>
  <c r="BI83" i="12"/>
  <c r="AE83" i="12"/>
  <c r="BG83" i="12"/>
  <c r="F77" i="2"/>
  <c r="H78" i="7"/>
  <c r="BM103" i="7"/>
  <c r="BO78" i="7"/>
  <c r="AM78" i="7"/>
  <c r="AI78" i="7"/>
  <c r="X83" i="12"/>
  <c r="AP83" i="12"/>
  <c r="AZ83" i="12"/>
  <c r="L103" i="7"/>
  <c r="N37" i="10"/>
  <c r="AH78" i="7"/>
  <c r="AZ78" i="7"/>
  <c r="Y78" i="7"/>
  <c r="BC78" i="7"/>
  <c r="Z83" i="12"/>
  <c r="AG83" i="12"/>
  <c r="O83" i="12"/>
  <c r="AJ83" i="12"/>
  <c r="BM78" i="7"/>
  <c r="AO83" i="12"/>
  <c r="F83" i="2"/>
  <c r="BT103" i="7"/>
  <c r="F71" i="2"/>
  <c r="BI100" i="11"/>
  <c r="AT100" i="11"/>
  <c r="Y100" i="11"/>
  <c r="BH100" i="11"/>
  <c r="AH100" i="11"/>
  <c r="AX100" i="11"/>
  <c r="AK100" i="11"/>
  <c r="W100" i="11"/>
  <c r="BQ100" i="11"/>
  <c r="AA100" i="11"/>
  <c r="N100" i="11"/>
  <c r="BE100" i="11"/>
  <c r="K100" i="11"/>
  <c r="AD100" i="11"/>
  <c r="AC100" i="11"/>
  <c r="AZ100" i="11"/>
  <c r="BO100" i="11"/>
  <c r="BP100" i="11"/>
  <c r="AE32" i="5"/>
  <c r="T32" i="5"/>
  <c r="S32" i="5"/>
  <c r="F97" i="2"/>
  <c r="F86" i="2"/>
  <c r="P84" i="12"/>
  <c r="BP81" i="10"/>
  <c r="P89" i="10"/>
  <c r="BO91" i="10"/>
  <c r="AX91" i="12"/>
  <c r="BR91" i="12"/>
  <c r="BQ100" i="10"/>
  <c r="AU38" i="5"/>
  <c r="BQ91" i="10"/>
  <c r="Z86" i="7"/>
  <c r="BQ87" i="11"/>
  <c r="AL87" i="11"/>
  <c r="V81" i="10"/>
  <c r="W86" i="7"/>
  <c r="AV89" i="10"/>
  <c r="M91" i="10"/>
  <c r="AC81" i="7"/>
  <c r="BC91" i="12"/>
  <c r="BR100" i="10"/>
  <c r="V52" i="12"/>
  <c r="Y52" i="12"/>
  <c r="Z80" i="7"/>
  <c r="AN88" i="12"/>
  <c r="BB88" i="12"/>
  <c r="AY88" i="12"/>
  <c r="AZ88" i="12"/>
  <c r="BP88" i="12"/>
  <c r="K88" i="12"/>
  <c r="S88" i="12"/>
  <c r="H88" i="12"/>
  <c r="L88" i="12"/>
  <c r="BF88" i="12"/>
  <c r="AB88" i="12"/>
  <c r="AO88" i="12"/>
  <c r="AQ88" i="12"/>
  <c r="AV88" i="12"/>
  <c r="AS88" i="12"/>
  <c r="W88" i="12"/>
  <c r="AC88" i="12"/>
  <c r="BM88" i="12"/>
  <c r="BJ88" i="12"/>
  <c r="P88" i="12"/>
  <c r="BA88" i="12"/>
  <c r="AX88" i="12"/>
  <c r="V88" i="12"/>
  <c r="AG88" i="12"/>
  <c r="BH88" i="12"/>
  <c r="I88" i="12"/>
  <c r="U88" i="12"/>
  <c r="BC88" i="12"/>
  <c r="BQ88" i="12"/>
  <c r="J88" i="12"/>
  <c r="AR88" i="12"/>
  <c r="BT77" i="5"/>
  <c r="N38" i="5"/>
  <c r="AQ89" i="10"/>
  <c r="BH81" i="10"/>
  <c r="N80" i="7"/>
  <c r="AT86" i="7"/>
  <c r="O86" i="7"/>
  <c r="AK89" i="10"/>
  <c r="AP80" i="7"/>
  <c r="BE88" i="12"/>
  <c r="BJ91" i="12"/>
  <c r="AB93" i="7"/>
  <c r="P100" i="10"/>
  <c r="X78" i="7"/>
  <c r="AO78" i="7"/>
  <c r="J78" i="7"/>
  <c r="AL78" i="7"/>
  <c r="AX78" i="7"/>
  <c r="AD78" i="7"/>
  <c r="BJ78" i="7"/>
  <c r="AC78" i="7"/>
  <c r="AG78" i="7"/>
  <c r="BL78" i="7"/>
  <c r="Q78" i="7"/>
  <c r="AU78" i="7"/>
  <c r="AY78" i="7"/>
  <c r="AK78" i="7"/>
  <c r="BR78" i="7"/>
  <c r="K78" i="7"/>
  <c r="M42" i="5"/>
  <c r="I42" i="5"/>
  <c r="J89" i="11"/>
  <c r="AX89" i="11"/>
  <c r="BC89" i="11"/>
  <c r="K89" i="11"/>
  <c r="BQ89" i="11"/>
  <c r="I89" i="11"/>
  <c r="AD89" i="11"/>
  <c r="BJ89" i="11"/>
  <c r="AY89" i="11"/>
  <c r="V89" i="11"/>
  <c r="P89" i="11"/>
  <c r="AP89" i="11"/>
  <c r="BG89" i="11"/>
  <c r="AS89" i="11"/>
  <c r="AE89" i="11"/>
  <c r="AI89" i="11"/>
  <c r="AG89" i="11"/>
  <c r="I102" i="7"/>
  <c r="AN102" i="7"/>
  <c r="BB102" i="7"/>
  <c r="Z102" i="7"/>
  <c r="AR102" i="7"/>
  <c r="AK102" i="7"/>
  <c r="BI102" i="7"/>
  <c r="BR102" i="7"/>
  <c r="BM102" i="7"/>
  <c r="S102" i="7"/>
  <c r="AS102" i="7"/>
  <c r="X102" i="7"/>
  <c r="AA102" i="7"/>
  <c r="BN102" i="7"/>
  <c r="T102" i="7"/>
  <c r="BC102" i="7"/>
  <c r="AT102" i="7"/>
  <c r="AW102" i="7"/>
  <c r="AL102" i="7"/>
  <c r="BE102" i="7"/>
  <c r="L102" i="7"/>
  <c r="J102" i="7"/>
  <c r="N102" i="7"/>
  <c r="BJ102" i="7"/>
  <c r="BK102" i="7"/>
  <c r="Q102" i="7"/>
  <c r="Y102" i="7"/>
  <c r="BA102" i="7"/>
  <c r="BP102" i="7"/>
  <c r="U102" i="7"/>
  <c r="O102" i="7"/>
  <c r="BG102" i="7"/>
  <c r="M102" i="7"/>
  <c r="AI77" i="5"/>
  <c r="AA52" i="12"/>
  <c r="AK38" i="5"/>
  <c r="T77" i="5"/>
  <c r="Y62" i="11"/>
  <c r="BB78" i="7"/>
  <c r="AJ81" i="7"/>
  <c r="L78" i="7"/>
  <c r="K87" i="11"/>
  <c r="AI81" i="7"/>
  <c r="F72" i="2"/>
  <c r="BO81" i="10"/>
  <c r="F80" i="2"/>
  <c r="AN81" i="7"/>
  <c r="BT86" i="7"/>
  <c r="AI91" i="10"/>
  <c r="AW81" i="7"/>
  <c r="Y81" i="7"/>
  <c r="BT89" i="10"/>
  <c r="AA91" i="10"/>
  <c r="BM80" i="7"/>
  <c r="BF80" i="7"/>
  <c r="BD88" i="12"/>
  <c r="BN91" i="12"/>
  <c r="R91" i="12"/>
  <c r="F87" i="2"/>
  <c r="H102" i="7"/>
  <c r="AJ102" i="7"/>
  <c r="T93" i="7"/>
  <c r="AT93" i="7"/>
  <c r="U89" i="11"/>
  <c r="BH89" i="11"/>
  <c r="AD100" i="10"/>
  <c r="X100" i="10"/>
  <c r="W70" i="10"/>
  <c r="AO70" i="10"/>
  <c r="AC70" i="10"/>
  <c r="AF70" i="10"/>
  <c r="O70" i="10"/>
  <c r="AR70" i="10"/>
  <c r="N70" i="10"/>
  <c r="T70" i="10"/>
  <c r="V70" i="10"/>
  <c r="T49" i="12"/>
  <c r="AQ49" i="12"/>
  <c r="AK49" i="12"/>
  <c r="AJ49" i="12"/>
  <c r="AL49" i="12"/>
  <c r="AM49" i="12"/>
  <c r="AU49" i="12"/>
  <c r="R49" i="12"/>
  <c r="AC103" i="7"/>
  <c r="BA103" i="7"/>
  <c r="AX103" i="7"/>
  <c r="P103" i="7"/>
  <c r="AN103" i="7"/>
  <c r="W103" i="7"/>
  <c r="U103" i="7"/>
  <c r="AF103" i="7"/>
  <c r="S103" i="7"/>
  <c r="R103" i="7"/>
  <c r="AP103" i="7"/>
  <c r="BN103" i="7"/>
  <c r="BI103" i="7"/>
  <c r="H103" i="7"/>
  <c r="AS103" i="7"/>
  <c r="BD103" i="7"/>
  <c r="AQ103" i="7"/>
  <c r="BO103" i="7"/>
  <c r="BR103" i="7"/>
  <c r="Q103" i="7"/>
  <c r="Z103" i="7"/>
  <c r="AY103" i="7"/>
  <c r="BH103" i="7"/>
  <c r="AL103" i="7"/>
  <c r="T103" i="7"/>
  <c r="BQ103" i="7"/>
  <c r="BJ103" i="7"/>
  <c r="O103" i="7"/>
  <c r="BL103" i="7"/>
  <c r="AI103" i="7"/>
  <c r="M103" i="7"/>
  <c r="AG103" i="7"/>
  <c r="BS103" i="7"/>
  <c r="AD103" i="7"/>
  <c r="AK103" i="7"/>
  <c r="BC103" i="7"/>
  <c r="AR85" i="11"/>
  <c r="R85" i="11"/>
  <c r="AO85" i="11"/>
  <c r="T85" i="11"/>
  <c r="AX85" i="11"/>
  <c r="BC85" i="11"/>
  <c r="X85" i="11"/>
  <c r="AB85" i="11"/>
  <c r="BK85" i="11"/>
  <c r="AA85" i="11"/>
  <c r="AS85" i="11"/>
  <c r="AZ85" i="11"/>
  <c r="V85" i="11"/>
  <c r="BS85" i="11"/>
  <c r="AU85" i="11"/>
  <c r="K85" i="11"/>
  <c r="BR85" i="11"/>
  <c r="Z85" i="11"/>
  <c r="Y85" i="11"/>
  <c r="AY85" i="11"/>
  <c r="BJ85" i="11"/>
  <c r="U85" i="11"/>
  <c r="AM85" i="11"/>
  <c r="BA85" i="11"/>
  <c r="AI85" i="11"/>
  <c r="BE85" i="11"/>
  <c r="J85" i="11"/>
  <c r="BM85" i="11"/>
  <c r="AK85" i="11"/>
  <c r="AV85" i="11"/>
  <c r="AW85" i="11"/>
  <c r="S85" i="11"/>
  <c r="M85" i="11"/>
  <c r="BJ80" i="12"/>
  <c r="S80" i="12"/>
  <c r="AX80" i="12"/>
  <c r="BB80" i="12"/>
  <c r="AW80" i="12"/>
  <c r="X80" i="12"/>
  <c r="P80" i="12"/>
  <c r="AE80" i="12"/>
  <c r="M80" i="12"/>
  <c r="BH80" i="12"/>
  <c r="AS80" i="12"/>
  <c r="Z80" i="12"/>
  <c r="BK80" i="12"/>
  <c r="I80" i="12"/>
  <c r="AL80" i="12"/>
  <c r="J80" i="12"/>
  <c r="AO80" i="12"/>
  <c r="AQ80" i="12"/>
  <c r="T80" i="12"/>
  <c r="AG80" i="12"/>
  <c r="N80" i="12"/>
  <c r="AV80" i="12"/>
  <c r="BO80" i="12"/>
  <c r="AI80" i="12"/>
  <c r="AA80" i="12"/>
  <c r="AP80" i="12"/>
  <c r="AN80" i="12"/>
  <c r="Y80" i="12"/>
  <c r="AC80" i="12"/>
  <c r="AB80" i="12"/>
  <c r="W80" i="12"/>
  <c r="BL80" i="12"/>
  <c r="R70" i="10"/>
  <c r="Y70" i="10"/>
  <c r="AU77" i="5"/>
  <c r="AL49" i="5"/>
  <c r="BN38" i="5"/>
  <c r="M77" i="5"/>
  <c r="AW38" i="5"/>
  <c r="AF77" i="5"/>
  <c r="AL38" i="5"/>
  <c r="AF89" i="10"/>
  <c r="AO80" i="7"/>
  <c r="BE81" i="7"/>
  <c r="BG78" i="7"/>
  <c r="W87" i="11"/>
  <c r="BG87" i="11"/>
  <c r="N87" i="11"/>
  <c r="BR80" i="7"/>
  <c r="AY81" i="10"/>
  <c r="BM81" i="7"/>
  <c r="AV78" i="7"/>
  <c r="BO86" i="7"/>
  <c r="BL91" i="10"/>
  <c r="BT80" i="7"/>
  <c r="BQ80" i="12"/>
  <c r="AF80" i="12"/>
  <c r="R80" i="12"/>
  <c r="AZ89" i="10"/>
  <c r="AK91" i="10"/>
  <c r="AW86" i="7"/>
  <c r="AL85" i="11"/>
  <c r="BO85" i="11"/>
  <c r="BN85" i="11"/>
  <c r="AA88" i="12"/>
  <c r="AE88" i="12"/>
  <c r="X88" i="12"/>
  <c r="AK91" i="12"/>
  <c r="Y91" i="12"/>
  <c r="AG91" i="12"/>
  <c r="BO102" i="7"/>
  <c r="K102" i="7"/>
  <c r="AC102" i="7"/>
  <c r="O93" i="7"/>
  <c r="AO93" i="7"/>
  <c r="AB89" i="11"/>
  <c r="BF89" i="11"/>
  <c r="BO100" i="10"/>
  <c r="BH100" i="10"/>
  <c r="BF103" i="7"/>
  <c r="J103" i="7"/>
  <c r="Y103" i="7"/>
  <c r="AI60" i="10"/>
  <c r="AS60" i="10"/>
  <c r="AQ60" i="10"/>
  <c r="AP60" i="10"/>
  <c r="AH40" i="10"/>
  <c r="AI40" i="10"/>
  <c r="AX40" i="10"/>
  <c r="AE40" i="10"/>
  <c r="AH69" i="10"/>
  <c r="AA69" i="10"/>
  <c r="AI69" i="10"/>
  <c r="AQ69" i="10"/>
  <c r="V69" i="10"/>
  <c r="AB69" i="10"/>
  <c r="AS69" i="10"/>
  <c r="O69" i="10"/>
  <c r="X69" i="10"/>
  <c r="AJ69" i="10"/>
  <c r="AO69" i="10"/>
  <c r="AD32" i="5"/>
  <c r="R32" i="5"/>
  <c r="AN32" i="5"/>
  <c r="AL32" i="5"/>
  <c r="AR32" i="5"/>
  <c r="AO32" i="5"/>
  <c r="AD102" i="7"/>
  <c r="AZ83" i="7"/>
  <c r="AM83" i="7"/>
  <c r="AP83" i="7"/>
  <c r="Z83" i="7"/>
  <c r="R83" i="7"/>
  <c r="BD83" i="7"/>
  <c r="M83" i="7"/>
  <c r="AC83" i="7"/>
  <c r="AJ83" i="7"/>
  <c r="Q83" i="7"/>
  <c r="U83" i="7"/>
  <c r="BE83" i="7"/>
  <c r="AO83" i="7"/>
  <c r="BT83" i="7"/>
  <c r="T83" i="7"/>
  <c r="BC83" i="7"/>
  <c r="X83" i="7"/>
  <c r="AG83" i="7"/>
  <c r="BM83" i="7"/>
  <c r="AX83" i="7"/>
  <c r="BO83" i="7"/>
  <c r="AN83" i="7"/>
  <c r="AV83" i="7"/>
  <c r="BP83" i="7"/>
  <c r="BJ83" i="7"/>
  <c r="BA83" i="7"/>
  <c r="BH83" i="7"/>
  <c r="AT83" i="7"/>
  <c r="J83" i="7"/>
  <c r="BG83" i="7"/>
  <c r="L83" i="7"/>
  <c r="BI83" i="7"/>
  <c r="AE83" i="7"/>
  <c r="BN83" i="7"/>
  <c r="V87" i="11"/>
  <c r="L89" i="10"/>
  <c r="X89" i="10"/>
  <c r="AL89" i="10"/>
  <c r="AI89" i="10"/>
  <c r="BN89" i="10"/>
  <c r="AM89" i="10"/>
  <c r="J89" i="10"/>
  <c r="AN89" i="10"/>
  <c r="BR89" i="10"/>
  <c r="I89" i="10"/>
  <c r="BL89" i="10"/>
  <c r="AD89" i="10"/>
  <c r="H89" i="10"/>
  <c r="BE89" i="10"/>
  <c r="AG89" i="10"/>
  <c r="AU89" i="10"/>
  <c r="AR89" i="10"/>
  <c r="AC89" i="10"/>
  <c r="BF89" i="10"/>
  <c r="AA89" i="10"/>
  <c r="BD89" i="10"/>
  <c r="BS89" i="10"/>
  <c r="Y89" i="10"/>
  <c r="BM89" i="10"/>
  <c r="W89" i="10"/>
  <c r="U89" i="10"/>
  <c r="Q89" i="10"/>
  <c r="K89" i="10"/>
  <c r="AY89" i="10"/>
  <c r="N89" i="10"/>
  <c r="O89" i="10"/>
  <c r="AJ89" i="10"/>
  <c r="BI89" i="10"/>
  <c r="BG89" i="10"/>
  <c r="BD91" i="10"/>
  <c r="BP91" i="10"/>
  <c r="I91" i="10"/>
  <c r="AX91" i="10"/>
  <c r="BT91" i="10"/>
  <c r="BB91" i="10"/>
  <c r="AD91" i="10"/>
  <c r="BE91" i="10"/>
  <c r="R91" i="10"/>
  <c r="AP91" i="10"/>
  <c r="AU91" i="10"/>
  <c r="AW91" i="10"/>
  <c r="BF91" i="10"/>
  <c r="AQ91" i="10"/>
  <c r="AE91" i="10"/>
  <c r="BI91" i="10"/>
  <c r="V91" i="10"/>
  <c r="J91" i="10"/>
  <c r="BC89" i="10"/>
  <c r="AL91" i="10"/>
  <c r="AP89" i="10"/>
  <c r="AG91" i="10"/>
  <c r="BS81" i="10"/>
  <c r="K81" i="10"/>
  <c r="AK81" i="10"/>
  <c r="X81" i="10"/>
  <c r="BJ81" i="10"/>
  <c r="N81" i="10"/>
  <c r="BQ81" i="10"/>
  <c r="BD81" i="10"/>
  <c r="BB81" i="10"/>
  <c r="AS81" i="10"/>
  <c r="W81" i="10"/>
  <c r="AG81" i="10"/>
  <c r="AP81" i="10"/>
  <c r="J81" i="10"/>
  <c r="BA81" i="10"/>
  <c r="T81" i="10"/>
  <c r="AN81" i="10"/>
  <c r="AH81" i="10"/>
  <c r="BG81" i="10"/>
  <c r="AZ81" i="10"/>
  <c r="AT81" i="10"/>
  <c r="S81" i="10"/>
  <c r="BC81" i="10"/>
  <c r="AD81" i="10"/>
  <c r="AF81" i="10"/>
  <c r="AA81" i="10"/>
  <c r="BK81" i="10"/>
  <c r="AO81" i="10"/>
  <c r="AL81" i="10"/>
  <c r="Z89" i="10"/>
  <c r="AT89" i="10"/>
  <c r="AS91" i="10"/>
  <c r="AW81" i="10"/>
  <c r="L81" i="10"/>
  <c r="BA89" i="10"/>
  <c r="S89" i="10"/>
  <c r="AV91" i="10"/>
  <c r="AW80" i="7"/>
  <c r="AI80" i="7"/>
  <c r="S80" i="7"/>
  <c r="BS80" i="7"/>
  <c r="AR80" i="7"/>
  <c r="AL80" i="7"/>
  <c r="BL80" i="7"/>
  <c r="BG80" i="7"/>
  <c r="AX80" i="7"/>
  <c r="AZ80" i="7"/>
  <c r="P80" i="7"/>
  <c r="J80" i="7"/>
  <c r="I80" i="7"/>
  <c r="BQ80" i="7"/>
  <c r="BE80" i="7"/>
  <c r="O80" i="7"/>
  <c r="AB80" i="7"/>
  <c r="V80" i="7"/>
  <c r="BC80" i="7"/>
  <c r="Q80" i="7"/>
  <c r="AJ80" i="7"/>
  <c r="BB80" i="7"/>
  <c r="BA80" i="7"/>
  <c r="BD80" i="7"/>
  <c r="AN80" i="7"/>
  <c r="BP80" i="7"/>
  <c r="Y80" i="7"/>
  <c r="AU80" i="7"/>
  <c r="AE80" i="7"/>
  <c r="BN80" i="7"/>
  <c r="AV80" i="7"/>
  <c r="R80" i="7"/>
  <c r="BI80" i="7"/>
  <c r="K80" i="7"/>
  <c r="BK87" i="11"/>
  <c r="BE81" i="10"/>
  <c r="AM80" i="7"/>
  <c r="M80" i="7"/>
  <c r="BH77" i="5"/>
  <c r="BA77" i="5"/>
  <c r="BG100" i="10"/>
  <c r="AL37" i="10"/>
  <c r="O37" i="10"/>
  <c r="AM37" i="10"/>
  <c r="Z37" i="10"/>
  <c r="P37" i="10"/>
  <c r="R37" i="10"/>
  <c r="W77" i="5"/>
  <c r="AP38" i="5"/>
  <c r="BM77" i="5"/>
  <c r="H77" i="5"/>
  <c r="BD87" i="11"/>
  <c r="AU81" i="10"/>
  <c r="AH80" i="7"/>
  <c r="BF91" i="12"/>
  <c r="BB21" i="10"/>
  <c r="AZ21" i="10"/>
  <c r="S70" i="10"/>
  <c r="BG77" i="5"/>
  <c r="W52" i="12"/>
  <c r="W37" i="10"/>
  <c r="U37" i="10"/>
  <c r="BI77" i="5"/>
  <c r="S38" i="5"/>
  <c r="O77" i="5"/>
  <c r="AP49" i="12"/>
  <c r="AQ77" i="5"/>
  <c r="BI38" i="5"/>
  <c r="AH91" i="10"/>
  <c r="W80" i="7"/>
  <c r="BB86" i="7"/>
  <c r="Y87" i="11"/>
  <c r="BI87" i="11"/>
  <c r="BJ80" i="7"/>
  <c r="R81" i="10"/>
  <c r="AE81" i="10"/>
  <c r="AX81" i="10"/>
  <c r="AT80" i="7"/>
  <c r="BN78" i="7"/>
  <c r="AD80" i="7"/>
  <c r="BR80" i="12"/>
  <c r="L80" i="12"/>
  <c r="AR80" i="12"/>
  <c r="V89" i="10"/>
  <c r="BQ89" i="10"/>
  <c r="AR91" i="10"/>
  <c r="AO91" i="10"/>
  <c r="BE78" i="7"/>
  <c r="BL85" i="11"/>
  <c r="BF85" i="11"/>
  <c r="AQ85" i="11"/>
  <c r="M88" i="12"/>
  <c r="BN88" i="12"/>
  <c r="AM88" i="12"/>
  <c r="AZ91" i="12"/>
  <c r="N91" i="12"/>
  <c r="R102" i="7"/>
  <c r="W102" i="7"/>
  <c r="P102" i="7"/>
  <c r="AW93" i="7"/>
  <c r="BM89" i="11"/>
  <c r="BR89" i="11"/>
  <c r="AG100" i="10"/>
  <c r="AL100" i="10"/>
  <c r="BB103" i="7"/>
  <c r="BP103" i="7"/>
  <c r="AA103" i="7"/>
  <c r="W33" i="5"/>
  <c r="V33" i="5"/>
  <c r="AH33" i="5"/>
  <c r="AF33" i="5"/>
  <c r="AC60" i="7"/>
  <c r="AO60" i="7"/>
  <c r="AB60" i="7"/>
  <c r="AS60" i="7"/>
  <c r="AL60" i="7"/>
  <c r="AR60" i="7"/>
  <c r="AP60" i="7"/>
  <c r="AG60" i="7"/>
  <c r="AI60" i="7"/>
  <c r="Z60" i="7"/>
  <c r="AV60" i="7"/>
  <c r="AM57" i="12"/>
  <c r="R57" i="12"/>
  <c r="V57" i="12"/>
  <c r="AR57" i="12"/>
  <c r="AL57" i="12"/>
  <c r="W57" i="12"/>
  <c r="AE57" i="12"/>
  <c r="AF57" i="12"/>
  <c r="AA57" i="12"/>
  <c r="AI57" i="12"/>
  <c r="AJ57" i="12"/>
  <c r="AB57" i="12"/>
  <c r="BE54" i="11"/>
  <c r="R54" i="11"/>
  <c r="AT64" i="7"/>
  <c r="AW64" i="7"/>
  <c r="AX64" i="7"/>
  <c r="AU64" i="7"/>
  <c r="BB64" i="7"/>
  <c r="AL70" i="5"/>
  <c r="AH70" i="5"/>
  <c r="AG70" i="5"/>
  <c r="Z70" i="5"/>
  <c r="AK70" i="5"/>
  <c r="V70" i="5"/>
  <c r="U70" i="5"/>
  <c r="AR70" i="5"/>
  <c r="N70" i="5"/>
  <c r="Y70" i="5"/>
  <c r="AF70" i="5"/>
  <c r="L84" i="10"/>
  <c r="AP84" i="10"/>
  <c r="BS84" i="10"/>
  <c r="BK84" i="10"/>
  <c r="AH84" i="10"/>
  <c r="AF84" i="10"/>
  <c r="AQ84" i="10"/>
  <c r="H84" i="10"/>
  <c r="AW84" i="10"/>
  <c r="AM84" i="10"/>
  <c r="AS84" i="10"/>
  <c r="AI84" i="10"/>
  <c r="Z84" i="10"/>
  <c r="AO84" i="10"/>
  <c r="BR84" i="10"/>
  <c r="AR84" i="10"/>
  <c r="BQ84" i="10"/>
  <c r="AE84" i="10"/>
  <c r="BT84" i="10"/>
  <c r="AU84" i="10"/>
  <c r="AC84" i="10"/>
  <c r="AG84" i="10"/>
  <c r="AD84" i="10"/>
  <c r="T84" i="10"/>
  <c r="AN84" i="10"/>
  <c r="W84" i="10"/>
  <c r="AT84" i="10"/>
  <c r="AZ84" i="10"/>
  <c r="AX84" i="10"/>
  <c r="BI84" i="10"/>
  <c r="BC84" i="10"/>
  <c r="AQ88" i="10"/>
  <c r="AF88" i="10"/>
  <c r="BB88" i="10"/>
  <c r="AV88" i="10"/>
  <c r="V88" i="10"/>
  <c r="Y88" i="10"/>
  <c r="S88" i="10"/>
  <c r="AA88" i="10"/>
  <c r="BF88" i="10"/>
  <c r="AG88" i="10"/>
  <c r="T88" i="10"/>
  <c r="AK88" i="10"/>
  <c r="BG88" i="10"/>
  <c r="BK88" i="10"/>
  <c r="AE88" i="10"/>
  <c r="BH88" i="10"/>
  <c r="BA88" i="10"/>
  <c r="BD88" i="10"/>
  <c r="AX88" i="10"/>
  <c r="AS88" i="10"/>
  <c r="BI88" i="10"/>
  <c r="AN88" i="10"/>
  <c r="AP88" i="10"/>
  <c r="AY88" i="10"/>
  <c r="K88" i="10"/>
  <c r="BP88" i="10"/>
  <c r="AT88" i="10"/>
  <c r="BL88" i="10"/>
  <c r="AL88" i="10"/>
  <c r="AB88" i="10"/>
  <c r="BE88" i="10"/>
  <c r="P88" i="10"/>
  <c r="N88" i="10"/>
  <c r="R89" i="10"/>
  <c r="BH91" i="10"/>
  <c r="AT91" i="10"/>
  <c r="AW89" i="10"/>
  <c r="T89" i="10"/>
  <c r="Z91" i="10"/>
  <c r="BM81" i="10"/>
  <c r="M81" i="10"/>
  <c r="BS91" i="10"/>
  <c r="AH89" i="10"/>
  <c r="BN91" i="10"/>
  <c r="AQ81" i="10"/>
  <c r="H81" i="10"/>
  <c r="T91" i="10"/>
  <c r="AS89" i="10"/>
  <c r="AC91" i="10"/>
  <c r="BO91" i="12"/>
  <c r="AY91" i="12"/>
  <c r="AS91" i="12"/>
  <c r="Q91" i="12"/>
  <c r="X91" i="12"/>
  <c r="BB91" i="12"/>
  <c r="AU91" i="12"/>
  <c r="BQ91" i="12"/>
  <c r="AO91" i="12"/>
  <c r="AQ91" i="12"/>
  <c r="AH91" i="12"/>
  <c r="BD91" i="12"/>
  <c r="U91" i="12"/>
  <c r="AF91" i="12"/>
  <c r="M91" i="12"/>
  <c r="S91" i="12"/>
  <c r="K91" i="12"/>
  <c r="AW91" i="12"/>
  <c r="L91" i="12"/>
  <c r="BM91" i="12"/>
  <c r="AM91" i="12"/>
  <c r="AB91" i="12"/>
  <c r="AV91" i="12"/>
  <c r="AC91" i="12"/>
  <c r="AD91" i="12"/>
  <c r="BS91" i="12"/>
  <c r="AI91" i="12"/>
  <c r="BL91" i="12"/>
  <c r="P91" i="12"/>
  <c r="Z91" i="12"/>
  <c r="BI91" i="12"/>
  <c r="AV84" i="12"/>
  <c r="BL84" i="12"/>
  <c r="BF84" i="12"/>
  <c r="AH84" i="12"/>
  <c r="AZ84" i="12"/>
  <c r="H84" i="12"/>
  <c r="M84" i="12"/>
  <c r="J84" i="12"/>
  <c r="AR84" i="12"/>
  <c r="AF84" i="12"/>
  <c r="X84" i="12"/>
  <c r="AT100" i="10"/>
  <c r="AA100" i="10"/>
  <c r="BM100" i="10"/>
  <c r="AX100" i="10"/>
  <c r="BS100" i="10"/>
  <c r="S100" i="10"/>
  <c r="AB100" i="10"/>
  <c r="Q100" i="10"/>
  <c r="BF100" i="10"/>
  <c r="AI100" i="10"/>
  <c r="AK100" i="10"/>
  <c r="BP100" i="10"/>
  <c r="J100" i="10"/>
  <c r="AZ100" i="10"/>
  <c r="AE100" i="10"/>
  <c r="BJ100" i="10"/>
  <c r="BB100" i="10"/>
  <c r="AS100" i="10"/>
  <c r="AC100" i="10"/>
  <c r="AN100" i="10"/>
  <c r="W100" i="10"/>
  <c r="AW100" i="10"/>
  <c r="AV100" i="10"/>
  <c r="U100" i="10"/>
  <c r="V100" i="10"/>
  <c r="BT100" i="10"/>
  <c r="R100" i="10"/>
  <c r="BN100" i="10"/>
  <c r="BL100" i="10"/>
  <c r="AO100" i="10"/>
  <c r="L100" i="10"/>
  <c r="AU100" i="10"/>
  <c r="AR100" i="10"/>
  <c r="M100" i="10"/>
  <c r="AV87" i="11"/>
  <c r="AY87" i="11"/>
  <c r="AM87" i="11"/>
  <c r="BS87" i="11"/>
  <c r="AU87" i="11"/>
  <c r="AF87" i="11"/>
  <c r="BR87" i="11"/>
  <c r="AD87" i="11"/>
  <c r="AX87" i="11"/>
  <c r="S87" i="11"/>
  <c r="J87" i="11"/>
  <c r="BF87" i="11"/>
  <c r="AS87" i="11"/>
  <c r="BN87" i="11"/>
  <c r="BO87" i="11"/>
  <c r="Z87" i="11"/>
  <c r="AR87" i="11"/>
  <c r="BJ87" i="11"/>
  <c r="BA87" i="11"/>
  <c r="BB87" i="11"/>
  <c r="M87" i="11"/>
  <c r="BT87" i="11"/>
  <c r="AW87" i="11"/>
  <c r="AA87" i="11"/>
  <c r="O81" i="10"/>
  <c r="Q81" i="10"/>
  <c r="AE89" i="10"/>
  <c r="BB89" i="10"/>
  <c r="AB91" i="10"/>
  <c r="H91" i="12"/>
  <c r="Y84" i="12"/>
  <c r="Y100" i="10"/>
  <c r="P38" i="5"/>
  <c r="Y38" i="5"/>
  <c r="AV38" i="5"/>
  <c r="AF38" i="5"/>
  <c r="L38" i="5"/>
  <c r="M38" i="5"/>
  <c r="AJ38" i="5"/>
  <c r="BR38" i="5"/>
  <c r="T38" i="5"/>
  <c r="BM38" i="5"/>
  <c r="AY38" i="5"/>
  <c r="BG38" i="5"/>
  <c r="BK38" i="5"/>
  <c r="X38" i="5"/>
  <c r="BS38" i="5"/>
  <c r="BF38" i="5"/>
  <c r="BQ38" i="5"/>
  <c r="H38" i="5"/>
  <c r="BA38" i="5"/>
  <c r="AE77" i="5"/>
  <c r="BB77" i="5"/>
  <c r="AW77" i="5"/>
  <c r="L77" i="5"/>
  <c r="K77" i="5"/>
  <c r="S77" i="5"/>
  <c r="AP77" i="5"/>
  <c r="BJ77" i="5"/>
  <c r="AK77" i="5"/>
  <c r="AD77" i="5"/>
  <c r="AX77" i="5"/>
  <c r="Y77" i="5"/>
  <c r="BR77" i="5"/>
  <c r="J77" i="5"/>
  <c r="R77" i="5"/>
  <c r="AF81" i="7"/>
  <c r="AP81" i="7"/>
  <c r="AY81" i="7"/>
  <c r="AV81" i="7"/>
  <c r="AM81" i="7"/>
  <c r="I81" i="7"/>
  <c r="O81" i="7"/>
  <c r="BJ81" i="7"/>
  <c r="BC81" i="7"/>
  <c r="R81" i="7"/>
  <c r="N81" i="7"/>
  <c r="AT81" i="7"/>
  <c r="AG81" i="7"/>
  <c r="BK81" i="7"/>
  <c r="BS81" i="7"/>
  <c r="V81" i="7"/>
  <c r="L81" i="7"/>
  <c r="Z81" i="7"/>
  <c r="BB81" i="7"/>
  <c r="W81" i="7"/>
  <c r="BT81" i="7"/>
  <c r="BG81" i="7"/>
  <c r="M81" i="7"/>
  <c r="AS81" i="7"/>
  <c r="AZ81" i="7"/>
  <c r="BR81" i="7"/>
  <c r="S81" i="7"/>
  <c r="H81" i="7"/>
  <c r="AZ86" i="7"/>
  <c r="BG86" i="7"/>
  <c r="BM86" i="7"/>
  <c r="BI86" i="7"/>
  <c r="AG86" i="7"/>
  <c r="X86" i="7"/>
  <c r="BK86" i="7"/>
  <c r="AF86" i="7"/>
  <c r="AL86" i="7"/>
  <c r="BQ86" i="7"/>
  <c r="BS86" i="7"/>
  <c r="BN86" i="7"/>
  <c r="AY86" i="7"/>
  <c r="Y86" i="7"/>
  <c r="I86" i="7"/>
  <c r="U86" i="7"/>
  <c r="V86" i="7"/>
  <c r="BE86" i="7"/>
  <c r="AU86" i="7"/>
  <c r="J86" i="7"/>
  <c r="BR86" i="7"/>
  <c r="P86" i="7"/>
  <c r="AX86" i="7"/>
  <c r="M86" i="7"/>
  <c r="AK86" i="7"/>
  <c r="T86" i="7"/>
  <c r="AI86" i="7"/>
  <c r="AM86" i="7"/>
  <c r="AQ86" i="7"/>
  <c r="BL86" i="7"/>
  <c r="AD38" i="5"/>
  <c r="BP38" i="5"/>
  <c r="AL81" i="7"/>
  <c r="R87" i="11"/>
  <c r="BI81" i="10"/>
  <c r="AR81" i="10"/>
  <c r="AO86" i="7"/>
  <c r="U81" i="10"/>
  <c r="P81" i="7"/>
  <c r="BP89" i="10"/>
  <c r="AX89" i="10"/>
  <c r="O91" i="12"/>
  <c r="BG91" i="12"/>
  <c r="BB84" i="12"/>
  <c r="Z93" i="7"/>
  <c r="V93" i="7"/>
  <c r="AP93" i="7"/>
  <c r="AD93" i="7"/>
  <c r="I93" i="7"/>
  <c r="BF93" i="7"/>
  <c r="BP93" i="7"/>
  <c r="BG93" i="7"/>
  <c r="AI93" i="7"/>
  <c r="BC93" i="7"/>
  <c r="AQ93" i="7"/>
  <c r="P93" i="7"/>
  <c r="BE93" i="7"/>
  <c r="AG93" i="7"/>
  <c r="J93" i="7"/>
  <c r="S93" i="7"/>
  <c r="AF93" i="7"/>
  <c r="Q93" i="7"/>
  <c r="BD93" i="7"/>
  <c r="BA93" i="7"/>
  <c r="AU93" i="7"/>
  <c r="L93" i="7"/>
  <c r="AV93" i="7"/>
  <c r="BT93" i="7"/>
  <c r="AS93" i="7"/>
  <c r="K93" i="7"/>
  <c r="BI93" i="7"/>
  <c r="AE81" i="7"/>
  <c r="AS86" i="7"/>
  <c r="AO87" i="11"/>
  <c r="L87" i="11"/>
  <c r="AJ81" i="10"/>
  <c r="F78" i="2"/>
  <c r="BD81" i="7"/>
  <c r="M89" i="10"/>
  <c r="AY91" i="10"/>
  <c r="AN91" i="10"/>
  <c r="BK88" i="12"/>
  <c r="O88" i="12"/>
  <c r="AE91" i="12"/>
  <c r="AE93" i="7"/>
  <c r="H100" i="10"/>
  <c r="AJ49" i="5"/>
  <c r="AO49" i="5"/>
  <c r="AG43" i="12"/>
  <c r="AJ43" i="12"/>
  <c r="AO43" i="12"/>
  <c r="BB38" i="5"/>
  <c r="Z38" i="5"/>
  <c r="AH87" i="11"/>
  <c r="AN87" i="11"/>
  <c r="Y81" i="10"/>
  <c r="U80" i="7"/>
  <c r="BH86" i="7"/>
  <c r="AA80" i="7"/>
  <c r="BO89" i="10"/>
  <c r="BM91" i="10"/>
  <c r="R86" i="7"/>
  <c r="AW88" i="12"/>
  <c r="BR88" i="12"/>
  <c r="BH91" i="12"/>
  <c r="AH70" i="10"/>
  <c r="AA70" i="10"/>
  <c r="BS77" i="5"/>
  <c r="X52" i="12"/>
  <c r="T37" i="10"/>
  <c r="V37" i="10"/>
  <c r="X37" i="10"/>
  <c r="AP43" i="12"/>
  <c r="AE38" i="5"/>
  <c r="AA77" i="5"/>
  <c r="BC77" i="5"/>
  <c r="BD77" i="5"/>
  <c r="BJ38" i="5"/>
  <c r="I77" i="5"/>
  <c r="T62" i="11"/>
  <c r="AG80" i="7"/>
  <c r="BO81" i="7"/>
  <c r="X81" i="7"/>
  <c r="AP87" i="11"/>
  <c r="AC87" i="11"/>
  <c r="AB87" i="11"/>
  <c r="P87" i="11"/>
  <c r="AY80" i="7"/>
  <c r="J81" i="7"/>
  <c r="AC81" i="10"/>
  <c r="AB81" i="10"/>
  <c r="P81" i="10"/>
  <c r="X80" i="7"/>
  <c r="BQ81" i="7"/>
  <c r="AH86" i="7"/>
  <c r="N78" i="7"/>
  <c r="BS80" i="12"/>
  <c r="BD80" i="12"/>
  <c r="BN80" i="12"/>
  <c r="BK89" i="10"/>
  <c r="AO89" i="10"/>
  <c r="N91" i="10"/>
  <c r="BC91" i="10"/>
  <c r="AJ78" i="7"/>
  <c r="F85" i="2"/>
  <c r="BI85" i="11"/>
  <c r="BT85" i="11"/>
  <c r="Z88" i="12"/>
  <c r="AK88" i="12"/>
  <c r="AA91" i="12"/>
  <c r="AN91" i="12"/>
  <c r="BA91" i="12"/>
  <c r="V102" i="7"/>
  <c r="AX102" i="7"/>
  <c r="BH102" i="7"/>
  <c r="R93" i="7"/>
  <c r="AL93" i="7"/>
  <c r="BD89" i="11"/>
  <c r="AL89" i="11"/>
  <c r="BS84" i="12"/>
  <c r="BD100" i="10"/>
  <c r="K100" i="10"/>
  <c r="BA100" i="10"/>
  <c r="AB103" i="7"/>
  <c r="AE103" i="7"/>
  <c r="AO64" i="12"/>
  <c r="AG64" i="12"/>
  <c r="U89" i="7"/>
  <c r="AS89" i="7"/>
  <c r="W89" i="7"/>
  <c r="K97" i="10"/>
  <c r="AR97" i="10"/>
  <c r="AA97" i="10"/>
  <c r="AM97" i="10"/>
  <c r="BK85" i="7"/>
  <c r="R85" i="7"/>
  <c r="AM85" i="7"/>
  <c r="BP85" i="7"/>
  <c r="AE85" i="7"/>
  <c r="V85" i="7"/>
  <c r="H85" i="7"/>
  <c r="BN85" i="7"/>
  <c r="BH85" i="7"/>
  <c r="Q85" i="7"/>
  <c r="BE85" i="7"/>
  <c r="AF85" i="7"/>
  <c r="AY85" i="7"/>
  <c r="AL93" i="11"/>
  <c r="N93" i="11"/>
  <c r="BG93" i="11"/>
  <c r="AN93" i="11"/>
  <c r="AU93" i="11"/>
  <c r="S93" i="11"/>
  <c r="BH93" i="11"/>
  <c r="AF93" i="11"/>
  <c r="AC93" i="11"/>
  <c r="H93" i="11"/>
  <c r="BF93" i="11"/>
  <c r="AD93" i="11"/>
  <c r="P93" i="11"/>
  <c r="BE93" i="11"/>
  <c r="BP93" i="11"/>
  <c r="M93" i="11"/>
  <c r="AB93" i="11"/>
  <c r="BQ93" i="11"/>
  <c r="O82" i="11"/>
  <c r="I82" i="11"/>
  <c r="M82" i="11"/>
  <c r="BD82" i="11"/>
  <c r="AT82" i="11"/>
  <c r="P82" i="11"/>
  <c r="BO82" i="11"/>
  <c r="K82" i="11"/>
  <c r="J82" i="11"/>
  <c r="X82" i="11"/>
  <c r="AE82" i="11"/>
  <c r="BQ82" i="11"/>
  <c r="BK82" i="11"/>
  <c r="BF82" i="11"/>
  <c r="T82" i="11"/>
  <c r="K97" i="12"/>
  <c r="Y97" i="12"/>
  <c r="AX97" i="12"/>
  <c r="R97" i="12"/>
  <c r="AL97" i="12"/>
  <c r="M97" i="12"/>
  <c r="T97" i="12"/>
  <c r="AI97" i="12"/>
  <c r="BK97" i="12"/>
  <c r="AO97" i="12"/>
  <c r="BR97" i="12"/>
  <c r="AE97" i="12"/>
  <c r="BO97" i="12"/>
  <c r="BM97" i="12"/>
  <c r="O97" i="12"/>
  <c r="AR82" i="7"/>
  <c r="AN82" i="7"/>
  <c r="BL82" i="7"/>
  <c r="AX82" i="7"/>
  <c r="AG82" i="7"/>
  <c r="M82" i="7"/>
  <c r="AV82" i="7"/>
  <c r="AH82" i="7"/>
  <c r="AS82" i="7"/>
  <c r="AW82" i="7"/>
  <c r="AA82" i="7"/>
  <c r="AD82" i="7"/>
  <c r="S82" i="7"/>
  <c r="I82" i="7"/>
  <c r="AJ82" i="7"/>
  <c r="BP82" i="7"/>
  <c r="BA82" i="7"/>
  <c r="T82" i="7"/>
  <c r="F93" i="2"/>
  <c r="F76" i="2"/>
  <c r="AQ59" i="5"/>
  <c r="Y59" i="5"/>
  <c r="BE89" i="7"/>
  <c r="AN89" i="7"/>
  <c r="BG89" i="7"/>
  <c r="R97" i="10"/>
  <c r="AV97" i="10"/>
  <c r="AJ97" i="10"/>
  <c r="BK101" i="7"/>
  <c r="Y101" i="7"/>
  <c r="BI101" i="7"/>
  <c r="BP101" i="7"/>
  <c r="L101" i="7"/>
  <c r="BT101" i="7"/>
  <c r="BL101" i="7"/>
  <c r="M101" i="7"/>
  <c r="AH101" i="7"/>
  <c r="BQ101" i="7"/>
  <c r="N101" i="7"/>
  <c r="BH101" i="7"/>
  <c r="Q101" i="7"/>
  <c r="V101" i="7"/>
  <c r="AS101" i="7"/>
  <c r="AD101" i="7"/>
  <c r="BE101" i="7"/>
  <c r="AI101" i="7"/>
  <c r="BB89" i="7"/>
  <c r="N89" i="7"/>
  <c r="AG89" i="7"/>
  <c r="AF89" i="7"/>
  <c r="AX89" i="7"/>
  <c r="BQ89" i="7"/>
  <c r="X89" i="7"/>
  <c r="AM89" i="7"/>
  <c r="BT89" i="7"/>
  <c r="AH89" i="7"/>
  <c r="BD89" i="7"/>
  <c r="BA89" i="7"/>
  <c r="AY89" i="7"/>
  <c r="AL89" i="7"/>
  <c r="AC89" i="7"/>
  <c r="AI89" i="7"/>
  <c r="AG97" i="10"/>
  <c r="BF97" i="10"/>
  <c r="BK97" i="10"/>
  <c r="BS97" i="10"/>
  <c r="P97" i="10"/>
  <c r="AZ97" i="10"/>
  <c r="O97" i="10"/>
  <c r="AW97" i="10"/>
  <c r="AH97" i="10"/>
  <c r="BP97" i="10"/>
  <c r="AD97" i="10"/>
  <c r="V97" i="10"/>
  <c r="X97" i="10"/>
  <c r="AT97" i="10"/>
  <c r="Q97" i="10"/>
  <c r="H97" i="10"/>
  <c r="V89" i="7"/>
  <c r="M89" i="7"/>
  <c r="AB89" i="7"/>
  <c r="BM97" i="10"/>
  <c r="Y97" i="10"/>
  <c r="Z97" i="10"/>
  <c r="BH97" i="10"/>
  <c r="S102" i="11"/>
  <c r="AG102" i="11"/>
  <c r="BT102" i="11"/>
  <c r="BB102" i="11"/>
  <c r="BA102" i="11"/>
  <c r="AF102" i="11"/>
  <c r="K102" i="11"/>
  <c r="AK102" i="11"/>
  <c r="BQ102" i="11"/>
  <c r="BF102" i="11"/>
  <c r="BI102" i="11"/>
  <c r="AE102" i="11"/>
  <c r="Z102" i="11"/>
  <c r="AB102" i="11"/>
  <c r="AH102" i="11"/>
  <c r="BR102" i="11"/>
  <c r="X91" i="10"/>
  <c r="Q91" i="10"/>
  <c r="BA91" i="10"/>
  <c r="U91" i="10"/>
  <c r="BR91" i="10"/>
  <c r="AJ91" i="10"/>
  <c r="O91" i="10"/>
  <c r="BJ91" i="10"/>
  <c r="S91" i="10"/>
  <c r="AF91" i="10"/>
  <c r="BG91" i="10"/>
  <c r="AZ91" i="10"/>
  <c r="BK91" i="10"/>
  <c r="AM91" i="10"/>
  <c r="P91" i="10"/>
  <c r="W91" i="10"/>
  <c r="AB81" i="12"/>
  <c r="I81" i="12"/>
  <c r="AN81" i="12"/>
  <c r="AI81" i="12"/>
  <c r="AV81" i="12"/>
  <c r="BB81" i="12"/>
  <c r="BC81" i="12"/>
  <c r="AC81" i="12"/>
  <c r="BN81" i="12"/>
  <c r="L81" i="12"/>
  <c r="N81" i="12"/>
  <c r="K81" i="12"/>
  <c r="BL81" i="12"/>
  <c r="AL81" i="12"/>
  <c r="BD81" i="12"/>
  <c r="AS81" i="12"/>
  <c r="AZ81" i="12"/>
  <c r="AG99" i="11"/>
  <c r="BH99" i="11"/>
  <c r="AH99" i="11"/>
  <c r="I99" i="11"/>
  <c r="AI99" i="11"/>
  <c r="BN99" i="11"/>
  <c r="R99" i="11"/>
  <c r="Q99" i="11"/>
  <c r="AS99" i="11"/>
  <c r="BF99" i="11"/>
  <c r="AJ99" i="11"/>
  <c r="AQ99" i="11"/>
  <c r="AL99" i="11"/>
  <c r="BJ99" i="11"/>
  <c r="AX99" i="11"/>
  <c r="BM99" i="11"/>
  <c r="T99" i="11"/>
  <c r="J85" i="7"/>
  <c r="BM88" i="7"/>
  <c r="Q88" i="7"/>
  <c r="AG88" i="7"/>
  <c r="BF88" i="7"/>
  <c r="BT88" i="7"/>
  <c r="BJ88" i="7"/>
  <c r="Z88" i="7"/>
  <c r="BA88" i="7"/>
  <c r="BD88" i="7"/>
  <c r="BH88" i="7"/>
  <c r="J88" i="7"/>
  <c r="AL88" i="7"/>
  <c r="BR88" i="7"/>
  <c r="AE88" i="7"/>
  <c r="R88" i="7"/>
  <c r="AP88" i="7"/>
  <c r="L88" i="7"/>
  <c r="BG88" i="7"/>
  <c r="F73" i="2"/>
  <c r="F88" i="2"/>
  <c r="BA53" i="5"/>
  <c r="AI65" i="10"/>
  <c r="AJ64" i="12"/>
  <c r="AA59" i="5"/>
  <c r="AC59" i="10"/>
  <c r="AR64" i="12"/>
  <c r="BC53" i="12"/>
  <c r="BE36" i="12"/>
  <c r="R57" i="7"/>
  <c r="P54" i="7"/>
  <c r="AH65" i="10"/>
  <c r="AV65" i="10"/>
  <c r="AO57" i="7"/>
  <c r="O57" i="7"/>
  <c r="AB61" i="10"/>
  <c r="AP59" i="5"/>
  <c r="T64" i="12"/>
  <c r="BB65" i="10"/>
  <c r="AS64" i="12"/>
  <c r="AO59" i="5"/>
  <c r="X64" i="12"/>
  <c r="X65" i="10"/>
  <c r="AZ65" i="10"/>
  <c r="AM65" i="10"/>
  <c r="BB59" i="5"/>
  <c r="AG59" i="10"/>
  <c r="P59" i="10"/>
  <c r="Q59" i="10"/>
  <c r="O59" i="10"/>
  <c r="AT64" i="12"/>
  <c r="AK59" i="10"/>
  <c r="W59" i="10"/>
  <c r="AJ59" i="10"/>
  <c r="AK64" i="12"/>
  <c r="Z64" i="12"/>
  <c r="S64" i="12"/>
  <c r="AB64" i="12"/>
  <c r="BD36" i="12"/>
  <c r="AI57" i="7"/>
  <c r="V69" i="7"/>
  <c r="AG57" i="7"/>
  <c r="AM57" i="7"/>
  <c r="AE57" i="7"/>
  <c r="AC43" i="10"/>
  <c r="AP43" i="10"/>
  <c r="AE65" i="10"/>
  <c r="AZ50" i="10"/>
  <c r="AM53" i="5"/>
  <c r="P65" i="11"/>
  <c r="P61" i="10"/>
  <c r="S69" i="7"/>
  <c r="AN57" i="7"/>
  <c r="AA64" i="5"/>
  <c r="AT59" i="5"/>
  <c r="AR59" i="5"/>
  <c r="AQ64" i="12"/>
  <c r="AC64" i="12"/>
  <c r="AX65" i="10"/>
  <c r="AC65" i="10"/>
  <c r="AM59" i="5"/>
  <c r="AI64" i="12"/>
  <c r="P57" i="7"/>
  <c r="AL57" i="7"/>
  <c r="U59" i="10"/>
  <c r="AB59" i="10"/>
  <c r="AE59" i="10"/>
  <c r="N57" i="7"/>
  <c r="AQ57" i="7"/>
  <c r="AX43" i="10"/>
  <c r="AQ65" i="10"/>
  <c r="AM64" i="5"/>
  <c r="AC64" i="5"/>
  <c r="AD64" i="5"/>
  <c r="AF59" i="10"/>
  <c r="AI59" i="10"/>
  <c r="Y59" i="10"/>
  <c r="AA64" i="12"/>
  <c r="AD64" i="12"/>
  <c r="AL64" i="12"/>
  <c r="AH64" i="12"/>
  <c r="AZ53" i="12"/>
  <c r="BC36" i="12"/>
  <c r="AS57" i="7"/>
  <c r="W65" i="11"/>
  <c r="AD65" i="10"/>
  <c r="Z65" i="10"/>
  <c r="R65" i="11"/>
  <c r="BF61" i="10"/>
  <c r="AE64" i="5"/>
  <c r="X59" i="5"/>
  <c r="V59" i="5"/>
  <c r="BA59" i="5"/>
  <c r="Z59" i="10"/>
  <c r="Y64" i="12"/>
  <c r="W57" i="7"/>
  <c r="AD57" i="7"/>
  <c r="AN43" i="10"/>
  <c r="AO65" i="10"/>
  <c r="AU65" i="10"/>
  <c r="AA57" i="7"/>
  <c r="AL59" i="10"/>
  <c r="V59" i="10"/>
  <c r="AA59" i="10"/>
  <c r="R64" i="12"/>
  <c r="U64" i="12"/>
  <c r="P64" i="12"/>
  <c r="BD53" i="12"/>
  <c r="AD36" i="12"/>
  <c r="AG36" i="12"/>
  <c r="AJ57" i="7"/>
  <c r="Y69" i="7"/>
  <c r="AW65" i="10"/>
  <c r="AY65" i="10"/>
  <c r="AT65" i="10"/>
  <c r="AG61" i="10"/>
  <c r="J61" i="10"/>
  <c r="AB64" i="5"/>
  <c r="BA64" i="5"/>
  <c r="BB64" i="5"/>
  <c r="AZ59" i="5"/>
  <c r="Z59" i="5"/>
  <c r="AN59" i="5"/>
  <c r="W64" i="12"/>
  <c r="Q64" i="12"/>
  <c r="AE64" i="12"/>
  <c r="AU64" i="12"/>
  <c r="AM45" i="10"/>
  <c r="BC65" i="10"/>
  <c r="AC53" i="5"/>
  <c r="AD59" i="10"/>
  <c r="X59" i="10"/>
  <c r="AP64" i="12"/>
  <c r="V64" i="12"/>
  <c r="AF64" i="12"/>
  <c r="AX36" i="12"/>
  <c r="S57" i="7"/>
  <c r="AP57" i="7"/>
  <c r="Y57" i="7"/>
  <c r="AR65" i="10"/>
  <c r="AL65" i="10"/>
  <c r="AN65" i="10"/>
  <c r="AB57" i="7"/>
  <c r="AZ64" i="5"/>
  <c r="AB59" i="5"/>
  <c r="BC59" i="5"/>
  <c r="R59" i="10"/>
  <c r="AN64" i="12"/>
  <c r="AM64" i="12"/>
  <c r="BB53" i="12"/>
  <c r="BA36" i="12"/>
  <c r="AY36" i="12"/>
  <c r="AH57" i="7"/>
  <c r="AS65" i="10"/>
  <c r="R65" i="7"/>
  <c r="AM67" i="10"/>
  <c r="AS59" i="5"/>
  <c r="AG41" i="7"/>
  <c r="O22" i="10"/>
  <c r="BB22" i="10"/>
  <c r="BA22" i="10"/>
  <c r="AN22" i="10"/>
  <c r="AE38" i="10"/>
  <c r="U38" i="10"/>
  <c r="AN38" i="10"/>
  <c r="Z38" i="10"/>
  <c r="R38" i="10"/>
  <c r="AA38" i="10"/>
  <c r="AR38" i="10"/>
  <c r="AD38" i="10"/>
  <c r="AB70" i="7"/>
  <c r="AO70" i="7"/>
  <c r="W70" i="7"/>
  <c r="AS70" i="7"/>
  <c r="AJ70" i="7"/>
  <c r="U70" i="7"/>
  <c r="O70" i="7"/>
  <c r="AC70" i="7"/>
  <c r="AP70" i="7"/>
  <c r="AH70" i="7"/>
  <c r="AG70" i="7"/>
  <c r="N70" i="7"/>
  <c r="AA70" i="7"/>
  <c r="AM70" i="7"/>
  <c r="Z30" i="11"/>
  <c r="BG30" i="11"/>
  <c r="AL70" i="7"/>
  <c r="X69" i="5"/>
  <c r="BC69" i="5"/>
  <c r="Y69" i="5"/>
  <c r="AB69" i="5"/>
  <c r="V69" i="5"/>
  <c r="AP69" i="5"/>
  <c r="H61" i="5"/>
  <c r="BP61" i="5"/>
  <c r="AQ41" i="7"/>
  <c r="AM38" i="10"/>
  <c r="AW65" i="5"/>
  <c r="AP65" i="5"/>
  <c r="AJ65" i="5"/>
  <c r="AL65" i="5"/>
  <c r="AG65" i="5"/>
  <c r="AI65" i="5"/>
  <c r="AB65" i="5"/>
  <c r="BB65" i="5"/>
  <c r="X65" i="5"/>
  <c r="AN65" i="5"/>
  <c r="AE65" i="5"/>
  <c r="Z65" i="5"/>
  <c r="AZ65" i="5"/>
  <c r="W65" i="5"/>
  <c r="AW29" i="12"/>
  <c r="AA29" i="12"/>
  <c r="AE70" i="7"/>
  <c r="AH65" i="5"/>
  <c r="R36" i="7"/>
  <c r="Z36" i="7"/>
  <c r="AC36" i="7"/>
  <c r="AJ36" i="7"/>
  <c r="AH36" i="7"/>
  <c r="AS36" i="7"/>
  <c r="U36" i="7"/>
  <c r="AF36" i="7"/>
  <c r="AN36" i="7"/>
  <c r="AP36" i="7"/>
  <c r="V36" i="7"/>
  <c r="AA68" i="10"/>
  <c r="AX68" i="10"/>
  <c r="AT68" i="10"/>
  <c r="BA68" i="10"/>
  <c r="AF68" i="10"/>
  <c r="Q50" i="12"/>
  <c r="AK70" i="7"/>
  <c r="W42" i="12"/>
  <c r="V65" i="5"/>
  <c r="AK65" i="5"/>
  <c r="AA69" i="5"/>
  <c r="Y63" i="11"/>
  <c r="AH63" i="11"/>
  <c r="X63" i="11"/>
  <c r="Q63" i="11"/>
  <c r="S63" i="11"/>
  <c r="AG41" i="10"/>
  <c r="AL41" i="10"/>
  <c r="AY41" i="10"/>
  <c r="AQ41" i="10"/>
  <c r="V41" i="10"/>
  <c r="AP41" i="10"/>
  <c r="Z41" i="10"/>
  <c r="AC41" i="10"/>
  <c r="Z65" i="7"/>
  <c r="AL65" i="7"/>
  <c r="AD65" i="7"/>
  <c r="AV65" i="7"/>
  <c r="AZ65" i="7"/>
  <c r="AR65" i="7"/>
  <c r="BC61" i="7"/>
  <c r="AT61" i="7"/>
  <c r="BA61" i="7"/>
  <c r="AU61" i="7"/>
  <c r="BT22" i="5"/>
  <c r="AY22" i="5"/>
  <c r="J22" i="5"/>
  <c r="AH58" i="7"/>
  <c r="BA41" i="10"/>
  <c r="AN41" i="10"/>
  <c r="BD30" i="11"/>
  <c r="AX22" i="10"/>
  <c r="X41" i="7"/>
  <c r="BB65" i="7"/>
  <c r="Y65" i="5"/>
  <c r="Z69" i="5"/>
  <c r="AL41" i="11"/>
  <c r="AT41" i="11"/>
  <c r="S41" i="11"/>
  <c r="P41" i="11"/>
  <c r="AD41" i="11"/>
  <c r="AC41" i="11"/>
  <c r="Q41" i="11"/>
  <c r="Z41" i="11"/>
  <c r="AE41" i="11"/>
  <c r="AP41" i="11"/>
  <c r="AQ41" i="11"/>
  <c r="AU65" i="12"/>
  <c r="P65" i="12"/>
  <c r="AM65" i="12"/>
  <c r="AL65" i="12"/>
  <c r="AN65" i="12"/>
  <c r="AO65" i="12"/>
  <c r="R65" i="12"/>
  <c r="AT65" i="12"/>
  <c r="AJ65" i="12"/>
  <c r="Z65" i="12"/>
  <c r="AH65" i="12"/>
  <c r="T65" i="12"/>
  <c r="AG65" i="12"/>
  <c r="AF44" i="5"/>
  <c r="AN44" i="5"/>
  <c r="BC44" i="5"/>
  <c r="AB44" i="5"/>
  <c r="AE44" i="5"/>
  <c r="AU44" i="5"/>
  <c r="AS44" i="5"/>
  <c r="AQ65" i="7"/>
  <c r="Z70" i="7"/>
  <c r="AN41" i="11"/>
  <c r="BC30" i="11"/>
  <c r="AM42" i="12"/>
  <c r="AP50" i="12"/>
  <c r="AX65" i="7"/>
  <c r="AQ22" i="10"/>
  <c r="AY22" i="10"/>
  <c r="BA41" i="7"/>
  <c r="S63" i="10"/>
  <c r="Q63" i="10"/>
  <c r="AR36" i="7"/>
  <c r="AY65" i="7"/>
  <c r="AH38" i="10"/>
  <c r="AK65" i="7"/>
  <c r="AK44" i="5"/>
  <c r="AX44" i="5"/>
  <c r="BC65" i="5"/>
  <c r="AC69" i="5"/>
  <c r="AJ19" i="10"/>
  <c r="O19" i="10"/>
  <c r="R19" i="10"/>
  <c r="W19" i="10"/>
  <c r="AS19" i="10"/>
  <c r="AC19" i="10"/>
  <c r="AX29" i="7"/>
  <c r="Y29" i="7"/>
  <c r="AQ29" i="7"/>
  <c r="AH29" i="7"/>
  <c r="AP29" i="7"/>
  <c r="AB29" i="7"/>
  <c r="AM29" i="7"/>
  <c r="AT29" i="7"/>
  <c r="AU29" i="7"/>
  <c r="AO61" i="10"/>
  <c r="M61" i="10"/>
  <c r="N61" i="10"/>
  <c r="BE61" i="10"/>
  <c r="BG61" i="10"/>
  <c r="BB61" i="10"/>
  <c r="BS61" i="10"/>
  <c r="AP61" i="10"/>
  <c r="AT61" i="10"/>
  <c r="BP61" i="10"/>
  <c r="S61" i="10"/>
  <c r="BM61" i="10"/>
  <c r="AJ61" i="10"/>
  <c r="BS22" i="5"/>
  <c r="AV41" i="10"/>
  <c r="U19" i="10"/>
  <c r="T70" i="7"/>
  <c r="P70" i="7"/>
  <c r="AM41" i="11"/>
  <c r="W41" i="11"/>
  <c r="BE30" i="11"/>
  <c r="R42" i="12"/>
  <c r="I22" i="5"/>
  <c r="BK22" i="5"/>
  <c r="AA65" i="7"/>
  <c r="AW22" i="10"/>
  <c r="BB68" i="10"/>
  <c r="AT65" i="7"/>
  <c r="AA36" i="7"/>
  <c r="AD36" i="7"/>
  <c r="P36" i="7"/>
  <c r="AU61" i="10"/>
  <c r="AD61" i="10"/>
  <c r="AI65" i="12"/>
  <c r="V65" i="12"/>
  <c r="X29" i="7"/>
  <c r="AW29" i="7"/>
  <c r="AP38" i="10"/>
  <c r="AO38" i="10"/>
  <c r="AH65" i="7"/>
  <c r="O61" i="5"/>
  <c r="AQ65" i="5"/>
  <c r="AC41" i="7"/>
  <c r="AI42" i="12"/>
  <c r="Q38" i="10"/>
  <c r="BC22" i="10"/>
  <c r="AP42" i="12"/>
  <c r="AJ22" i="10"/>
  <c r="W36" i="7"/>
  <c r="AS42" i="12"/>
  <c r="AY41" i="7"/>
  <c r="W38" i="10"/>
  <c r="BB41" i="10"/>
  <c r="AS65" i="7"/>
  <c r="N19" i="10"/>
  <c r="BB30" i="11"/>
  <c r="AO65" i="7"/>
  <c r="AH61" i="7"/>
  <c r="AV22" i="5"/>
  <c r="R70" i="7"/>
  <c r="AQ70" i="7"/>
  <c r="AO22" i="10"/>
  <c r="BE30" i="12"/>
  <c r="AI36" i="7"/>
  <c r="AM36" i="7"/>
  <c r="AF70" i="7"/>
  <c r="U61" i="10"/>
  <c r="BD61" i="10"/>
  <c r="AE61" i="10"/>
  <c r="AF65" i="12"/>
  <c r="AB65" i="12"/>
  <c r="AD29" i="7"/>
  <c r="AZ29" i="7"/>
  <c r="V38" i="10"/>
  <c r="AI38" i="10"/>
  <c r="N38" i="10"/>
  <c r="AX61" i="5"/>
  <c r="BJ52" i="5"/>
  <c r="AS65" i="5"/>
  <c r="AY65" i="5"/>
  <c r="AD41" i="7"/>
  <c r="AP41" i="7"/>
  <c r="AO41" i="7"/>
  <c r="AH41" i="7"/>
  <c r="AV41" i="7"/>
  <c r="AZ41" i="7"/>
  <c r="AK41" i="7"/>
  <c r="AN41" i="7"/>
  <c r="AA41" i="7"/>
  <c r="AL41" i="7"/>
  <c r="Y41" i="7"/>
  <c r="AF41" i="7"/>
  <c r="AX41" i="7"/>
  <c r="T42" i="12"/>
  <c r="AF42" i="12"/>
  <c r="AN42" i="12"/>
  <c r="AB42" i="12"/>
  <c r="X42" i="12"/>
  <c r="AT42" i="12"/>
  <c r="AK42" i="12"/>
  <c r="X70" i="7"/>
  <c r="AS22" i="10"/>
  <c r="AD69" i="5"/>
  <c r="AW41" i="7"/>
  <c r="AD70" i="7"/>
  <c r="AA42" i="12"/>
  <c r="AS41" i="7"/>
  <c r="AC65" i="5"/>
  <c r="N50" i="5"/>
  <c r="BC41" i="10"/>
  <c r="S19" i="10"/>
  <c r="Z22" i="10"/>
  <c r="AE69" i="5"/>
  <c r="BG22" i="5"/>
  <c r="AF65" i="7"/>
  <c r="AN70" i="7"/>
  <c r="X29" i="12"/>
  <c r="AA41" i="10"/>
  <c r="AD41" i="10"/>
  <c r="Y41" i="10"/>
  <c r="AF41" i="10"/>
  <c r="BC65" i="7"/>
  <c r="Q70" i="7"/>
  <c r="AM63" i="11"/>
  <c r="AG41" i="11"/>
  <c r="AB41" i="11"/>
  <c r="BA30" i="11"/>
  <c r="AL42" i="12"/>
  <c r="V42" i="12"/>
  <c r="Y42" i="12"/>
  <c r="AI65" i="7"/>
  <c r="AN65" i="7"/>
  <c r="AZ22" i="10"/>
  <c r="BG30" i="12"/>
  <c r="AJ41" i="7"/>
  <c r="T36" i="7"/>
  <c r="N36" i="7"/>
  <c r="AB36" i="7"/>
  <c r="X61" i="10"/>
  <c r="Y61" i="10"/>
  <c r="AN61" i="10"/>
  <c r="P63" i="11"/>
  <c r="AA29" i="7"/>
  <c r="AE29" i="7"/>
  <c r="AC38" i="10"/>
  <c r="O38" i="10"/>
  <c r="S70" i="7"/>
  <c r="BE52" i="5"/>
  <c r="AM65" i="5"/>
  <c r="AC65" i="7"/>
  <c r="AL22" i="10"/>
  <c r="AR70" i="7"/>
  <c r="AT41" i="7"/>
  <c r="AQ42" i="12"/>
  <c r="AR50" i="12"/>
  <c r="AR41" i="7"/>
  <c r="AU22" i="10"/>
  <c r="AW68" i="10"/>
  <c r="AU41" i="7"/>
  <c r="AT41" i="10"/>
  <c r="AR22" i="10"/>
  <c r="AO69" i="5"/>
  <c r="M22" i="5"/>
  <c r="AS24" i="12"/>
  <c r="Z29" i="12"/>
  <c r="AM41" i="10"/>
  <c r="AE41" i="10"/>
  <c r="AB65" i="7"/>
  <c r="T19" i="10"/>
  <c r="R41" i="11"/>
  <c r="AS41" i="11"/>
  <c r="AJ41" i="11"/>
  <c r="Y41" i="11"/>
  <c r="AZ30" i="11"/>
  <c r="P42" i="12"/>
  <c r="V70" i="7"/>
  <c r="AU68" i="10"/>
  <c r="Z41" i="7"/>
  <c r="AI41" i="7"/>
  <c r="AU65" i="7"/>
  <c r="X36" i="7"/>
  <c r="AM61" i="10"/>
  <c r="AL61" i="10"/>
  <c r="W63" i="11"/>
  <c r="Y65" i="12"/>
  <c r="AD65" i="12"/>
  <c r="AK29" i="7"/>
  <c r="Y38" i="10"/>
  <c r="AL38" i="10"/>
  <c r="BS62" i="5"/>
  <c r="AV65" i="5"/>
  <c r="AU65" i="5"/>
  <c r="AD65" i="5"/>
  <c r="AA65" i="5"/>
  <c r="S38" i="10"/>
  <c r="AV22" i="10"/>
  <c r="S42" i="12"/>
  <c r="BC41" i="7"/>
  <c r="U63" i="11"/>
  <c r="W69" i="5"/>
  <c r="AV24" i="12"/>
  <c r="AP65" i="7"/>
  <c r="X41" i="10"/>
  <c r="AK41" i="10"/>
  <c r="AZ41" i="10"/>
  <c r="H22" i="5"/>
  <c r="AJ65" i="7"/>
  <c r="AI70" i="7"/>
  <c r="Y70" i="7"/>
  <c r="X41" i="11"/>
  <c r="BF30" i="11"/>
  <c r="AW61" i="7"/>
  <c r="AY68" i="10"/>
  <c r="BC68" i="10"/>
  <c r="AE41" i="7"/>
  <c r="BB41" i="7"/>
  <c r="AM41" i="7"/>
  <c r="Y65" i="7"/>
  <c r="AO36" i="7"/>
  <c r="O36" i="7"/>
  <c r="BK61" i="10"/>
  <c r="AX61" i="10"/>
  <c r="AA65" i="12"/>
  <c r="X65" i="12"/>
  <c r="AE65" i="12"/>
  <c r="Q65" i="12"/>
  <c r="AV29" i="7"/>
  <c r="BA29" i="7"/>
  <c r="AC29" i="7"/>
  <c r="AG38" i="10"/>
  <c r="AF38" i="10"/>
  <c r="BO62" i="5"/>
  <c r="AJ24" i="5"/>
  <c r="AX24" i="5"/>
  <c r="AO24" i="5"/>
  <c r="AS24" i="5"/>
  <c r="P23" i="10"/>
  <c r="Z63" i="9"/>
  <c r="AG63" i="9"/>
  <c r="AE19" i="5"/>
  <c r="AX22" i="12"/>
  <c r="BB18" i="7"/>
  <c r="BC18" i="7"/>
  <c r="AH18" i="7"/>
  <c r="AF44" i="12"/>
  <c r="AN44" i="12"/>
  <c r="V44" i="12"/>
  <c r="AV22" i="12"/>
  <c r="BC24" i="5"/>
  <c r="AZ24" i="5"/>
  <c r="T23" i="10"/>
  <c r="X23" i="10"/>
  <c r="AL63" i="9"/>
  <c r="AC63" i="9"/>
  <c r="AA18" i="7"/>
  <c r="Z18" i="7"/>
  <c r="AJ18" i="5"/>
  <c r="AQ44" i="12"/>
  <c r="AR24" i="5"/>
  <c r="AB24" i="5"/>
  <c r="AH63" i="9"/>
  <c r="AI63" i="9"/>
  <c r="AH44" i="12"/>
  <c r="BG62" i="5"/>
  <c r="BC62" i="5"/>
  <c r="AC52" i="5"/>
  <c r="Z52" i="5"/>
  <c r="AG52" i="5"/>
  <c r="K62" i="5"/>
  <c r="U52" i="5"/>
  <c r="BJ62" i="5"/>
  <c r="BH52" i="5"/>
  <c r="BM62" i="5"/>
  <c r="AP61" i="5"/>
  <c r="X52" i="5"/>
  <c r="BF22" i="5"/>
  <c r="BA62" i="5"/>
  <c r="AD61" i="5"/>
  <c r="L52" i="5"/>
  <c r="BI22" i="5"/>
  <c r="BA22" i="5"/>
  <c r="AW62" i="5"/>
  <c r="BQ62" i="5"/>
  <c r="AX40" i="5"/>
  <c r="BS52" i="5"/>
  <c r="BH22" i="5"/>
  <c r="AQ61" i="10"/>
  <c r="K61" i="10"/>
  <c r="AH61" i="10"/>
  <c r="AW61" i="10"/>
  <c r="BR61" i="10"/>
  <c r="BE62" i="5"/>
  <c r="BM61" i="5"/>
  <c r="H52" i="5"/>
  <c r="BE22" i="5"/>
  <c r="BJ61" i="10"/>
  <c r="AK61" i="10"/>
  <c r="BL61" i="10"/>
  <c r="BT62" i="5"/>
  <c r="W52" i="5"/>
  <c r="S52" i="5"/>
  <c r="BD22" i="5"/>
  <c r="L22" i="5"/>
  <c r="AS61" i="10"/>
  <c r="W61" i="10"/>
  <c r="BN61" i="10"/>
  <c r="AZ61" i="10"/>
  <c r="V61" i="10"/>
  <c r="BH62" i="5"/>
  <c r="BP62" i="5"/>
  <c r="AY61" i="5"/>
  <c r="V61" i="5"/>
  <c r="P52" i="5"/>
  <c r="K52" i="5"/>
  <c r="BN52" i="5"/>
  <c r="BT61" i="5"/>
  <c r="BT52" i="5"/>
  <c r="BB62" i="5"/>
  <c r="BH61" i="5"/>
  <c r="I52" i="5"/>
  <c r="BF62" i="5"/>
  <c r="BP52" i="5"/>
  <c r="BI62" i="5"/>
  <c r="AJ61" i="5"/>
  <c r="Q52" i="5"/>
  <c r="BL62" i="5"/>
  <c r="L61" i="5"/>
  <c r="BL22" i="5"/>
  <c r="AZ62" i="5"/>
  <c r="BG52" i="5"/>
  <c r="Q61" i="10"/>
  <c r="BK62" i="5"/>
  <c r="I62" i="5"/>
  <c r="AO61" i="5"/>
  <c r="AB52" i="5"/>
  <c r="BJ22" i="5"/>
  <c r="BB22" i="5"/>
  <c r="BN22" i="5"/>
  <c r="I61" i="10"/>
  <c r="AV61" i="10"/>
  <c r="AF61" i="10"/>
  <c r="BI61" i="10"/>
  <c r="R61" i="10"/>
  <c r="AC61" i="10"/>
  <c r="AV62" i="5"/>
  <c r="BD62" i="5"/>
  <c r="AM61" i="5"/>
  <c r="J61" i="5"/>
  <c r="BK52" i="5"/>
  <c r="BR52" i="5"/>
  <c r="AD52" i="5"/>
  <c r="BN62" i="5"/>
  <c r="BR62" i="5"/>
  <c r="T61" i="5"/>
  <c r="AX62" i="5"/>
  <c r="AV61" i="5"/>
  <c r="AN62" i="5"/>
  <c r="AZ22" i="5"/>
  <c r="J62" i="5"/>
  <c r="BM52" i="5"/>
  <c r="Q40" i="5"/>
  <c r="AF52" i="5"/>
  <c r="AK52" i="5"/>
  <c r="AX22" i="5"/>
  <c r="R61" i="5"/>
  <c r="T52" i="5"/>
  <c r="BM22" i="5"/>
  <c r="M62" i="5"/>
  <c r="AT61" i="5"/>
  <c r="BL52" i="5"/>
  <c r="BC22" i="5"/>
  <c r="T61" i="10"/>
  <c r="AH61" i="5"/>
  <c r="BO22" i="5"/>
  <c r="AW22" i="5"/>
  <c r="L61" i="10"/>
  <c r="AA61" i="10"/>
  <c r="AI61" i="10"/>
  <c r="BC61" i="10"/>
  <c r="BA61" i="10"/>
  <c r="AY62" i="5"/>
  <c r="L62" i="5"/>
  <c r="AA61" i="5"/>
  <c r="BE61" i="5"/>
  <c r="O52" i="5"/>
  <c r="BQ52" i="5"/>
  <c r="AI44" i="5"/>
  <c r="AV44" i="5"/>
  <c r="Y44" i="5"/>
  <c r="AZ44" i="5"/>
  <c r="AQ44" i="5"/>
  <c r="L40" i="5"/>
  <c r="AW44" i="5"/>
  <c r="AP44" i="5"/>
  <c r="AC44" i="5"/>
  <c r="BB44" i="5"/>
  <c r="AG44" i="5"/>
  <c r="AO44" i="5"/>
  <c r="AE52" i="5"/>
  <c r="AA44" i="5"/>
  <c r="BA44" i="5"/>
  <c r="AZ66" i="5"/>
  <c r="AM44" i="5"/>
  <c r="AY44" i="5"/>
  <c r="AY66" i="5"/>
  <c r="AH44" i="5"/>
  <c r="Z44" i="5"/>
  <c r="AY56" i="5"/>
  <c r="BS42" i="5"/>
  <c r="AT44" i="5"/>
  <c r="AL44" i="5"/>
  <c r="BG42" i="5"/>
  <c r="AG42" i="5"/>
  <c r="Z40" i="5"/>
  <c r="AE40" i="12"/>
  <c r="AD40" i="12"/>
  <c r="BA61" i="5"/>
  <c r="BJ61" i="5"/>
  <c r="X61" i="5"/>
  <c r="BQ61" i="5"/>
  <c r="BP42" i="5"/>
  <c r="BG40" i="5"/>
  <c r="AA52" i="5"/>
  <c r="AI52" i="5"/>
  <c r="BD52" i="5"/>
  <c r="BD42" i="5"/>
  <c r="BE40" i="5"/>
  <c r="AX66" i="5"/>
  <c r="T54" i="5"/>
  <c r="AC61" i="5"/>
  <c r="AL61" i="5"/>
  <c r="BS61" i="5"/>
  <c r="AS61" i="5"/>
  <c r="AR42" i="5"/>
  <c r="AG40" i="5"/>
  <c r="R42" i="11"/>
  <c r="P42" i="11"/>
  <c r="P34" i="7"/>
  <c r="AN40" i="12"/>
  <c r="R34" i="7"/>
  <c r="BO61" i="5"/>
  <c r="Q61" i="5"/>
  <c r="Z61" i="5"/>
  <c r="BG61" i="5"/>
  <c r="AG61" i="5"/>
  <c r="BL42" i="5"/>
  <c r="AE40" i="5"/>
  <c r="AW66" i="5"/>
  <c r="Q34" i="7"/>
  <c r="AB40" i="12"/>
  <c r="BC61" i="5"/>
  <c r="BL61" i="5"/>
  <c r="N61" i="5"/>
  <c r="AU61" i="5"/>
  <c r="U61" i="5"/>
  <c r="AF61" i="5"/>
  <c r="AZ42" i="5"/>
  <c r="BD61" i="5"/>
  <c r="N52" i="5"/>
  <c r="BF52" i="5"/>
  <c r="BO52" i="5"/>
  <c r="Y42" i="11"/>
  <c r="O34" i="7"/>
  <c r="AZ40" i="12"/>
  <c r="AQ61" i="5"/>
  <c r="AZ61" i="5"/>
  <c r="BI61" i="5"/>
  <c r="AI61" i="5"/>
  <c r="I61" i="5"/>
  <c r="BK42" i="5"/>
  <c r="BI52" i="5"/>
  <c r="AH52" i="5"/>
  <c r="BC52" i="5"/>
  <c r="V42" i="11"/>
  <c r="X42" i="11"/>
  <c r="AR34" i="7"/>
  <c r="AL40" i="12"/>
  <c r="AQ43" i="10"/>
  <c r="AE61" i="5"/>
  <c r="AN61" i="5"/>
  <c r="AW61" i="5"/>
  <c r="W61" i="5"/>
  <c r="AY42" i="5"/>
  <c r="Y52" i="5"/>
  <c r="V52" i="5"/>
  <c r="AQ52" i="5"/>
  <c r="T42" i="11"/>
  <c r="AL42" i="11"/>
  <c r="AF40" i="12"/>
  <c r="BE40" i="12"/>
  <c r="S61" i="5"/>
  <c r="AB61" i="5"/>
  <c r="AK61" i="5"/>
  <c r="K61" i="5"/>
  <c r="AV42" i="5"/>
  <c r="BJ42" i="5"/>
  <c r="M52" i="5"/>
  <c r="J52" i="5"/>
  <c r="BB66" i="5"/>
  <c r="AV66" i="5"/>
  <c r="BB40" i="12"/>
  <c r="AI40" i="12"/>
  <c r="N54" i="5"/>
  <c r="BN61" i="5"/>
  <c r="P61" i="5"/>
  <c r="Y61" i="5"/>
  <c r="BR61" i="5"/>
  <c r="AJ42" i="5"/>
  <c r="AX40" i="12"/>
  <c r="AQ40" i="12"/>
  <c r="BB61" i="5"/>
  <c r="BK61" i="5"/>
  <c r="M61" i="5"/>
  <c r="BF61" i="5"/>
  <c r="L42" i="5"/>
  <c r="AR61" i="5"/>
  <c r="AO40" i="5"/>
  <c r="BA66" i="5"/>
  <c r="Y67" i="10"/>
  <c r="AU42" i="5"/>
  <c r="H42" i="5"/>
  <c r="AX42" i="5"/>
  <c r="N55" i="7"/>
  <c r="AW42" i="5"/>
  <c r="K42" i="5"/>
  <c r="BO42" i="5"/>
  <c r="BR42" i="5"/>
  <c r="BC42" i="5"/>
  <c r="S54" i="5"/>
  <c r="S55" i="7"/>
  <c r="BF42" i="5"/>
  <c r="AQ42" i="5"/>
  <c r="BI42" i="5"/>
  <c r="AT42" i="5"/>
  <c r="BN42" i="5"/>
  <c r="J42" i="5"/>
  <c r="BB42" i="5"/>
  <c r="V54" i="5"/>
  <c r="BQ42" i="5"/>
  <c r="AP42" i="5"/>
  <c r="U54" i="5"/>
  <c r="Q54" i="5"/>
  <c r="R54" i="5"/>
  <c r="BT42" i="5"/>
  <c r="BE42" i="5"/>
  <c r="BM42" i="5"/>
  <c r="Y42" i="5"/>
  <c r="Q55" i="7"/>
  <c r="BH42" i="5"/>
  <c r="AS42" i="5"/>
  <c r="BA42" i="5"/>
  <c r="BA54" i="5"/>
  <c r="AV67" i="10"/>
  <c r="AZ54" i="5"/>
  <c r="AD54" i="5"/>
  <c r="U67" i="7"/>
  <c r="AQ55" i="7"/>
  <c r="AY54" i="5"/>
  <c r="AP54" i="5"/>
  <c r="BA42" i="7"/>
  <c r="AO43" i="10"/>
  <c r="BC43" i="10"/>
  <c r="AH65" i="11"/>
  <c r="T67" i="11"/>
  <c r="Y34" i="10"/>
  <c r="AP35" i="7"/>
  <c r="AK49" i="5"/>
  <c r="AW28" i="11"/>
  <c r="AD37" i="10"/>
  <c r="AT67" i="10"/>
  <c r="U67" i="11"/>
  <c r="AJ58" i="7"/>
  <c r="AG37" i="10"/>
  <c r="AS38" i="12"/>
  <c r="AT38" i="12"/>
  <c r="BB40" i="10"/>
  <c r="BA67" i="10"/>
  <c r="N71" i="10"/>
  <c r="AL33" i="11"/>
  <c r="AP33" i="11"/>
  <c r="S33" i="11"/>
  <c r="AR37" i="11"/>
  <c r="AD33" i="11"/>
  <c r="AB33" i="11"/>
  <c r="AQ33" i="11"/>
  <c r="AI65" i="11"/>
  <c r="AR52" i="5"/>
  <c r="AE37" i="11"/>
  <c r="AB37" i="11"/>
  <c r="AM33" i="11"/>
  <c r="R33" i="11"/>
  <c r="AD37" i="11"/>
  <c r="AF33" i="11"/>
  <c r="AV37" i="11"/>
  <c r="BD37" i="11"/>
  <c r="AE53" i="5"/>
  <c r="AZ37" i="11"/>
  <c r="BF37" i="11"/>
  <c r="AW46" i="7"/>
  <c r="AX37" i="10"/>
  <c r="BA37" i="11"/>
  <c r="AL37" i="11"/>
  <c r="AH33" i="11"/>
  <c r="AK33" i="11"/>
  <c r="U33" i="11"/>
  <c r="AF37" i="11"/>
  <c r="AK65" i="11"/>
  <c r="BB67" i="10"/>
  <c r="AT37" i="11"/>
  <c r="Y33" i="11"/>
  <c r="AS33" i="11"/>
  <c r="AY37" i="11"/>
  <c r="AA58" i="7"/>
  <c r="AZ46" i="7"/>
  <c r="AM46" i="7"/>
  <c r="AH37" i="10"/>
  <c r="V53" i="5"/>
  <c r="AU46" i="7"/>
  <c r="BB42" i="7"/>
  <c r="AO37" i="11"/>
  <c r="AS37" i="11"/>
  <c r="X43" i="10"/>
  <c r="AY21" i="10"/>
  <c r="X54" i="5"/>
  <c r="BA21" i="10"/>
  <c r="X33" i="11"/>
  <c r="AZ37" i="10"/>
  <c r="Q33" i="11"/>
  <c r="AR33" i="11"/>
  <c r="W33" i="11"/>
  <c r="T33" i="11"/>
  <c r="AT52" i="5"/>
  <c r="AT33" i="11"/>
  <c r="AN33" i="11"/>
  <c r="AP53" i="10"/>
  <c r="AB53" i="5"/>
  <c r="AU37" i="11"/>
  <c r="AO33" i="11"/>
  <c r="AV21" i="10"/>
  <c r="AU37" i="10"/>
  <c r="AQ37" i="10"/>
  <c r="AX42" i="7"/>
  <c r="AA33" i="11"/>
  <c r="AX67" i="10"/>
  <c r="AJ52" i="5"/>
  <c r="R62" i="5"/>
  <c r="BG32" i="12"/>
  <c r="AZ32" i="12"/>
  <c r="AC58" i="7"/>
  <c r="AY45" i="12"/>
  <c r="W30" i="11"/>
  <c r="Q71" i="10"/>
  <c r="Z62" i="5"/>
  <c r="BF32" i="12"/>
  <c r="BA45" i="12"/>
  <c r="AG49" i="5"/>
  <c r="AV45" i="12"/>
  <c r="AG30" i="11"/>
  <c r="AR62" i="12"/>
  <c r="AQ58" i="7"/>
  <c r="Q30" i="5"/>
  <c r="AS28" i="11"/>
  <c r="AY28" i="11"/>
  <c r="R30" i="11"/>
  <c r="AI26" i="11"/>
  <c r="BA38" i="12"/>
  <c r="AX45" i="12"/>
  <c r="BA56" i="5"/>
  <c r="Q71" i="5"/>
  <c r="AI62" i="12"/>
  <c r="AV28" i="11"/>
  <c r="AF28" i="11"/>
  <c r="X55" i="11"/>
  <c r="P55" i="11"/>
  <c r="AB55" i="11"/>
  <c r="AG62" i="5"/>
  <c r="AL71" i="5"/>
  <c r="BC28" i="11"/>
  <c r="S35" i="12"/>
  <c r="AW45" i="12"/>
  <c r="U62" i="5"/>
  <c r="AO71" i="5"/>
  <c r="N71" i="5"/>
  <c r="P30" i="5"/>
  <c r="V71" i="5"/>
  <c r="AS71" i="5"/>
  <c r="AR50" i="5"/>
  <c r="AV32" i="12"/>
  <c r="AT45" i="10"/>
  <c r="W67" i="7"/>
  <c r="BC38" i="12"/>
  <c r="AY38" i="12"/>
  <c r="AE45" i="12"/>
  <c r="AL67" i="7"/>
  <c r="AP38" i="12"/>
  <c r="AV38" i="12"/>
  <c r="AZ28" i="7"/>
  <c r="AZ38" i="12"/>
  <c r="S66" i="12"/>
  <c r="W66" i="12"/>
  <c r="AF71" i="5"/>
  <c r="AI17" i="10"/>
  <c r="AM22" i="10"/>
  <c r="AJ23" i="12"/>
  <c r="AI49" i="5"/>
  <c r="V50" i="5"/>
  <c r="AY60" i="5"/>
  <c r="N22" i="10"/>
  <c r="AT23" i="12"/>
  <c r="N62" i="5"/>
  <c r="AT45" i="12"/>
  <c r="BD45" i="12"/>
  <c r="AI37" i="7"/>
  <c r="V30" i="11"/>
  <c r="S30" i="11"/>
  <c r="AH39" i="11"/>
  <c r="Y71" i="10"/>
  <c r="AS62" i="5"/>
  <c r="AO62" i="5"/>
  <c r="AF49" i="5"/>
  <c r="AN45" i="12"/>
  <c r="P30" i="11"/>
  <c r="AK22" i="10"/>
  <c r="AP71" i="10"/>
  <c r="P67" i="11"/>
  <c r="BF36" i="12"/>
  <c r="AW36" i="12"/>
  <c r="BC39" i="11"/>
  <c r="BB28" i="7"/>
  <c r="AN49" i="5"/>
  <c r="AZ45" i="12"/>
  <c r="AC30" i="11"/>
  <c r="V67" i="11"/>
  <c r="AJ67" i="11"/>
  <c r="Z67" i="11"/>
  <c r="AS28" i="7"/>
  <c r="AJ66" i="12"/>
  <c r="BB45" i="12"/>
  <c r="AS45" i="12"/>
  <c r="AB45" i="12"/>
  <c r="AR30" i="11"/>
  <c r="AQ30" i="11"/>
  <c r="AB23" i="7"/>
  <c r="AO56" i="5"/>
  <c r="AM42" i="5"/>
  <c r="AU56" i="5"/>
  <c r="AL42" i="5"/>
  <c r="R40" i="11"/>
  <c r="AK42" i="5"/>
  <c r="AA56" i="5"/>
  <c r="AX56" i="5"/>
  <c r="AP56" i="5"/>
  <c r="AL56" i="5"/>
  <c r="AN45" i="10"/>
  <c r="AU28" i="7"/>
  <c r="AE66" i="12"/>
  <c r="AR71" i="5"/>
  <c r="AN58" i="7"/>
  <c r="AQ45" i="10"/>
  <c r="P67" i="7"/>
  <c r="AO37" i="10"/>
  <c r="AS37" i="10"/>
  <c r="Z42" i="7"/>
  <c r="AV54" i="11"/>
  <c r="AI66" i="12"/>
  <c r="AG45" i="12"/>
  <c r="AJ45" i="12"/>
  <c r="AF45" i="12"/>
  <c r="AO58" i="7"/>
  <c r="AV23" i="12"/>
  <c r="BG23" i="12"/>
  <c r="S67" i="7"/>
  <c r="AD67" i="10"/>
  <c r="P46" i="5"/>
  <c r="AC62" i="5"/>
  <c r="AO52" i="5"/>
  <c r="BD56" i="11"/>
  <c r="AF37" i="7"/>
  <c r="BA40" i="7"/>
  <c r="AD71" i="5"/>
  <c r="AL58" i="7"/>
  <c r="AY45" i="10"/>
  <c r="R62" i="12"/>
  <c r="BB56" i="11"/>
  <c r="BG45" i="11"/>
  <c r="T66" i="12"/>
  <c r="BF23" i="12"/>
  <c r="AY21" i="12"/>
  <c r="AU62" i="5"/>
  <c r="AA62" i="5"/>
  <c r="AH71" i="5"/>
  <c r="W62" i="12"/>
  <c r="AC56" i="10"/>
  <c r="AB37" i="10"/>
  <c r="BD54" i="11"/>
  <c r="U30" i="11"/>
  <c r="T30" i="11"/>
  <c r="S39" i="10"/>
  <c r="AT65" i="11"/>
  <c r="AN23" i="12"/>
  <c r="AH49" i="5"/>
  <c r="AM54" i="5"/>
  <c r="AB54" i="5"/>
  <c r="AO54" i="5"/>
  <c r="AL62" i="5"/>
  <c r="AI62" i="5"/>
  <c r="T62" i="5"/>
  <c r="S42" i="5"/>
  <c r="N42" i="5"/>
  <c r="BF21" i="12"/>
  <c r="BF45" i="11"/>
  <c r="Z35" i="7"/>
  <c r="BE45" i="11"/>
  <c r="BA56" i="11"/>
  <c r="BB18" i="12"/>
  <c r="BD29" i="12"/>
  <c r="U56" i="10"/>
  <c r="AK58" i="12"/>
  <c r="AW45" i="10"/>
  <c r="S50" i="7"/>
  <c r="BA45" i="11"/>
  <c r="AC66" i="12"/>
  <c r="AH45" i="12"/>
  <c r="Q26" i="11"/>
  <c r="AX32" i="12"/>
  <c r="AW42" i="7"/>
  <c r="AK45" i="12"/>
  <c r="S58" i="7"/>
  <c r="AJ54" i="5"/>
  <c r="AT62" i="5"/>
  <c r="AI67" i="11"/>
  <c r="Y67" i="11"/>
  <c r="AY32" i="12"/>
  <c r="AM42" i="7"/>
  <c r="P71" i="7"/>
  <c r="AM49" i="5"/>
  <c r="AU34" i="11"/>
  <c r="AU40" i="10"/>
  <c r="AO45" i="12"/>
  <c r="BC55" i="7"/>
  <c r="AH40" i="7"/>
  <c r="AD65" i="11"/>
  <c r="AL23" i="12"/>
  <c r="T64" i="11"/>
  <c r="Z71" i="10"/>
  <c r="AV54" i="5"/>
  <c r="AK62" i="5"/>
  <c r="AV56" i="5"/>
  <c r="X42" i="5"/>
  <c r="U42" i="5"/>
  <c r="AU62" i="12"/>
  <c r="AK34" i="11"/>
  <c r="AN66" i="12"/>
  <c r="AL30" i="11"/>
  <c r="AM40" i="7"/>
  <c r="AQ67" i="11"/>
  <c r="T58" i="7"/>
  <c r="AX46" i="7"/>
  <c r="S62" i="12"/>
  <c r="AN37" i="10"/>
  <c r="AT42" i="7"/>
  <c r="AW38" i="12"/>
  <c r="AS66" i="12"/>
  <c r="AI45" i="12"/>
  <c r="Z67" i="7"/>
  <c r="AP41" i="12"/>
  <c r="AZ23" i="12"/>
  <c r="AN67" i="10"/>
  <c r="AU67" i="10"/>
  <c r="T67" i="7"/>
  <c r="AU54" i="5"/>
  <c r="AP62" i="5"/>
  <c r="AE54" i="5"/>
  <c r="S30" i="7"/>
  <c r="T58" i="12"/>
  <c r="AK37" i="7"/>
  <c r="BC40" i="7"/>
  <c r="V35" i="7"/>
  <c r="AR58" i="12"/>
  <c r="AD56" i="10"/>
  <c r="BE21" i="12"/>
  <c r="P40" i="11"/>
  <c r="AG35" i="7"/>
  <c r="AG17" i="10"/>
  <c r="Q30" i="7"/>
  <c r="AP40" i="7"/>
  <c r="AJ21" i="12"/>
  <c r="S30" i="5"/>
  <c r="N58" i="7"/>
  <c r="AK50" i="7"/>
  <c r="BC45" i="11"/>
  <c r="AD17" i="10"/>
  <c r="AE37" i="7"/>
  <c r="AL18" i="12"/>
  <c r="AV40" i="7"/>
  <c r="BG21" i="12"/>
  <c r="AJ71" i="5"/>
  <c r="AZ45" i="10"/>
  <c r="BE56" i="11"/>
  <c r="N17" i="10"/>
  <c r="AM17" i="10"/>
  <c r="Y66" i="12"/>
  <c r="AJ37" i="7"/>
  <c r="BF54" i="11"/>
  <c r="BD18" i="12"/>
  <c r="AZ40" i="7"/>
  <c r="T40" i="11"/>
  <c r="AS23" i="12"/>
  <c r="AR53" i="11"/>
  <c r="AT53" i="11"/>
  <c r="AS21" i="12"/>
  <c r="AD21" i="12"/>
  <c r="W26" i="11"/>
  <c r="AK46" i="5"/>
  <c r="AR62" i="5"/>
  <c r="Q62" i="5"/>
  <c r="AF56" i="5"/>
  <c r="AC56" i="5"/>
  <c r="Z56" i="5"/>
  <c r="AI56" i="5"/>
  <c r="AO42" i="5"/>
  <c r="AD37" i="7"/>
  <c r="AP17" i="10"/>
  <c r="BC37" i="7"/>
  <c r="AT58" i="12"/>
  <c r="P17" i="10"/>
  <c r="AH34" i="11"/>
  <c r="T35" i="12"/>
  <c r="AQ18" i="12"/>
  <c r="AI18" i="12"/>
  <c r="W39" i="10"/>
  <c r="AK21" i="12"/>
  <c r="AZ28" i="12"/>
  <c r="AL37" i="7"/>
  <c r="Y30" i="7"/>
  <c r="T39" i="10"/>
  <c r="AN62" i="7"/>
  <c r="U62" i="12"/>
  <c r="R17" i="10"/>
  <c r="AP34" i="11"/>
  <c r="AM37" i="7"/>
  <c r="AV23" i="7"/>
  <c r="Z71" i="5"/>
  <c r="AA30" i="5"/>
  <c r="W58" i="7"/>
  <c r="AX45" i="10"/>
  <c r="R67" i="7"/>
  <c r="AZ45" i="11"/>
  <c r="X17" i="10"/>
  <c r="U17" i="10"/>
  <c r="AP45" i="12"/>
  <c r="AU45" i="12"/>
  <c r="R39" i="10"/>
  <c r="S17" i="10"/>
  <c r="R58" i="12"/>
  <c r="AU40" i="7"/>
  <c r="AN23" i="7"/>
  <c r="AO23" i="7"/>
  <c r="AR69" i="11"/>
  <c r="AG21" i="12"/>
  <c r="AG56" i="11"/>
  <c r="BF18" i="12"/>
  <c r="BB40" i="7"/>
  <c r="AQ40" i="7"/>
  <c r="AU21" i="12"/>
  <c r="AB53" i="12"/>
  <c r="AV45" i="10"/>
  <c r="Y62" i="12"/>
  <c r="AB17" i="10"/>
  <c r="AE18" i="12"/>
  <c r="R71" i="5"/>
  <c r="N30" i="5"/>
  <c r="AU62" i="7"/>
  <c r="AL62" i="12"/>
  <c r="AV28" i="7"/>
  <c r="U66" i="12"/>
  <c r="X30" i="7"/>
  <c r="AN40" i="7"/>
  <c r="AI23" i="12"/>
  <c r="AN46" i="5"/>
  <c r="AI71" i="5"/>
  <c r="BE32" i="12"/>
  <c r="AB67" i="7"/>
  <c r="BE45" i="12"/>
  <c r="AR45" i="12"/>
  <c r="AY18" i="12"/>
  <c r="Y30" i="11"/>
  <c r="Q30" i="11"/>
  <c r="AQ23" i="12"/>
  <c r="AW21" i="12"/>
  <c r="Y62" i="5"/>
  <c r="AW56" i="5"/>
  <c r="T42" i="5"/>
  <c r="AN42" i="5"/>
  <c r="AM71" i="5"/>
  <c r="AU71" i="5"/>
  <c r="AT62" i="7"/>
  <c r="BA32" i="12"/>
  <c r="AP45" i="10"/>
  <c r="AI50" i="7"/>
  <c r="AC67" i="7"/>
  <c r="AD62" i="12"/>
  <c r="AE62" i="12"/>
  <c r="AA67" i="7"/>
  <c r="BC56" i="11"/>
  <c r="BA28" i="11"/>
  <c r="AE37" i="10"/>
  <c r="AK58" i="7"/>
  <c r="AL17" i="10"/>
  <c r="Q17" i="10"/>
  <c r="AA40" i="7"/>
  <c r="Q66" i="12"/>
  <c r="AH66" i="12"/>
  <c r="AK53" i="11"/>
  <c r="AL45" i="12"/>
  <c r="AC45" i="12"/>
  <c r="AC18" i="12"/>
  <c r="U30" i="7"/>
  <c r="AM30" i="11"/>
  <c r="AB30" i="11"/>
  <c r="AB40" i="7"/>
  <c r="AC26" i="11"/>
  <c r="AL21" i="12"/>
  <c r="AJ60" i="5"/>
  <c r="V62" i="5"/>
  <c r="P62" i="5"/>
  <c r="BC56" i="5"/>
  <c r="AN56" i="5"/>
  <c r="AK56" i="5"/>
  <c r="AB42" i="5"/>
  <c r="AY52" i="5"/>
  <c r="AS52" i="5"/>
  <c r="AS17" i="10"/>
  <c r="AS18" i="12"/>
  <c r="AZ56" i="11"/>
  <c r="AC37" i="7"/>
  <c r="Q40" i="11"/>
  <c r="AV62" i="7"/>
  <c r="AU45" i="10"/>
  <c r="AM50" i="7"/>
  <c r="BD45" i="11"/>
  <c r="AN37" i="7"/>
  <c r="BB23" i="7"/>
  <c r="AQ21" i="12"/>
  <c r="AA66" i="12"/>
  <c r="P71" i="5"/>
  <c r="AM58" i="7"/>
  <c r="BB32" i="12"/>
  <c r="AG58" i="7"/>
  <c r="BE29" i="12"/>
  <c r="AK62" i="12"/>
  <c r="AS67" i="7"/>
  <c r="AO67" i="7"/>
  <c r="AU42" i="7"/>
  <c r="BB43" i="10"/>
  <c r="T17" i="10"/>
  <c r="AJ34" i="11"/>
  <c r="P35" i="12"/>
  <c r="BB38" i="12"/>
  <c r="AR66" i="12"/>
  <c r="BF45" i="12"/>
  <c r="AQ45" i="12"/>
  <c r="BG45" i="12"/>
  <c r="AV37" i="7"/>
  <c r="BG54" i="11"/>
  <c r="AC40" i="11"/>
  <c r="AB40" i="11"/>
  <c r="BD23" i="12"/>
  <c r="AG26" i="11"/>
  <c r="AG54" i="5"/>
  <c r="AH54" i="5"/>
  <c r="AV60" i="5"/>
  <c r="S62" i="5"/>
  <c r="AQ56" i="5"/>
  <c r="AB56" i="5"/>
  <c r="Y56" i="5"/>
  <c r="AT56" i="5"/>
  <c r="AH62" i="5"/>
  <c r="AB62" i="5"/>
  <c r="AZ56" i="5"/>
  <c r="Z30" i="5"/>
  <c r="R30" i="5"/>
  <c r="AB58" i="7"/>
  <c r="AZ62" i="7"/>
  <c r="AI58" i="7"/>
  <c r="AM62" i="12"/>
  <c r="AO42" i="7"/>
  <c r="AT43" i="10"/>
  <c r="AF17" i="10"/>
  <c r="AI34" i="11"/>
  <c r="AN38" i="12"/>
  <c r="AD45" i="12"/>
  <c r="AM45" i="12"/>
  <c r="AN30" i="11"/>
  <c r="X40" i="11"/>
  <c r="AQ67" i="10"/>
  <c r="AY67" i="10"/>
  <c r="AS23" i="5"/>
  <c r="AT54" i="5"/>
  <c r="AX23" i="5"/>
  <c r="AA54" i="5"/>
  <c r="AG56" i="5"/>
  <c r="AE56" i="5"/>
  <c r="AH42" i="5"/>
  <c r="AU52" i="5"/>
  <c r="AF42" i="5"/>
  <c r="AC42" i="5"/>
  <c r="AX21" i="12"/>
  <c r="AJ56" i="5"/>
  <c r="P42" i="5"/>
  <c r="X56" i="5"/>
  <c r="AE42" i="5"/>
  <c r="AE51" i="5"/>
  <c r="AA17" i="10"/>
  <c r="Y17" i="10"/>
  <c r="V17" i="10"/>
  <c r="BB56" i="5"/>
  <c r="AI42" i="5"/>
  <c r="AD42" i="5"/>
  <c r="AA42" i="5"/>
  <c r="BC54" i="5"/>
  <c r="W42" i="5"/>
  <c r="R42" i="5"/>
  <c r="O42" i="5"/>
  <c r="BB52" i="5"/>
  <c r="AQ51" i="5"/>
  <c r="AD56" i="5"/>
  <c r="AM56" i="5"/>
  <c r="AL52" i="5"/>
  <c r="AD60" i="5"/>
  <c r="AM62" i="5"/>
  <c r="AE60" i="5"/>
  <c r="AC60" i="5"/>
  <c r="AK51" i="5"/>
  <c r="AI60" i="5"/>
  <c r="O17" i="10"/>
  <c r="AC17" i="10"/>
  <c r="T60" i="10"/>
  <c r="Q51" i="5"/>
  <c r="AI51" i="5"/>
  <c r="AN17" i="10"/>
  <c r="Z17" i="10"/>
  <c r="X23" i="7"/>
  <c r="AX23" i="7"/>
  <c r="Q64" i="11"/>
  <c r="X60" i="10"/>
  <c r="AK60" i="5"/>
  <c r="AW60" i="5"/>
  <c r="AR17" i="10"/>
  <c r="AK17" i="10"/>
  <c r="AQ17" i="10"/>
  <c r="W17" i="10"/>
  <c r="AI23" i="5"/>
  <c r="AY23" i="5"/>
  <c r="AU23" i="5"/>
  <c r="AE17" i="10"/>
  <c r="X23" i="5"/>
  <c r="BC23" i="5"/>
  <c r="AH17" i="10"/>
  <c r="AR23" i="5"/>
  <c r="AH23" i="5"/>
  <c r="V42" i="5"/>
  <c r="Q42" i="5"/>
  <c r="Z42" i="5"/>
  <c r="AO66" i="5"/>
  <c r="AC66" i="5"/>
  <c r="AO17" i="10"/>
  <c r="AS64" i="11"/>
  <c r="AS66" i="5"/>
  <c r="AQ23" i="5"/>
  <c r="V64" i="11"/>
  <c r="W66" i="5"/>
  <c r="AH18" i="12"/>
  <c r="BC18" i="12"/>
  <c r="AW18" i="12"/>
  <c r="AZ18" i="12"/>
  <c r="AR18" i="12"/>
  <c r="AG18" i="12"/>
  <c r="BG18" i="12"/>
  <c r="AD18" i="12"/>
  <c r="AP18" i="12"/>
  <c r="AF18" i="12"/>
  <c r="AU18" i="12"/>
  <c r="AN18" i="12"/>
  <c r="BA18" i="12"/>
  <c r="AB18" i="12"/>
  <c r="AG37" i="7"/>
  <c r="AX37" i="7"/>
  <c r="AZ37" i="7"/>
  <c r="BA37" i="7"/>
  <c r="AU37" i="7"/>
  <c r="AQ37" i="7"/>
  <c r="AP37" i="7"/>
  <c r="AT37" i="7"/>
  <c r="AH37" i="7"/>
  <c r="AB37" i="7"/>
  <c r="AW37" i="7"/>
  <c r="AY37" i="7"/>
  <c r="AS37" i="7"/>
  <c r="AR37" i="7"/>
  <c r="AA40" i="11"/>
  <c r="AD40" i="11"/>
  <c r="AI40" i="11"/>
  <c r="Y40" i="11"/>
  <c r="V40" i="11"/>
  <c r="Z40" i="11"/>
  <c r="U40" i="11"/>
  <c r="AG40" i="11"/>
  <c r="S40" i="11"/>
  <c r="AI69" i="11"/>
  <c r="AL69" i="11"/>
  <c r="AU69" i="11"/>
  <c r="T69" i="11"/>
  <c r="AH69" i="11"/>
  <c r="AT69" i="11"/>
  <c r="AS69" i="11"/>
  <c r="S69" i="11"/>
  <c r="AG69" i="11"/>
  <c r="AP69" i="11"/>
  <c r="O30" i="7"/>
  <c r="P30" i="7"/>
  <c r="R30" i="7"/>
  <c r="AA30" i="7"/>
  <c r="W30" i="7"/>
  <c r="V30" i="7"/>
  <c r="Z30" i="7"/>
  <c r="AE60" i="10"/>
  <c r="AE66" i="5"/>
  <c r="AL66" i="5"/>
  <c r="AU45" i="11"/>
  <c r="AS45" i="11"/>
  <c r="BB45" i="11"/>
  <c r="AR45" i="11"/>
  <c r="AJ35" i="7"/>
  <c r="AL35" i="7"/>
  <c r="AC21" i="12"/>
  <c r="BC21" i="12"/>
  <c r="AB21" i="12"/>
  <c r="AZ21" i="12"/>
  <c r="AE21" i="12"/>
  <c r="AP21" i="12"/>
  <c r="AM21" i="12"/>
  <c r="AR21" i="12"/>
  <c r="AO21" i="12"/>
  <c r="AV21" i="12"/>
  <c r="AH21" i="12"/>
  <c r="AT21" i="12"/>
  <c r="BA21" i="12"/>
  <c r="BB21" i="12"/>
  <c r="AF21" i="12"/>
  <c r="BD21" i="12"/>
  <c r="AI21" i="12"/>
  <c r="AI40" i="7"/>
  <c r="AG40" i="7"/>
  <c r="AX40" i="7"/>
  <c r="AT40" i="7"/>
  <c r="AY40" i="7"/>
  <c r="AE40" i="7"/>
  <c r="AS40" i="7"/>
  <c r="AL40" i="7"/>
  <c r="AO40" i="7"/>
  <c r="AD40" i="7"/>
  <c r="AC40" i="7"/>
  <c r="AR40" i="7"/>
  <c r="AW40" i="7"/>
  <c r="AJ40" i="7"/>
  <c r="BG56" i="11"/>
  <c r="AQ56" i="11"/>
  <c r="AM51" i="5"/>
  <c r="AJ51" i="5"/>
  <c r="AR51" i="5"/>
  <c r="X51" i="5"/>
  <c r="P51" i="5"/>
  <c r="T51" i="5"/>
  <c r="AB51" i="5"/>
  <c r="AC51" i="5"/>
  <c r="AG51" i="5"/>
  <c r="AD51" i="5"/>
  <c r="AL51" i="5"/>
  <c r="AP51" i="5"/>
  <c r="AJ64" i="11"/>
  <c r="AF60" i="10"/>
  <c r="AG45" i="10"/>
  <c r="AK45" i="10"/>
  <c r="BC45" i="10"/>
  <c r="BA45" i="10"/>
  <c r="AR45" i="10"/>
  <c r="BB45" i="10"/>
  <c r="AL45" i="10"/>
  <c r="Q35" i="12"/>
  <c r="W35" i="12"/>
  <c r="V35" i="12"/>
  <c r="U35" i="12"/>
  <c r="Y35" i="12"/>
  <c r="X56" i="10"/>
  <c r="T56" i="10"/>
  <c r="AI56" i="10"/>
  <c r="R56" i="10"/>
  <c r="Y56" i="10"/>
  <c r="Q56" i="10"/>
  <c r="AY28" i="7"/>
  <c r="BA28" i="7"/>
  <c r="AX28" i="7"/>
  <c r="V39" i="10"/>
  <c r="Q39" i="10"/>
  <c r="N39" i="10"/>
  <c r="P39" i="10"/>
  <c r="AO62" i="12"/>
  <c r="V62" i="12"/>
  <c r="AF62" i="12"/>
  <c r="AH62" i="12"/>
  <c r="Z62" i="12"/>
  <c r="AS62" i="12"/>
  <c r="T62" i="12"/>
  <c r="AA62" i="12"/>
  <c r="AJ62" i="12"/>
  <c r="X62" i="12"/>
  <c r="AC62" i="12"/>
  <c r="AQ62" i="12"/>
  <c r="P62" i="12"/>
  <c r="AP62" i="12"/>
  <c r="AN62" i="12"/>
  <c r="AB62" i="12"/>
  <c r="Q62" i="12"/>
  <c r="AE58" i="7"/>
  <c r="R58" i="7"/>
  <c r="V58" i="7"/>
  <c r="X58" i="7"/>
  <c r="U58" i="7"/>
  <c r="Y58" i="7"/>
  <c r="O58" i="7"/>
  <c r="AS58" i="7"/>
  <c r="AP58" i="7"/>
  <c r="Z58" i="7"/>
  <c r="AF58" i="7"/>
  <c r="P58" i="7"/>
  <c r="AR58" i="7"/>
  <c r="Q58" i="7"/>
  <c r="X30" i="5"/>
  <c r="Y30" i="5"/>
  <c r="X64" i="11"/>
  <c r="AT64" i="11"/>
  <c r="AD60" i="10"/>
  <c r="AA69" i="11"/>
  <c r="AF34" i="11"/>
  <c r="AV18" i="12"/>
  <c r="AS51" i="5"/>
  <c r="AS23" i="7"/>
  <c r="AD23" i="7"/>
  <c r="AQ23" i="7"/>
  <c r="AW23" i="7"/>
  <c r="AY23" i="7"/>
  <c r="AU23" i="7"/>
  <c r="AT23" i="7"/>
  <c r="BC23" i="7"/>
  <c r="AL23" i="7"/>
  <c r="AM60" i="10"/>
  <c r="R60" i="10"/>
  <c r="Q60" i="10"/>
  <c r="S60" i="10"/>
  <c r="Y60" i="10"/>
  <c r="AJ60" i="10"/>
  <c r="AK60" i="10"/>
  <c r="V60" i="10"/>
  <c r="P60" i="10"/>
  <c r="U60" i="10"/>
  <c r="AN60" i="10"/>
  <c r="AG60" i="10"/>
  <c r="AL60" i="10"/>
  <c r="N60" i="10"/>
  <c r="AH60" i="10"/>
  <c r="AC60" i="10"/>
  <c r="W60" i="10"/>
  <c r="Z64" i="11"/>
  <c r="AP64" i="11"/>
  <c r="Y64" i="11"/>
  <c r="AR64" i="11"/>
  <c r="U64" i="11"/>
  <c r="S64" i="11"/>
  <c r="AC64" i="11"/>
  <c r="AH64" i="11"/>
  <c r="AB64" i="11"/>
  <c r="AG64" i="11"/>
  <c r="AU64" i="11"/>
  <c r="AM64" i="11"/>
  <c r="P64" i="11"/>
  <c r="R64" i="11"/>
  <c r="AL64" i="11"/>
  <c r="W64" i="11"/>
  <c r="AQ64" i="11"/>
  <c r="AD64" i="11"/>
  <c r="AV28" i="12"/>
  <c r="AJ28" i="12"/>
  <c r="BB28" i="12"/>
  <c r="AS28" i="12"/>
  <c r="W58" i="12"/>
  <c r="AS58" i="12"/>
  <c r="Q58" i="12"/>
  <c r="AB58" i="12"/>
  <c r="P58" i="12"/>
  <c r="U58" i="12"/>
  <c r="AU58" i="12"/>
  <c r="AJ66" i="5"/>
  <c r="O66" i="5"/>
  <c r="V66" i="5"/>
  <c r="AA66" i="5"/>
  <c r="R66" i="5"/>
  <c r="T66" i="5"/>
  <c r="AT66" i="5"/>
  <c r="AP66" i="5"/>
  <c r="AH66" i="5"/>
  <c r="AM66" i="5"/>
  <c r="AD66" i="5"/>
  <c r="AK66" i="5"/>
  <c r="AB66" i="5"/>
  <c r="U66" i="5"/>
  <c r="AU66" i="5"/>
  <c r="N66" i="5"/>
  <c r="S66" i="5"/>
  <c r="AG66" i="5"/>
  <c r="Z66" i="5"/>
  <c r="Q66" i="5"/>
  <c r="BA23" i="7"/>
  <c r="AB34" i="11"/>
  <c r="AD34" i="11"/>
  <c r="AR34" i="11"/>
  <c r="AO34" i="11"/>
  <c r="AQ34" i="11"/>
  <c r="AM34" i="11"/>
  <c r="AL34" i="11"/>
  <c r="AN34" i="11"/>
  <c r="AG34" i="11"/>
  <c r="AO62" i="7"/>
  <c r="AX62" i="7"/>
  <c r="BC62" i="7"/>
  <c r="BB62" i="7"/>
  <c r="AP66" i="7"/>
  <c r="AR66" i="7"/>
  <c r="AE64" i="11"/>
  <c r="AA64" i="11"/>
  <c r="AO60" i="10"/>
  <c r="AY23" i="12"/>
  <c r="AX23" i="12"/>
  <c r="AP23" i="12"/>
  <c r="AO23" i="12"/>
  <c r="AC23" i="12"/>
  <c r="AM23" i="12"/>
  <c r="AB23" i="12"/>
  <c r="BE23" i="12"/>
  <c r="AE71" i="5"/>
  <c r="U71" i="5"/>
  <c r="O71" i="5"/>
  <c r="W71" i="5"/>
  <c r="AQ71" i="5"/>
  <c r="AP71" i="5"/>
  <c r="AT71" i="5"/>
  <c r="X71" i="5"/>
  <c r="S71" i="5"/>
  <c r="AG71" i="5"/>
  <c r="Y71" i="5"/>
  <c r="AK71" i="5"/>
  <c r="AA71" i="5"/>
  <c r="T71" i="5"/>
  <c r="AN71" i="5"/>
  <c r="AR46" i="5"/>
  <c r="W46" i="5"/>
  <c r="S46" i="5"/>
  <c r="Q43" i="11"/>
  <c r="R43" i="11"/>
  <c r="AQ43" i="11"/>
  <c r="AU66" i="12"/>
  <c r="AD66" i="12"/>
  <c r="AG66" i="12"/>
  <c r="AM66" i="12"/>
  <c r="AQ66" i="12"/>
  <c r="AO66" i="12"/>
  <c r="AK66" i="12"/>
  <c r="AL66" i="12"/>
  <c r="AT66" i="12"/>
  <c r="V66" i="12"/>
  <c r="X66" i="12"/>
  <c r="Z66" i="12"/>
  <c r="AB66" i="12"/>
  <c r="P66" i="12"/>
  <c r="R66" i="12"/>
  <c r="AF66" i="12"/>
  <c r="AN64" i="11"/>
  <c r="AB60" i="10"/>
  <c r="AN66" i="5"/>
  <c r="X66" i="5"/>
  <c r="BB23" i="5"/>
  <c r="AP23" i="5"/>
  <c r="AZ23" i="5"/>
  <c r="AV23" i="5"/>
  <c r="AT23" i="5"/>
  <c r="BA23" i="5"/>
  <c r="AJ67" i="7"/>
  <c r="AQ67" i="7"/>
  <c r="AF67" i="7"/>
  <c r="AG67" i="7"/>
  <c r="AR67" i="7"/>
  <c r="AK67" i="7"/>
  <c r="O67" i="7"/>
  <c r="AH67" i="7"/>
  <c r="X67" i="7"/>
  <c r="AN67" i="7"/>
  <c r="AP67" i="7"/>
  <c r="V67" i="7"/>
  <c r="AM67" i="7"/>
  <c r="N67" i="7"/>
  <c r="AD67" i="7"/>
  <c r="R26" i="11"/>
  <c r="V26" i="11"/>
  <c r="AA26" i="11"/>
  <c r="S26" i="11"/>
  <c r="AU26" i="11"/>
  <c r="T26" i="11"/>
  <c r="AK26" i="11"/>
  <c r="P26" i="11"/>
  <c r="V58" i="12"/>
  <c r="AT34" i="11"/>
  <c r="AY28" i="12"/>
  <c r="AO18" i="12"/>
  <c r="AX18" i="12"/>
  <c r="AE40" i="11"/>
  <c r="W40" i="11"/>
  <c r="AF40" i="11"/>
  <c r="AP23" i="7"/>
  <c r="Z60" i="10"/>
  <c r="O60" i="10"/>
  <c r="P66" i="5"/>
  <c r="O50" i="7"/>
  <c r="AZ23" i="7"/>
  <c r="AI64" i="11"/>
  <c r="AK64" i="11"/>
  <c r="AY62" i="7"/>
  <c r="AR66" i="5"/>
  <c r="AF64" i="11"/>
  <c r="AF66" i="5"/>
  <c r="AW62" i="7"/>
  <c r="S58" i="12"/>
  <c r="P50" i="7"/>
  <c r="AO37" i="7"/>
  <c r="AM18" i="12"/>
  <c r="Y58" i="12"/>
  <c r="AH50" i="7"/>
  <c r="Z71" i="7"/>
  <c r="AC34" i="11"/>
  <c r="AE34" i="11"/>
  <c r="AQ66" i="7"/>
  <c r="Y67" i="7"/>
  <c r="AT18" i="12"/>
  <c r="AJ18" i="12"/>
  <c r="BE18" i="12"/>
  <c r="T30" i="7"/>
  <c r="AF40" i="7"/>
  <c r="AW23" i="12"/>
  <c r="AA60" i="10"/>
  <c r="U26" i="11"/>
  <c r="AW23" i="5"/>
  <c r="AQ46" i="5"/>
  <c r="AO51" i="5"/>
  <c r="AI66" i="5"/>
  <c r="AY55" i="7"/>
  <c r="BA55" i="7"/>
  <c r="AE65" i="11"/>
  <c r="AS54" i="5"/>
  <c r="AQ54" i="5"/>
  <c r="BA52" i="5"/>
  <c r="AM52" i="5"/>
  <c r="O62" i="5"/>
  <c r="BA46" i="7"/>
  <c r="AJ37" i="10"/>
  <c r="AT37" i="10"/>
  <c r="AR37" i="10"/>
  <c r="AY42" i="7"/>
  <c r="AE43" i="10"/>
  <c r="Y43" i="10"/>
  <c r="BB55" i="7"/>
  <c r="AG65" i="11"/>
  <c r="BC67" i="10"/>
  <c r="AU55" i="7"/>
  <c r="AI54" i="5"/>
  <c r="W62" i="5"/>
  <c r="AD62" i="5"/>
  <c r="AV52" i="5"/>
  <c r="AN54" i="5"/>
  <c r="AF62" i="5"/>
  <c r="AX52" i="5"/>
  <c r="BC46" i="7"/>
  <c r="AY46" i="7"/>
  <c r="AK37" i="10"/>
  <c r="AV37" i="10"/>
  <c r="AY37" i="10"/>
  <c r="AP37" i="10"/>
  <c r="BC42" i="7"/>
  <c r="AH42" i="7"/>
  <c r="AG43" i="10"/>
  <c r="AY43" i="10"/>
  <c r="AZ55" i="7"/>
  <c r="AZ67" i="10"/>
  <c r="AF54" i="5"/>
  <c r="Y54" i="5"/>
  <c r="Z54" i="5"/>
  <c r="BB54" i="5"/>
  <c r="AJ62" i="5"/>
  <c r="AZ52" i="5"/>
  <c r="AP52" i="5"/>
  <c r="BB46" i="7"/>
  <c r="AI37" i="10"/>
  <c r="AW37" i="10"/>
  <c r="AV42" i="7"/>
  <c r="AF42" i="7"/>
  <c r="AJ43" i="10"/>
  <c r="AR67" i="10"/>
  <c r="AR54" i="5"/>
  <c r="AK54" i="5"/>
  <c r="AL54" i="5"/>
  <c r="X62" i="5"/>
  <c r="AQ62" i="5"/>
  <c r="AN52" i="5"/>
  <c r="AW52" i="5"/>
  <c r="AW54" i="5"/>
  <c r="AX54" i="5"/>
  <c r="AE62" i="5"/>
  <c r="AJ17" i="11"/>
  <c r="AI17" i="11"/>
  <c r="AR17" i="11"/>
  <c r="X46" i="5"/>
  <c r="AL78" i="11"/>
  <c r="BA78" i="11"/>
  <c r="L78" i="11"/>
  <c r="AT78" i="11"/>
  <c r="AD46" i="5"/>
  <c r="BM40" i="5"/>
  <c r="O40" i="5"/>
  <c r="AJ40" i="5"/>
  <c r="J40" i="5"/>
  <c r="BC40" i="5"/>
  <c r="BN40" i="5"/>
  <c r="AR23" i="12"/>
  <c r="AU23" i="12"/>
  <c r="AE23" i="12"/>
  <c r="BC23" i="12"/>
  <c r="BD17" i="11"/>
  <c r="AZ17" i="11"/>
  <c r="AK17" i="11"/>
  <c r="AJ46" i="5"/>
  <c r="AV78" i="11"/>
  <c r="BE78" i="11"/>
  <c r="R78" i="11"/>
  <c r="M78" i="11"/>
  <c r="Y46" i="5"/>
  <c r="AP46" i="5"/>
  <c r="BA40" i="5"/>
  <c r="BJ40" i="5"/>
  <c r="X40" i="5"/>
  <c r="BQ40" i="5"/>
  <c r="AQ40" i="5"/>
  <c r="AW17" i="11"/>
  <c r="AV17" i="11"/>
  <c r="BO78" i="11"/>
  <c r="AG78" i="11"/>
  <c r="AE78" i="11"/>
  <c r="T78" i="11"/>
  <c r="AN78" i="11"/>
  <c r="AB46" i="5"/>
  <c r="AE46" i="5"/>
  <c r="AC40" i="5"/>
  <c r="AL40" i="5"/>
  <c r="BS40" i="5"/>
  <c r="AS40" i="5"/>
  <c r="S40" i="5"/>
  <c r="BE17" i="11"/>
  <c r="BG17" i="11"/>
  <c r="W43" i="11"/>
  <c r="AH46" i="5"/>
  <c r="BL40" i="5"/>
  <c r="N40" i="5"/>
  <c r="AU40" i="5"/>
  <c r="U40" i="5"/>
  <c r="BB40" i="5"/>
  <c r="BF17" i="11"/>
  <c r="BC17" i="11"/>
  <c r="S43" i="11"/>
  <c r="K78" i="11"/>
  <c r="BJ78" i="11"/>
  <c r="BM78" i="11"/>
  <c r="AP78" i="11"/>
  <c r="AZ40" i="5"/>
  <c r="BI40" i="5"/>
  <c r="AI40" i="5"/>
  <c r="I40" i="5"/>
  <c r="AD23" i="12"/>
  <c r="AG17" i="11"/>
  <c r="T43" i="11"/>
  <c r="BB78" i="11"/>
  <c r="BT78" i="11"/>
  <c r="BQ78" i="11"/>
  <c r="P78" i="11"/>
  <c r="U46" i="5"/>
  <c r="AP40" i="5"/>
  <c r="AN40" i="5"/>
  <c r="AW40" i="5"/>
  <c r="W40" i="5"/>
  <c r="BP40" i="5"/>
  <c r="AF23" i="12"/>
  <c r="BA17" i="11"/>
  <c r="AE17" i="11"/>
  <c r="AQ17" i="11"/>
  <c r="V43" i="11"/>
  <c r="N78" i="11"/>
  <c r="AO78" i="11"/>
  <c r="BS78" i="11"/>
  <c r="AF78" i="11"/>
  <c r="O46" i="5"/>
  <c r="AQ78" i="11"/>
  <c r="AG46" i="5"/>
  <c r="AB40" i="5"/>
  <c r="AK40" i="5"/>
  <c r="K40" i="5"/>
  <c r="BD40" i="5"/>
  <c r="AI46" i="5"/>
  <c r="AK23" i="12"/>
  <c r="BA23" i="12"/>
  <c r="AH23" i="12"/>
  <c r="AL17" i="11"/>
  <c r="BB17" i="11"/>
  <c r="AY17" i="11"/>
  <c r="P43" i="11"/>
  <c r="X78" i="11"/>
  <c r="AS78" i="11"/>
  <c r="BC78" i="11"/>
  <c r="AH78" i="11"/>
  <c r="N46" i="5"/>
  <c r="AA46" i="5"/>
  <c r="Q46" i="5"/>
  <c r="AS46" i="5"/>
  <c r="AD40" i="5"/>
  <c r="P40" i="5"/>
  <c r="Y40" i="5"/>
  <c r="BR40" i="5"/>
  <c r="AR40" i="5"/>
  <c r="AM17" i="11"/>
  <c r="AO17" i="11"/>
  <c r="AB17" i="11"/>
  <c r="AF17" i="11"/>
  <c r="AS17" i="11"/>
  <c r="Q78" i="11"/>
  <c r="AU78" i="11"/>
  <c r="BK78" i="11"/>
  <c r="BH78" i="11"/>
  <c r="Z46" i="5"/>
  <c r="AM46" i="5"/>
  <c r="AC46" i="5"/>
  <c r="BK40" i="5"/>
  <c r="M40" i="5"/>
  <c r="BF40" i="5"/>
  <c r="AF40" i="5"/>
  <c r="BK78" i="7"/>
  <c r="AS78" i="7"/>
  <c r="M78" i="7"/>
  <c r="BH78" i="7"/>
  <c r="AP17" i="11"/>
  <c r="AT17" i="11"/>
  <c r="U78" i="11"/>
  <c r="AA78" i="11"/>
  <c r="Z78" i="11"/>
  <c r="BN78" i="11"/>
  <c r="AL46" i="5"/>
  <c r="AO46" i="5"/>
  <c r="T46" i="5"/>
  <c r="AY40" i="5"/>
  <c r="BT40" i="5"/>
  <c r="AT40" i="5"/>
  <c r="T40" i="5"/>
  <c r="BB23" i="12"/>
  <c r="AH17" i="11"/>
  <c r="AC17" i="11"/>
  <c r="AN17" i="11"/>
  <c r="AF46" i="5"/>
  <c r="AM40" i="5"/>
  <c r="BH40" i="5"/>
  <c r="AH40" i="5"/>
  <c r="H40" i="5"/>
  <c r="BR78" i="11"/>
  <c r="AU17" i="11"/>
  <c r="AD17" i="11"/>
  <c r="AY78" i="11"/>
  <c r="Y78" i="11"/>
  <c r="J78" i="11"/>
  <c r="AR78" i="11"/>
  <c r="R46" i="5"/>
  <c r="R40" i="5"/>
  <c r="AA40" i="5"/>
  <c r="AV40" i="5"/>
  <c r="V40" i="5"/>
  <c r="AA78" i="7"/>
  <c r="T78" i="7"/>
  <c r="BD37" i="12"/>
  <c r="BE37" i="12"/>
  <c r="AK24" i="12"/>
  <c r="Q36" i="11"/>
  <c r="X36" i="11"/>
  <c r="W36" i="11"/>
  <c r="Z36" i="11"/>
  <c r="R36" i="11"/>
  <c r="P36" i="11"/>
  <c r="AA36" i="11"/>
  <c r="S36" i="11"/>
  <c r="F67" i="2"/>
  <c r="AM52" i="7"/>
  <c r="AE24" i="12"/>
  <c r="AZ24" i="12"/>
  <c r="AJ34" i="10"/>
  <c r="AT34" i="10"/>
  <c r="U66" i="11"/>
  <c r="T43" i="12"/>
  <c r="AI43" i="12"/>
  <c r="X43" i="12"/>
  <c r="AS83" i="5"/>
  <c r="AW34" i="7"/>
  <c r="AQ64" i="7"/>
  <c r="AA60" i="12"/>
  <c r="AL72" i="10"/>
  <c r="W72" i="10"/>
  <c r="AQ72" i="10"/>
  <c r="AO72" i="10"/>
  <c r="T72" i="10"/>
  <c r="AS72" i="10"/>
  <c r="Y72" i="10"/>
  <c r="AC72" i="10"/>
  <c r="Z72" i="10"/>
  <c r="AD72" i="10"/>
  <c r="AI72" i="10"/>
  <c r="O72" i="10"/>
  <c r="AH72" i="10"/>
  <c r="Q72" i="10"/>
  <c r="AP72" i="10"/>
  <c r="V72" i="10"/>
  <c r="AN72" i="10"/>
  <c r="P72" i="10"/>
  <c r="X72" i="10"/>
  <c r="AG72" i="10"/>
  <c r="R72" i="10"/>
  <c r="AH64" i="10"/>
  <c r="T64" i="10"/>
  <c r="AR39" i="10"/>
  <c r="AK39" i="10"/>
  <c r="V68" i="10"/>
  <c r="AB72" i="10"/>
  <c r="Y36" i="11"/>
  <c r="AQ39" i="7"/>
  <c r="AP39" i="11"/>
  <c r="AK39" i="11"/>
  <c r="AC63" i="11"/>
  <c r="Q83" i="5"/>
  <c r="AQ76" i="5"/>
  <c r="P64" i="10"/>
  <c r="AJ24" i="12"/>
  <c r="AR44" i="10"/>
  <c r="AX44" i="10"/>
  <c r="BB44" i="10"/>
  <c r="AT44" i="10"/>
  <c r="AZ44" i="10"/>
  <c r="AY44" i="10"/>
  <c r="AV44" i="10"/>
  <c r="AW44" i="10"/>
  <c r="BD24" i="12"/>
  <c r="N68" i="10"/>
  <c r="AU39" i="11"/>
  <c r="AK52" i="7"/>
  <c r="AN24" i="12"/>
  <c r="AU24" i="12"/>
  <c r="AZ34" i="10"/>
  <c r="AD39" i="7"/>
  <c r="AT39" i="7"/>
  <c r="P39" i="7"/>
  <c r="AI39" i="7"/>
  <c r="X39" i="7"/>
  <c r="T39" i="7"/>
  <c r="AM39" i="7"/>
  <c r="R39" i="7"/>
  <c r="AS39" i="7"/>
  <c r="AN39" i="7"/>
  <c r="O39" i="7"/>
  <c r="AH34" i="7"/>
  <c r="U76" i="5"/>
  <c r="AH29" i="12"/>
  <c r="W66" i="11"/>
  <c r="AL43" i="12"/>
  <c r="AI64" i="7"/>
  <c r="AG64" i="7"/>
  <c r="Q64" i="7"/>
  <c r="P64" i="7"/>
  <c r="W64" i="7"/>
  <c r="Y64" i="7"/>
  <c r="AB64" i="7"/>
  <c r="AR64" i="7"/>
  <c r="AF64" i="7"/>
  <c r="AS64" i="7"/>
  <c r="AK64" i="7"/>
  <c r="AJ64" i="7"/>
  <c r="S64" i="7"/>
  <c r="T64" i="7"/>
  <c r="AD64" i="7"/>
  <c r="V64" i="7"/>
  <c r="AM64" i="7"/>
  <c r="AF34" i="7"/>
  <c r="AI60" i="12"/>
  <c r="R60" i="12"/>
  <c r="O64" i="10"/>
  <c r="U64" i="7"/>
  <c r="BG37" i="12"/>
  <c r="AP20" i="10"/>
  <c r="BA20" i="10"/>
  <c r="AY30" i="12"/>
  <c r="BD30" i="12"/>
  <c r="AX30" i="12"/>
  <c r="BC30" i="12"/>
  <c r="AF72" i="10"/>
  <c r="T36" i="11"/>
  <c r="Z39" i="7"/>
  <c r="AI63" i="11"/>
  <c r="Z64" i="7"/>
  <c r="AE64" i="7"/>
  <c r="AH51" i="11"/>
  <c r="Y51" i="11"/>
  <c r="AC83" i="5"/>
  <c r="AI20" i="5"/>
  <c r="N20" i="5"/>
  <c r="O20" i="5"/>
  <c r="AD60" i="12"/>
  <c r="AO60" i="12"/>
  <c r="X60" i="12"/>
  <c r="AT60" i="12"/>
  <c r="AM60" i="12"/>
  <c r="AN60" i="12"/>
  <c r="AV60" i="12"/>
  <c r="AE60" i="12"/>
  <c r="AB60" i="12"/>
  <c r="AL60" i="12"/>
  <c r="P60" i="12"/>
  <c r="AR60" i="12"/>
  <c r="Z60" i="12"/>
  <c r="AW60" i="12"/>
  <c r="AG60" i="12"/>
  <c r="Q60" i="12"/>
  <c r="AU60" i="12"/>
  <c r="AB39" i="10"/>
  <c r="AG39" i="10"/>
  <c r="AU39" i="10"/>
  <c r="BA39" i="10"/>
  <c r="AQ39" i="10"/>
  <c r="AC39" i="10"/>
  <c r="AT39" i="10"/>
  <c r="AO39" i="10"/>
  <c r="AZ39" i="10"/>
  <c r="AJ39" i="10"/>
  <c r="AP39" i="10"/>
  <c r="AD39" i="10"/>
  <c r="BB39" i="10"/>
  <c r="AW39" i="10"/>
  <c r="AV47" i="11"/>
  <c r="AX47" i="11"/>
  <c r="BC47" i="11"/>
  <c r="BA47" i="11"/>
  <c r="BG24" i="12"/>
  <c r="AF64" i="10"/>
  <c r="BA25" i="5"/>
  <c r="AE34" i="7"/>
  <c r="AU52" i="7"/>
  <c r="BC24" i="12"/>
  <c r="AH24" i="12"/>
  <c r="AC34" i="10"/>
  <c r="BG29" i="12"/>
  <c r="BF29" i="12"/>
  <c r="AL34" i="7"/>
  <c r="X76" i="5"/>
  <c r="AP60" i="12"/>
  <c r="AQ60" i="12"/>
  <c r="AH60" i="12"/>
  <c r="BA63" i="11"/>
  <c r="AD63" i="11"/>
  <c r="AL63" i="11"/>
  <c r="AG63" i="11"/>
  <c r="AJ63" i="11"/>
  <c r="AK63" i="11"/>
  <c r="AE63" i="11"/>
  <c r="N64" i="7"/>
  <c r="X83" i="5"/>
  <c r="AL64" i="10"/>
  <c r="AD64" i="10"/>
  <c r="AY68" i="11"/>
  <c r="P68" i="11"/>
  <c r="Y68" i="11"/>
  <c r="AF68" i="11"/>
  <c r="AJ68" i="11"/>
  <c r="AI68" i="11"/>
  <c r="AL68" i="11"/>
  <c r="AB68" i="11"/>
  <c r="AH68" i="11"/>
  <c r="AG68" i="11"/>
  <c r="AD68" i="11"/>
  <c r="Z68" i="11"/>
  <c r="V68" i="11"/>
  <c r="X68" i="11"/>
  <c r="T68" i="11"/>
  <c r="AA68" i="11"/>
  <c r="S68" i="11"/>
  <c r="AC68" i="11"/>
  <c r="AM68" i="11"/>
  <c r="AE68" i="11"/>
  <c r="BC39" i="10"/>
  <c r="AO68" i="10"/>
  <c r="AQ20" i="10"/>
  <c r="T54" i="12"/>
  <c r="AU39" i="7"/>
  <c r="Z68" i="5"/>
  <c r="Q68" i="5"/>
  <c r="AF29" i="12"/>
  <c r="AE43" i="12"/>
  <c r="AH43" i="12"/>
  <c r="AS60" i="12"/>
  <c r="W60" i="12"/>
  <c r="S68" i="10"/>
  <c r="AP68" i="10"/>
  <c r="AC76" i="5"/>
  <c r="U36" i="11"/>
  <c r="Y39" i="7"/>
  <c r="W39" i="7"/>
  <c r="AH64" i="7"/>
  <c r="BF47" i="11"/>
  <c r="AZ24" i="10"/>
  <c r="BF24" i="12"/>
  <c r="BE39" i="11"/>
  <c r="BA39" i="11"/>
  <c r="AD39" i="11"/>
  <c r="AV39" i="11"/>
  <c r="BF39" i="11"/>
  <c r="AQ39" i="11"/>
  <c r="AL39" i="11"/>
  <c r="AI39" i="11"/>
  <c r="AF39" i="11"/>
  <c r="AJ39" i="11"/>
  <c r="AO39" i="11"/>
  <c r="AM39" i="11"/>
  <c r="AS39" i="11"/>
  <c r="AR39" i="11"/>
  <c r="AZ39" i="11"/>
  <c r="BG39" i="11"/>
  <c r="AE39" i="11"/>
  <c r="AG39" i="11"/>
  <c r="AN39" i="11"/>
  <c r="AT39" i="11"/>
  <c r="V60" i="12"/>
  <c r="R31" i="5"/>
  <c r="O31" i="5"/>
  <c r="P31" i="5"/>
  <c r="N31" i="5"/>
  <c r="BC52" i="7"/>
  <c r="AI24" i="12"/>
  <c r="AG24" i="12"/>
  <c r="AE34" i="10"/>
  <c r="AH24" i="7"/>
  <c r="AW24" i="12"/>
  <c r="AF24" i="12"/>
  <c r="AL24" i="12"/>
  <c r="AK45" i="11"/>
  <c r="AY45" i="11"/>
  <c r="AV45" i="11"/>
  <c r="AT45" i="11"/>
  <c r="AX45" i="11"/>
  <c r="AO64" i="7"/>
  <c r="AM43" i="12"/>
  <c r="AA43" i="12"/>
  <c r="Y60" i="12"/>
  <c r="AA64" i="10"/>
  <c r="AR64" i="10"/>
  <c r="Z68" i="10"/>
  <c r="AE72" i="10"/>
  <c r="AB39" i="7"/>
  <c r="N39" i="7"/>
  <c r="AX39" i="11"/>
  <c r="AJ23" i="7"/>
  <c r="W23" i="7"/>
  <c r="AA23" i="7"/>
  <c r="AK23" i="7"/>
  <c r="R23" i="7"/>
  <c r="AF23" i="7"/>
  <c r="AC23" i="7"/>
  <c r="AH23" i="7"/>
  <c r="BB47" i="11"/>
  <c r="BD47" i="11"/>
  <c r="AK68" i="11"/>
  <c r="U68" i="11"/>
  <c r="AK31" i="5"/>
  <c r="AA31" i="5"/>
  <c r="AP24" i="12"/>
  <c r="AM68" i="10"/>
  <c r="AB68" i="10"/>
  <c r="Q68" i="10"/>
  <c r="O68" i="10"/>
  <c r="AK68" i="10"/>
  <c r="AS68" i="10"/>
  <c r="R68" i="10"/>
  <c r="AQ68" i="10"/>
  <c r="T68" i="10"/>
  <c r="Y68" i="10"/>
  <c r="AJ68" i="10"/>
  <c r="W68" i="10"/>
  <c r="AE68" i="10"/>
  <c r="AH68" i="10"/>
  <c r="AC68" i="10"/>
  <c r="AN68" i="10"/>
  <c r="X31" i="5"/>
  <c r="BB25" i="5"/>
  <c r="AX24" i="12"/>
  <c r="AW20" i="10"/>
  <c r="AU20" i="10"/>
  <c r="AV20" i="10"/>
  <c r="AR20" i="10"/>
  <c r="AY20" i="10"/>
  <c r="AT20" i="10"/>
  <c r="AZ20" i="10"/>
  <c r="BC20" i="10"/>
  <c r="AC29" i="12"/>
  <c r="AG29" i="12"/>
  <c r="S43" i="12"/>
  <c r="V43" i="12"/>
  <c r="Q43" i="12"/>
  <c r="AF60" i="12"/>
  <c r="AU44" i="10"/>
  <c r="AI68" i="10"/>
  <c r="AA72" i="10"/>
  <c r="AK39" i="7"/>
  <c r="BD39" i="11"/>
  <c r="BE47" i="11"/>
  <c r="BG47" i="11"/>
  <c r="Q68" i="11"/>
  <c r="X64" i="10"/>
  <c r="AO64" i="10"/>
  <c r="U64" i="10"/>
  <c r="AQ64" i="10"/>
  <c r="AN64" i="10"/>
  <c r="AP64" i="10"/>
  <c r="AB64" i="10"/>
  <c r="Y64" i="10"/>
  <c r="AE64" i="10"/>
  <c r="AC64" i="10"/>
  <c r="R64" i="10"/>
  <c r="W64" i="10"/>
  <c r="AJ64" i="10"/>
  <c r="N64" i="10"/>
  <c r="AM64" i="10"/>
  <c r="S64" i="10"/>
  <c r="Z64" i="10"/>
  <c r="V64" i="10"/>
  <c r="AI64" i="10"/>
  <c r="AS64" i="10"/>
  <c r="AX39" i="10"/>
  <c r="BD29" i="11"/>
  <c r="BF29" i="11"/>
  <c r="AV29" i="11"/>
  <c r="AX29" i="11"/>
  <c r="AC60" i="12"/>
  <c r="AN34" i="10"/>
  <c r="AD34" i="7"/>
  <c r="AU34" i="7"/>
  <c r="AM34" i="7"/>
  <c r="AI34" i="7"/>
  <c r="Y34" i="7"/>
  <c r="BB34" i="7"/>
  <c r="AB34" i="7"/>
  <c r="AS34" i="7"/>
  <c r="AD68" i="10"/>
  <c r="T31" i="5"/>
  <c r="AK76" i="5"/>
  <c r="AP76" i="5"/>
  <c r="AO76" i="5"/>
  <c r="AN76" i="5"/>
  <c r="AM76" i="5"/>
  <c r="Y76" i="5"/>
  <c r="R76" i="5"/>
  <c r="Q76" i="5"/>
  <c r="P76" i="5"/>
  <c r="O76" i="5"/>
  <c r="Z76" i="5"/>
  <c r="S76" i="5"/>
  <c r="AJ76" i="5"/>
  <c r="AI76" i="5"/>
  <c r="BA24" i="12"/>
  <c r="AM24" i="12"/>
  <c r="AR24" i="12"/>
  <c r="AY34" i="10"/>
  <c r="AA34" i="10"/>
  <c r="T66" i="11"/>
  <c r="AV34" i="7"/>
  <c r="U60" i="12"/>
  <c r="BC44" i="10"/>
  <c r="AK64" i="10"/>
  <c r="AM22" i="12"/>
  <c r="BE22" i="12"/>
  <c r="BB22" i="12"/>
  <c r="BG22" i="12"/>
  <c r="AZ22" i="12"/>
  <c r="AW22" i="12"/>
  <c r="BA22" i="12"/>
  <c r="AY22" i="12"/>
  <c r="BC22" i="12"/>
  <c r="AB76" i="5"/>
  <c r="AL68" i="10"/>
  <c r="BB20" i="10"/>
  <c r="AS30" i="11"/>
  <c r="AW30" i="11"/>
  <c r="AV30" i="11"/>
  <c r="AX30" i="11"/>
  <c r="AA30" i="11"/>
  <c r="AU30" i="11"/>
  <c r="AT30" i="11"/>
  <c r="AE30" i="11"/>
  <c r="AK30" i="11"/>
  <c r="AJ30" i="11"/>
  <c r="AO30" i="11"/>
  <c r="AI30" i="11"/>
  <c r="AH30" i="11"/>
  <c r="AP30" i="11"/>
  <c r="AY30" i="11"/>
  <c r="X30" i="11"/>
  <c r="AF30" i="11"/>
  <c r="AD30" i="11"/>
  <c r="AR72" i="10"/>
  <c r="AJ72" i="10"/>
  <c r="S39" i="7"/>
  <c r="AY39" i="11"/>
  <c r="AD76" i="5"/>
  <c r="AC24" i="12"/>
  <c r="AY24" i="12"/>
  <c r="S60" i="12"/>
  <c r="AZ25" i="5"/>
  <c r="BE24" i="12"/>
  <c r="AE29" i="12"/>
  <c r="BE29" i="11"/>
  <c r="U31" i="5"/>
  <c r="Z31" i="5"/>
  <c r="BC25" i="5"/>
  <c r="AC43" i="12"/>
  <c r="Y43" i="12"/>
  <c r="AT43" i="12"/>
  <c r="AW43" i="12"/>
  <c r="R43" i="12"/>
  <c r="AS43" i="12"/>
  <c r="AK43" i="12"/>
  <c r="AD43" i="12"/>
  <c r="AN43" i="12"/>
  <c r="U43" i="12"/>
  <c r="AF43" i="12"/>
  <c r="AD29" i="12"/>
  <c r="AB29" i="12"/>
  <c r="AI29" i="12"/>
  <c r="R66" i="11"/>
  <c r="Q66" i="11"/>
  <c r="V66" i="11"/>
  <c r="AV43" i="12"/>
  <c r="AB43" i="12"/>
  <c r="AN83" i="5"/>
  <c r="AL83" i="5"/>
  <c r="AI83" i="5"/>
  <c r="AB83" i="5"/>
  <c r="AM83" i="5"/>
  <c r="Z83" i="5"/>
  <c r="AK83" i="5"/>
  <c r="W83" i="5"/>
  <c r="R83" i="5"/>
  <c r="P83" i="5"/>
  <c r="AA83" i="5"/>
  <c r="N83" i="5"/>
  <c r="Y83" i="5"/>
  <c r="AJ83" i="5"/>
  <c r="AH83" i="5"/>
  <c r="AG83" i="5"/>
  <c r="V83" i="5"/>
  <c r="U83" i="5"/>
  <c r="AQ54" i="12"/>
  <c r="Q54" i="12"/>
  <c r="V54" i="12"/>
  <c r="P54" i="12"/>
  <c r="R54" i="12"/>
  <c r="AG34" i="7"/>
  <c r="AC34" i="7"/>
  <c r="AP64" i="7"/>
  <c r="AG63" i="10"/>
  <c r="AD63" i="10"/>
  <c r="AF63" i="10"/>
  <c r="AB63" i="10"/>
  <c r="AH63" i="10"/>
  <c r="AC63" i="10"/>
  <c r="Z63" i="10"/>
  <c r="BA44" i="10"/>
  <c r="S72" i="7"/>
  <c r="T72" i="7"/>
  <c r="AR72" i="7"/>
  <c r="Q72" i="7"/>
  <c r="AF72" i="7"/>
  <c r="AK72" i="7"/>
  <c r="AH72" i="7"/>
  <c r="AI72" i="7"/>
  <c r="U72" i="7"/>
  <c r="AC72" i="7"/>
  <c r="Q64" i="10"/>
  <c r="AN39" i="10"/>
  <c r="AA76" i="5"/>
  <c r="AN64" i="7"/>
  <c r="X68" i="10"/>
  <c r="BF37" i="12"/>
  <c r="AX20" i="10"/>
  <c r="N72" i="10"/>
  <c r="AM72" i="10"/>
  <c r="W54" i="12"/>
  <c r="AA39" i="7"/>
  <c r="BB39" i="11"/>
  <c r="AC39" i="11"/>
  <c r="AB39" i="11"/>
  <c r="AB63" i="11"/>
  <c r="AE76" i="5"/>
  <c r="R68" i="11"/>
  <c r="F68" i="2"/>
  <c r="BF18" i="11"/>
  <c r="AF99" i="5"/>
  <c r="AA53" i="10"/>
  <c r="T18" i="7"/>
  <c r="AD42" i="12"/>
  <c r="AR42" i="12"/>
  <c r="BG42" i="12"/>
  <c r="U99" i="5"/>
  <c r="V99" i="5"/>
  <c r="AP65" i="11"/>
  <c r="AF65" i="11"/>
  <c r="Y65" i="11"/>
  <c r="AM65" i="11"/>
  <c r="AZ48" i="7"/>
  <c r="AI48" i="7"/>
  <c r="AJ48" i="7"/>
  <c r="Z48" i="7"/>
  <c r="W41" i="12"/>
  <c r="T41" i="12"/>
  <c r="AI99" i="5"/>
  <c r="AT46" i="10"/>
  <c r="AX46" i="10"/>
  <c r="AO46" i="10"/>
  <c r="X46" i="10"/>
  <c r="AJ99" i="5"/>
  <c r="BA40" i="12"/>
  <c r="AK60" i="7"/>
  <c r="BC60" i="7"/>
  <c r="BG18" i="11"/>
  <c r="AQ53" i="10"/>
  <c r="BF48" i="11"/>
  <c r="BG48" i="11"/>
  <c r="AE18" i="7"/>
  <c r="AB18" i="7"/>
  <c r="AU18" i="7"/>
  <c r="AS18" i="7"/>
  <c r="AG99" i="5"/>
  <c r="AH99" i="5"/>
  <c r="AN65" i="11"/>
  <c r="AR65" i="11"/>
  <c r="AC65" i="11"/>
  <c r="AF48" i="7"/>
  <c r="AU48" i="7"/>
  <c r="AW48" i="7"/>
  <c r="U41" i="12"/>
  <c r="AU99" i="5"/>
  <c r="BB46" i="10"/>
  <c r="Z46" i="10"/>
  <c r="AB46" i="10"/>
  <c r="AI46" i="10"/>
  <c r="AW46" i="10"/>
  <c r="AP40" i="12"/>
  <c r="AH48" i="7"/>
  <c r="AJ18" i="7"/>
  <c r="AT18" i="7"/>
  <c r="Q18" i="7"/>
  <c r="AJ65" i="11"/>
  <c r="AG48" i="7"/>
  <c r="R41" i="12"/>
  <c r="P41" i="12"/>
  <c r="AO68" i="7"/>
  <c r="BC46" i="10"/>
  <c r="AL46" i="10"/>
  <c r="AY46" i="10"/>
  <c r="AG46" i="10"/>
  <c r="AJ40" i="12"/>
  <c r="AJ19" i="5"/>
  <c r="O19" i="5"/>
  <c r="BB48" i="7"/>
  <c r="AI18" i="11"/>
  <c r="AV53" i="10"/>
  <c r="AI18" i="7"/>
  <c r="AP18" i="7"/>
  <c r="U18" i="7"/>
  <c r="AE42" i="12"/>
  <c r="AJ42" i="12"/>
  <c r="AO42" i="12"/>
  <c r="AP68" i="7"/>
  <c r="AQ19" i="5"/>
  <c r="AO65" i="11"/>
  <c r="Q65" i="11"/>
  <c r="AB65" i="11"/>
  <c r="T65" i="11"/>
  <c r="AV48" i="7"/>
  <c r="X48" i="7"/>
  <c r="AR48" i="7"/>
  <c r="AK46" i="10"/>
  <c r="Y46" i="10"/>
  <c r="AM46" i="10"/>
  <c r="AC68" i="7"/>
  <c r="AY40" i="12"/>
  <c r="AW40" i="12"/>
  <c r="AV40" i="12"/>
  <c r="AD68" i="7"/>
  <c r="AK99" i="5"/>
  <c r="N99" i="5"/>
  <c r="AU94" i="5"/>
  <c r="AE18" i="11"/>
  <c r="AT18" i="11"/>
  <c r="AB53" i="10"/>
  <c r="BA53" i="10"/>
  <c r="W18" i="7"/>
  <c r="AG18" i="7"/>
  <c r="AM18" i="7"/>
  <c r="AA68" i="7"/>
  <c r="Z65" i="11"/>
  <c r="S65" i="11"/>
  <c r="V65" i="11"/>
  <c r="AX48" i="7"/>
  <c r="AS46" i="10"/>
  <c r="AV46" i="10"/>
  <c r="BF27" i="12"/>
  <c r="BG27" i="12"/>
  <c r="W68" i="7"/>
  <c r="AR40" i="12"/>
  <c r="AQ48" i="7"/>
  <c r="AX53" i="10"/>
  <c r="S18" i="7"/>
  <c r="AO18" i="7"/>
  <c r="AQ65" i="11"/>
  <c r="U65" i="11"/>
  <c r="X65" i="11"/>
  <c r="AB48" i="7"/>
  <c r="AR46" i="10"/>
  <c r="BC40" i="12"/>
  <c r="AU40" i="12"/>
  <c r="AU65" i="11"/>
  <c r="AS48" i="7"/>
  <c r="Q41" i="12"/>
  <c r="S41" i="12"/>
  <c r="BD27" i="12"/>
  <c r="AU36" i="12"/>
  <c r="AO36" i="12"/>
  <c r="AS36" i="12"/>
  <c r="W36" i="12"/>
  <c r="AM17" i="7"/>
  <c r="AO28" i="5"/>
  <c r="U28" i="5"/>
  <c r="AR17" i="7"/>
  <c r="V62" i="7"/>
  <c r="AL62" i="7"/>
  <c r="AK62" i="7"/>
  <c r="Q62" i="7"/>
  <c r="AQ62" i="7"/>
  <c r="P62" i="7"/>
  <c r="AC62" i="7"/>
  <c r="AR62" i="7"/>
  <c r="AI62" i="7"/>
  <c r="AA62" i="7"/>
  <c r="AF62" i="7"/>
  <c r="U62" i="7"/>
  <c r="R62" i="7"/>
  <c r="AD62" i="7"/>
  <c r="Z62" i="7"/>
  <c r="AB62" i="7"/>
  <c r="AI71" i="7"/>
  <c r="S71" i="7"/>
  <c r="T71" i="7"/>
  <c r="R71" i="7"/>
  <c r="N71" i="7"/>
  <c r="X71" i="7"/>
  <c r="W71" i="7"/>
  <c r="AA71" i="7"/>
  <c r="O71" i="7"/>
  <c r="R17" i="7"/>
  <c r="AG19" i="12"/>
  <c r="AA19" i="12"/>
  <c r="X19" i="12"/>
  <c r="BA19" i="12"/>
  <c r="AE19" i="12"/>
  <c r="AY19" i="12"/>
  <c r="AQ19" i="12"/>
  <c r="AO19" i="12"/>
  <c r="AK19" i="12"/>
  <c r="AN19" i="12"/>
  <c r="AL19" i="12"/>
  <c r="AF19" i="12"/>
  <c r="AM19" i="12"/>
  <c r="AT19" i="12"/>
  <c r="AJ19" i="12"/>
  <c r="AR19" i="12"/>
  <c r="AW19" i="12"/>
  <c r="AD19" i="12"/>
  <c r="BC55" i="12"/>
  <c r="Z55" i="12"/>
  <c r="Q55" i="12"/>
  <c r="T55" i="12"/>
  <c r="AA55" i="12"/>
  <c r="R55" i="12"/>
  <c r="P55" i="12"/>
  <c r="Y55" i="12"/>
  <c r="W55" i="12"/>
  <c r="V55" i="12"/>
  <c r="AB19" i="12"/>
  <c r="AU19" i="12"/>
  <c r="U92" i="5"/>
  <c r="AB92" i="5"/>
  <c r="R92" i="5"/>
  <c r="AI92" i="5"/>
  <c r="O92" i="5"/>
  <c r="AS92" i="5"/>
  <c r="AH92" i="5"/>
  <c r="Z92" i="5"/>
  <c r="W92" i="5"/>
  <c r="AE92" i="5"/>
  <c r="AA92" i="5"/>
  <c r="Y92" i="5"/>
  <c r="AR92" i="5"/>
  <c r="AJ92" i="5"/>
  <c r="S92" i="5"/>
  <c r="AH62" i="7"/>
  <c r="AJ36" i="12"/>
  <c r="AW62" i="11"/>
  <c r="AD62" i="11"/>
  <c r="AB62" i="11"/>
  <c r="N62" i="11"/>
  <c r="AH62" i="11"/>
  <c r="P62" i="11"/>
  <c r="W62" i="11"/>
  <c r="Q62" i="11"/>
  <c r="U62" i="11"/>
  <c r="X62" i="11"/>
  <c r="S62" i="11"/>
  <c r="R62" i="11"/>
  <c r="L62" i="11"/>
  <c r="O71" i="10"/>
  <c r="V71" i="10"/>
  <c r="W71" i="10"/>
  <c r="U71" i="10"/>
  <c r="AL71" i="10"/>
  <c r="AJ71" i="10"/>
  <c r="AR71" i="10"/>
  <c r="AG71" i="10"/>
  <c r="AB71" i="10"/>
  <c r="AI71" i="10"/>
  <c r="AK71" i="10"/>
  <c r="AH71" i="10"/>
  <c r="AF71" i="10"/>
  <c r="AQ71" i="10"/>
  <c r="T71" i="10"/>
  <c r="AD71" i="10"/>
  <c r="AO71" i="10"/>
  <c r="AE71" i="10"/>
  <c r="R71" i="10"/>
  <c r="S71" i="10"/>
  <c r="AI62" i="11"/>
  <c r="AC17" i="7"/>
  <c r="V17" i="7"/>
  <c r="AE17" i="7"/>
  <c r="Q17" i="7"/>
  <c r="AG17" i="7"/>
  <c r="W17" i="7"/>
  <c r="U17" i="7"/>
  <c r="N17" i="7"/>
  <c r="AL17" i="7"/>
  <c r="AJ17" i="7"/>
  <c r="AI17" i="7"/>
  <c r="O17" i="7"/>
  <c r="AH17" i="7"/>
  <c r="AB17" i="7"/>
  <c r="T17" i="7"/>
  <c r="AK17" i="7"/>
  <c r="AD17" i="7"/>
  <c r="AS17" i="7"/>
  <c r="AA17" i="7"/>
  <c r="AO17" i="7"/>
  <c r="AL34" i="5"/>
  <c r="R34" i="5"/>
  <c r="N34" i="5"/>
  <c r="O34" i="5"/>
  <c r="Q34" i="5"/>
  <c r="W34" i="5"/>
  <c r="S34" i="5"/>
  <c r="AX28" i="5"/>
  <c r="V28" i="5"/>
  <c r="T28" i="5"/>
  <c r="S28" i="5"/>
  <c r="O28" i="5"/>
  <c r="AP28" i="5"/>
  <c r="Q28" i="5"/>
  <c r="X28" i="5"/>
  <c r="AH19" i="12"/>
  <c r="T34" i="5"/>
  <c r="Y17" i="7"/>
  <c r="U71" i="7"/>
  <c r="O62" i="7"/>
  <c r="AG62" i="7"/>
  <c r="Y71" i="7"/>
  <c r="U55" i="12"/>
  <c r="R71" i="11"/>
  <c r="AN71" i="11"/>
  <c r="O71" i="11"/>
  <c r="X71" i="10"/>
  <c r="AN71" i="10"/>
  <c r="AS71" i="10"/>
  <c r="U34" i="5"/>
  <c r="P34" i="5"/>
  <c r="AF34" i="5"/>
  <c r="F52" i="2"/>
  <c r="AG92" i="5"/>
  <c r="V92" i="5"/>
  <c r="AF92" i="5"/>
  <c r="Q92" i="5"/>
  <c r="Y19" i="12"/>
  <c r="AP17" i="7"/>
  <c r="AO55" i="10"/>
  <c r="AZ55" i="10"/>
  <c r="BC55" i="10"/>
  <c r="BA55" i="10"/>
  <c r="AC19" i="12"/>
  <c r="V71" i="7"/>
  <c r="M69" i="11"/>
  <c r="AQ69" i="11"/>
  <c r="Z69" i="11"/>
  <c r="AM69" i="11"/>
  <c r="AC69" i="11"/>
  <c r="AO69" i="11"/>
  <c r="AD69" i="11"/>
  <c r="N69" i="11"/>
  <c r="AK69" i="11"/>
  <c r="X69" i="11"/>
  <c r="V69" i="11"/>
  <c r="U69" i="11"/>
  <c r="Q69" i="11"/>
  <c r="R69" i="11"/>
  <c r="O69" i="11"/>
  <c r="L69" i="11"/>
  <c r="P69" i="11"/>
  <c r="AE69" i="11"/>
  <c r="AN69" i="11"/>
  <c r="W69" i="11"/>
  <c r="Z17" i="7"/>
  <c r="S17" i="7"/>
  <c r="AW52" i="7"/>
  <c r="X52" i="7"/>
  <c r="BA52" i="7"/>
  <c r="AA52" i="7"/>
  <c r="AY52" i="7"/>
  <c r="AR52" i="7"/>
  <c r="AZ52" i="7"/>
  <c r="AY29" i="11"/>
  <c r="BA29" i="11"/>
  <c r="BC29" i="11"/>
  <c r="AW29" i="11"/>
  <c r="BB29" i="11"/>
  <c r="AZ29" i="11"/>
  <c r="AC71" i="10"/>
  <c r="Y28" i="5"/>
  <c r="Y62" i="7"/>
  <c r="AP62" i="7"/>
  <c r="AM62" i="7"/>
  <c r="AV19" i="12"/>
  <c r="AQ17" i="7"/>
  <c r="W67" i="10"/>
  <c r="AC67" i="10"/>
  <c r="V67" i="10"/>
  <c r="U67" i="10"/>
  <c r="AH67" i="10"/>
  <c r="P67" i="10"/>
  <c r="AE67" i="10"/>
  <c r="AG67" i="10"/>
  <c r="AL67" i="10"/>
  <c r="AK67" i="10"/>
  <c r="AJ67" i="10"/>
  <c r="AO67" i="10"/>
  <c r="AS67" i="10"/>
  <c r="AB67" i="10"/>
  <c r="AA67" i="10"/>
  <c r="Q67" i="10"/>
  <c r="AI67" i="10"/>
  <c r="AF67" i="10"/>
  <c r="O67" i="10"/>
  <c r="AP67" i="10"/>
  <c r="AA71" i="10"/>
  <c r="AV75" i="7"/>
  <c r="AC75" i="7"/>
  <c r="AP75" i="7"/>
  <c r="AA75" i="7"/>
  <c r="AW75" i="7"/>
  <c r="AJ75" i="7"/>
  <c r="AR75" i="7"/>
  <c r="AK75" i="7"/>
  <c r="AN75" i="7"/>
  <c r="AZ75" i="7"/>
  <c r="X75" i="7"/>
  <c r="AH75" i="7"/>
  <c r="BB75" i="7"/>
  <c r="AG75" i="7"/>
  <c r="AD75" i="7"/>
  <c r="AM75" i="7"/>
  <c r="Y69" i="11"/>
  <c r="AF69" i="11"/>
  <c r="AA62" i="11"/>
  <c r="AO32" i="12"/>
  <c r="U32" i="12"/>
  <c r="AM34" i="10"/>
  <c r="AU34" i="10"/>
  <c r="BA34" i="10"/>
  <c r="BB34" i="10"/>
  <c r="X34" i="10"/>
  <c r="AB34" i="10"/>
  <c r="AF34" i="10"/>
  <c r="AL34" i="10"/>
  <c r="AW34" i="10"/>
  <c r="AD34" i="10"/>
  <c r="AH34" i="10"/>
  <c r="AS34" i="10"/>
  <c r="AO34" i="10"/>
  <c r="AX34" i="10"/>
  <c r="Z34" i="10"/>
  <c r="AR34" i="10"/>
  <c r="AP34" i="10"/>
  <c r="AD92" i="5"/>
  <c r="N92" i="5"/>
  <c r="AE62" i="7"/>
  <c r="AS62" i="7"/>
  <c r="X62" i="7"/>
  <c r="Z19" i="12"/>
  <c r="BC34" i="10"/>
  <c r="AX88" i="5"/>
  <c r="P88" i="5"/>
  <c r="AP88" i="5"/>
  <c r="AB88" i="5"/>
  <c r="AJ88" i="5"/>
  <c r="S88" i="5"/>
  <c r="AQ88" i="5"/>
  <c r="AK92" i="5"/>
  <c r="N62" i="7"/>
  <c r="AJ62" i="7"/>
  <c r="BC19" i="12"/>
  <c r="AZ19" i="12"/>
  <c r="AS19" i="12"/>
  <c r="AI34" i="10"/>
  <c r="AQ34" i="10"/>
  <c r="L71" i="11"/>
  <c r="AV56" i="10"/>
  <c r="AB56" i="10"/>
  <c r="P56" i="10"/>
  <c r="W56" i="10"/>
  <c r="AH56" i="10"/>
  <c r="N56" i="10"/>
  <c r="O56" i="10"/>
  <c r="V56" i="10"/>
  <c r="AG56" i="10"/>
  <c r="AE56" i="10"/>
  <c r="AA56" i="10"/>
  <c r="Z56" i="10"/>
  <c r="S56" i="10"/>
  <c r="AN17" i="7"/>
  <c r="AF17" i="7"/>
  <c r="AT52" i="11"/>
  <c r="AF52" i="11"/>
  <c r="AG52" i="11"/>
  <c r="AO52" i="11"/>
  <c r="AJ52" i="11"/>
  <c r="AI52" i="11"/>
  <c r="BC52" i="11"/>
  <c r="AA52" i="11"/>
  <c r="AH52" i="11"/>
  <c r="AB52" i="11"/>
  <c r="AX52" i="11"/>
  <c r="Z52" i="11"/>
  <c r="AL52" i="11"/>
  <c r="X55" i="12"/>
  <c r="Z67" i="10"/>
  <c r="N67" i="10"/>
  <c r="BB43" i="5"/>
  <c r="AY43" i="5"/>
  <c r="BC43" i="5"/>
  <c r="AZ43" i="5"/>
  <c r="AU43" i="5"/>
  <c r="AN43" i="5"/>
  <c r="AT43" i="5"/>
  <c r="AJ43" i="5"/>
  <c r="BA43" i="5"/>
  <c r="AE62" i="11"/>
  <c r="AC62" i="11"/>
  <c r="X17" i="7"/>
  <c r="AC42" i="7"/>
  <c r="AQ42" i="7"/>
  <c r="Y42" i="7"/>
  <c r="AE42" i="7"/>
  <c r="S42" i="7"/>
  <c r="AK42" i="7"/>
  <c r="O42" i="7"/>
  <c r="AL42" i="7"/>
  <c r="W42" i="7"/>
  <c r="AS42" i="7"/>
  <c r="AJ42" i="7"/>
  <c r="AB42" i="7"/>
  <c r="X42" i="7"/>
  <c r="AR42" i="7"/>
  <c r="Q42" i="7"/>
  <c r="AI42" i="7"/>
  <c r="AN42" i="7"/>
  <c r="AD42" i="7"/>
  <c r="AP42" i="7"/>
  <c r="X67" i="10"/>
  <c r="AJ69" i="11"/>
  <c r="AG62" i="11"/>
  <c r="AT21" i="10"/>
  <c r="BC21" i="10"/>
  <c r="U63" i="10"/>
  <c r="X34" i="7"/>
  <c r="AK34" i="7"/>
  <c r="BA34" i="7"/>
  <c r="AZ34" i="7"/>
  <c r="AX34" i="7"/>
  <c r="AW21" i="10"/>
  <c r="X63" i="10"/>
  <c r="O63" i="10"/>
  <c r="V31" i="5"/>
  <c r="S31" i="5"/>
  <c r="AD24" i="12"/>
  <c r="U24" i="12"/>
  <c r="AO24" i="12"/>
  <c r="AB24" i="12"/>
  <c r="P24" i="12"/>
  <c r="AT24" i="12"/>
  <c r="O39" i="10"/>
  <c r="Y39" i="10"/>
  <c r="AS39" i="10"/>
  <c r="AA39" i="10"/>
  <c r="AL39" i="10"/>
  <c r="AI39" i="10"/>
  <c r="AM39" i="10"/>
  <c r="AQ34" i="7"/>
  <c r="R65" i="10"/>
  <c r="AG65" i="10"/>
  <c r="AK65" i="10"/>
  <c r="T65" i="10"/>
  <c r="S65" i="10"/>
  <c r="V65" i="10"/>
  <c r="Y65" i="10"/>
  <c r="AN34" i="7"/>
  <c r="AM54" i="10"/>
  <c r="AZ18" i="11"/>
  <c r="AW18" i="11"/>
  <c r="AM18" i="11"/>
  <c r="AF65" i="10"/>
  <c r="AA65" i="10"/>
  <c r="AB65" i="10"/>
  <c r="AQ47" i="11"/>
  <c r="AW47" i="11"/>
  <c r="AY47" i="11"/>
  <c r="AZ47" i="11"/>
  <c r="X39" i="10"/>
  <c r="Z39" i="10"/>
  <c r="Q31" i="5"/>
  <c r="F54" i="2"/>
  <c r="BO21" i="8"/>
  <c r="BC54" i="10"/>
  <c r="AO54" i="10"/>
  <c r="AG54" i="10"/>
  <c r="AI54" i="10"/>
  <c r="AL54" i="10"/>
  <c r="AF54" i="10"/>
  <c r="AS54" i="10"/>
  <c r="AN54" i="10"/>
  <c r="AV54" i="10"/>
  <c r="AO34" i="7"/>
  <c r="AJ34" i="7"/>
  <c r="AC54" i="10"/>
  <c r="AH54" i="10"/>
  <c r="AX18" i="11"/>
  <c r="T53" i="7"/>
  <c r="AS53" i="7"/>
  <c r="AF39" i="10"/>
  <c r="AH39" i="10"/>
  <c r="AE39" i="10"/>
  <c r="AF24" i="10"/>
  <c r="BA24" i="10"/>
  <c r="BC24" i="10"/>
  <c r="AN18" i="11"/>
  <c r="AU18" i="11"/>
  <c r="AC18" i="11"/>
  <c r="AQ18" i="11"/>
  <c r="AB18" i="11"/>
  <c r="BC18" i="11"/>
  <c r="AF18" i="11"/>
  <c r="AK18" i="11"/>
  <c r="AS18" i="11"/>
  <c r="AP18" i="11"/>
  <c r="X18" i="11"/>
  <c r="AJ18" i="11"/>
  <c r="BN63" i="10"/>
  <c r="V63" i="10"/>
  <c r="Y63" i="10"/>
  <c r="W63" i="10"/>
  <c r="AI63" i="10"/>
  <c r="N63" i="10"/>
  <c r="F69" i="2"/>
  <c r="F62" i="2"/>
  <c r="N43" i="7"/>
  <c r="O43" i="7"/>
  <c r="AA34" i="7"/>
  <c r="Z34" i="7"/>
  <c r="F63" i="2"/>
  <c r="BA18" i="11"/>
  <c r="AA18" i="11"/>
  <c r="AP34" i="7"/>
  <c r="AE63" i="10"/>
  <c r="R63" i="10"/>
  <c r="P63" i="10"/>
  <c r="AA22" i="12"/>
  <c r="AS53" i="10"/>
  <c r="V18" i="7"/>
  <c r="AK18" i="7"/>
  <c r="N18" i="7"/>
  <c r="AH42" i="12"/>
  <c r="AV42" i="12"/>
  <c r="N27" i="7"/>
  <c r="V63" i="7"/>
  <c r="AO39" i="7"/>
  <c r="AC39" i="7"/>
  <c r="AH39" i="7"/>
  <c r="AI97" i="5"/>
  <c r="AY38" i="10"/>
  <c r="X38" i="10"/>
  <c r="AP63" i="7"/>
  <c r="AE44" i="12"/>
  <c r="Z44" i="12"/>
  <c r="W44" i="12"/>
  <c r="Y22" i="12"/>
  <c r="AR53" i="10"/>
  <c r="Q67" i="7"/>
  <c r="F66" i="2"/>
  <c r="U39" i="7"/>
  <c r="AE39" i="7"/>
  <c r="AL39" i="7"/>
  <c r="AK38" i="10"/>
  <c r="AJ38" i="10"/>
  <c r="AX38" i="10"/>
  <c r="T44" i="12"/>
  <c r="P44" i="12"/>
  <c r="X44" i="12"/>
  <c r="AS53" i="11"/>
  <c r="AG39" i="7"/>
  <c r="Q39" i="7"/>
  <c r="AT38" i="10"/>
  <c r="AS38" i="10"/>
  <c r="AB38" i="10"/>
  <c r="AQ38" i="10"/>
  <c r="AT44" i="12"/>
  <c r="AB44" i="12"/>
  <c r="AR44" i="12"/>
  <c r="AP31" i="12"/>
  <c r="AU31" i="12"/>
  <c r="W31" i="12"/>
  <c r="BA54" i="11"/>
  <c r="AJ54" i="11"/>
  <c r="AC54" i="11"/>
  <c r="P36" i="10"/>
  <c r="AJ36" i="10"/>
  <c r="X36" i="10"/>
  <c r="AA36" i="10"/>
  <c r="AB53" i="11"/>
  <c r="AB43" i="11"/>
  <c r="AA34" i="5"/>
  <c r="AJ79" i="5"/>
  <c r="AH34" i="5"/>
  <c r="AG79" i="5"/>
  <c r="S87" i="5"/>
  <c r="AB34" i="5"/>
  <c r="AC34" i="5"/>
  <c r="AI34" i="5"/>
  <c r="AQ35" i="7"/>
  <c r="T35" i="7"/>
  <c r="AF35" i="7"/>
  <c r="N35" i="7"/>
  <c r="S35" i="7"/>
  <c r="AC35" i="7"/>
  <c r="W53" i="10"/>
  <c r="AN53" i="10"/>
  <c r="AM53" i="10"/>
  <c r="AR54" i="11"/>
  <c r="AM54" i="11"/>
  <c r="AK54" i="11"/>
  <c r="AY54" i="11"/>
  <c r="AF36" i="10"/>
  <c r="R36" i="10"/>
  <c r="Y36" i="10"/>
  <c r="M36" i="10"/>
  <c r="AC36" i="10"/>
  <c r="AC41" i="12"/>
  <c r="AQ41" i="12"/>
  <c r="AT41" i="12"/>
  <c r="AA54" i="12"/>
  <c r="U51" i="10"/>
  <c r="AN43" i="11"/>
  <c r="AK43" i="11"/>
  <c r="AX43" i="11"/>
  <c r="I53" i="10"/>
  <c r="H53" i="10"/>
  <c r="AN54" i="11"/>
  <c r="AP54" i="11"/>
  <c r="AQ54" i="11"/>
  <c r="AT54" i="11"/>
  <c r="Y54" i="11"/>
  <c r="AI36" i="10"/>
  <c r="AG36" i="10"/>
  <c r="AK36" i="10"/>
  <c r="I36" i="10"/>
  <c r="AD36" i="10"/>
  <c r="W36" i="10"/>
  <c r="AW41" i="12"/>
  <c r="AJ53" i="11"/>
  <c r="N53" i="7"/>
  <c r="AH43" i="11"/>
  <c r="AG34" i="5"/>
  <c r="AE34" i="5"/>
  <c r="AD34" i="5"/>
  <c r="AP34" i="5"/>
  <c r="AE35" i="7"/>
  <c r="AA35" i="7"/>
  <c r="AK31" i="12"/>
  <c r="AH53" i="10"/>
  <c r="M53" i="10"/>
  <c r="AE53" i="10"/>
  <c r="AG54" i="11"/>
  <c r="AB54" i="11"/>
  <c r="AI54" i="11"/>
  <c r="H36" i="10"/>
  <c r="N36" i="10"/>
  <c r="AH36" i="10"/>
  <c r="L36" i="10"/>
  <c r="BB41" i="12"/>
  <c r="Z41" i="12"/>
  <c r="AR41" i="12"/>
  <c r="AV41" i="12"/>
  <c r="AO28" i="10"/>
  <c r="BC43" i="11"/>
  <c r="Y43" i="11"/>
  <c r="AJ43" i="11"/>
  <c r="AC43" i="11"/>
  <c r="W49" i="10"/>
  <c r="H52" i="10"/>
  <c r="I52" i="10"/>
  <c r="AG35" i="12"/>
  <c r="T49" i="10"/>
  <c r="U49" i="10"/>
  <c r="P49" i="10"/>
  <c r="O49" i="10"/>
  <c r="BC17" i="12"/>
  <c r="AA17" i="12"/>
  <c r="AB17" i="12"/>
  <c r="AE17" i="12"/>
  <c r="AV17" i="12"/>
  <c r="R31" i="12"/>
  <c r="AL31" i="12"/>
  <c r="AM31" i="12"/>
  <c r="AF31" i="12"/>
  <c r="AG31" i="12"/>
  <c r="AE31" i="12"/>
  <c r="Y31" i="12"/>
  <c r="Z31" i="12"/>
  <c r="Q31" i="12"/>
  <c r="AI31" i="12"/>
  <c r="AT31" i="12"/>
  <c r="AQ31" i="12"/>
  <c r="U31" i="12"/>
  <c r="AA31" i="12"/>
  <c r="R35" i="7"/>
  <c r="AH35" i="7"/>
  <c r="AX43" i="7"/>
  <c r="AQ43" i="7"/>
  <c r="AB35" i="12"/>
  <c r="AF35" i="12"/>
  <c r="AL35" i="12"/>
  <c r="AR31" i="12"/>
  <c r="AD31" i="12"/>
  <c r="P31" i="12"/>
  <c r="AO17" i="12"/>
  <c r="AT33" i="7"/>
  <c r="AU33" i="7"/>
  <c r="AW33" i="7"/>
  <c r="BC33" i="7"/>
  <c r="AK22" i="5"/>
  <c r="BB33" i="7"/>
  <c r="S49" i="10"/>
  <c r="V49" i="10"/>
  <c r="BA35" i="12"/>
  <c r="AK35" i="12"/>
  <c r="AC35" i="12"/>
  <c r="AJ35" i="12"/>
  <c r="AD35" i="12"/>
  <c r="AM35" i="12"/>
  <c r="P101" i="5"/>
  <c r="V101" i="5"/>
  <c r="X101" i="5"/>
  <c r="U35" i="7"/>
  <c r="AK35" i="7"/>
  <c r="Y35" i="7"/>
  <c r="AN35" i="7"/>
  <c r="W35" i="7"/>
  <c r="AI35" i="7"/>
  <c r="X35" i="7"/>
  <c r="AM35" i="7"/>
  <c r="AE35" i="12"/>
  <c r="AH35" i="12"/>
  <c r="AA35" i="12"/>
  <c r="P28" i="7"/>
  <c r="AT28" i="7"/>
  <c r="AR28" i="7"/>
  <c r="AQ28" i="7"/>
  <c r="AP28" i="7"/>
  <c r="AW28" i="7"/>
  <c r="S31" i="12"/>
  <c r="AB31" i="12"/>
  <c r="AS31" i="12"/>
  <c r="AR32" i="10"/>
  <c r="BB32" i="10"/>
  <c r="AS32" i="10"/>
  <c r="AV32" i="10"/>
  <c r="AU32" i="10"/>
  <c r="AZ32" i="10"/>
  <c r="BA32" i="10"/>
  <c r="AT32" i="10"/>
  <c r="BC32" i="10"/>
  <c r="AQ32" i="10"/>
  <c r="AX32" i="10"/>
  <c r="M53" i="11"/>
  <c r="AO53" i="11"/>
  <c r="W53" i="11"/>
  <c r="R53" i="11"/>
  <c r="Z53" i="11"/>
  <c r="S53" i="11"/>
  <c r="AF53" i="11"/>
  <c r="P53" i="11"/>
  <c r="AA53" i="11"/>
  <c r="V53" i="11"/>
  <c r="X53" i="11"/>
  <c r="AM53" i="11"/>
  <c r="Y53" i="11"/>
  <c r="AN53" i="11"/>
  <c r="AD53" i="11"/>
  <c r="Q53" i="11"/>
  <c r="AH53" i="11"/>
  <c r="AL53" i="11"/>
  <c r="U53" i="11"/>
  <c r="O53" i="11"/>
  <c r="N53" i="11"/>
  <c r="AC53" i="11"/>
  <c r="L53" i="11"/>
  <c r="AQ53" i="11"/>
  <c r="AE53" i="11"/>
  <c r="AG53" i="10"/>
  <c r="Z53" i="10"/>
  <c r="AY32" i="10"/>
  <c r="T53" i="11"/>
  <c r="AP53" i="11"/>
  <c r="AG53" i="11"/>
  <c r="AI53" i="11"/>
  <c r="F49" i="2"/>
  <c r="N49" i="10"/>
  <c r="AO35" i="7"/>
  <c r="AB35" i="7"/>
  <c r="AS35" i="7"/>
  <c r="O35" i="7"/>
  <c r="AD35" i="7"/>
  <c r="Q35" i="7"/>
  <c r="P35" i="7"/>
  <c r="X35" i="12"/>
  <c r="Z35" i="12"/>
  <c r="AI35" i="12"/>
  <c r="AC31" i="12"/>
  <c r="AH31" i="12"/>
  <c r="AO31" i="12"/>
  <c r="T31" i="12"/>
  <c r="AN31" i="12"/>
  <c r="AJ31" i="12"/>
  <c r="V31" i="12"/>
  <c r="O53" i="10"/>
  <c r="Q53" i="10"/>
  <c r="R53" i="10"/>
  <c r="S53" i="10"/>
  <c r="AC53" i="10"/>
  <c r="P53" i="10"/>
  <c r="AJ53" i="10"/>
  <c r="U53" i="10"/>
  <c r="V53" i="10"/>
  <c r="K53" i="10"/>
  <c r="AL53" i="10"/>
  <c r="AF53" i="10"/>
  <c r="T53" i="10"/>
  <c r="J53" i="10"/>
  <c r="AK53" i="10"/>
  <c r="AD53" i="10"/>
  <c r="L53" i="10"/>
  <c r="Y53" i="10"/>
  <c r="X53" i="10"/>
  <c r="AI53" i="10"/>
  <c r="AO53" i="10"/>
  <c r="AD41" i="12"/>
  <c r="AA41" i="12"/>
  <c r="AB41" i="12"/>
  <c r="AH41" i="12"/>
  <c r="AY41" i="12"/>
  <c r="AL41" i="12"/>
  <c r="AZ41" i="12"/>
  <c r="AI41" i="12"/>
  <c r="AU41" i="12"/>
  <c r="BA41" i="12"/>
  <c r="X54" i="12"/>
  <c r="N51" i="10"/>
  <c r="AS43" i="11"/>
  <c r="AM43" i="11"/>
  <c r="X43" i="11"/>
  <c r="AE43" i="11"/>
  <c r="AP43" i="11"/>
  <c r="AA43" i="11"/>
  <c r="AD43" i="11"/>
  <c r="AV43" i="11"/>
  <c r="Y34" i="5"/>
  <c r="AA33" i="10"/>
  <c r="L33" i="10"/>
  <c r="AF33" i="10"/>
  <c r="AK37" i="11"/>
  <c r="N37" i="11"/>
  <c r="O37" i="11"/>
  <c r="AC37" i="11"/>
  <c r="X37" i="11"/>
  <c r="P37" i="11"/>
  <c r="AJ37" i="11"/>
  <c r="AF54" i="11"/>
  <c r="AS54" i="11"/>
  <c r="AE54" i="11"/>
  <c r="BB54" i="11"/>
  <c r="X54" i="11"/>
  <c r="AO54" i="11"/>
  <c r="AU54" i="11"/>
  <c r="AX54" i="11"/>
  <c r="AA54" i="11"/>
  <c r="Z54" i="11"/>
  <c r="AB36" i="10"/>
  <c r="T36" i="10"/>
  <c r="J36" i="10"/>
  <c r="AE36" i="10"/>
  <c r="Z36" i="10"/>
  <c r="O36" i="10"/>
  <c r="AS41" i="12"/>
  <c r="BC41" i="12"/>
  <c r="X41" i="12"/>
  <c r="AK41" i="12"/>
  <c r="AO41" i="12"/>
  <c r="AJ41" i="12"/>
  <c r="AE41" i="12"/>
  <c r="AM41" i="12"/>
  <c r="AI57" i="10"/>
  <c r="AE28" i="10"/>
  <c r="BB43" i="11"/>
  <c r="AR43" i="11"/>
  <c r="AZ43" i="11"/>
  <c r="AU43" i="11"/>
  <c r="AY43" i="11"/>
  <c r="AW43" i="11"/>
  <c r="AN37" i="11"/>
  <c r="T37" i="11"/>
  <c r="AP37" i="11"/>
  <c r="AH37" i="11"/>
  <c r="AI37" i="11"/>
  <c r="S37" i="11"/>
  <c r="AM37" i="11"/>
  <c r="BC54" i="11"/>
  <c r="AD54" i="11"/>
  <c r="AZ54" i="11"/>
  <c r="AH54" i="11"/>
  <c r="AW54" i="11"/>
  <c r="AL54" i="11"/>
  <c r="U36" i="10"/>
  <c r="V36" i="10"/>
  <c r="AM36" i="10"/>
  <c r="Q36" i="10"/>
  <c r="S36" i="10"/>
  <c r="K36" i="10"/>
  <c r="Y41" i="12"/>
  <c r="AX41" i="12"/>
  <c r="AN41" i="12"/>
  <c r="AG41" i="12"/>
  <c r="AF41" i="12"/>
  <c r="Y54" i="12"/>
  <c r="Z54" i="12"/>
  <c r="T51" i="10"/>
  <c r="O53" i="7"/>
  <c r="AU28" i="10"/>
  <c r="AO43" i="11"/>
  <c r="Z43" i="11"/>
  <c r="AF43" i="11"/>
  <c r="AT43" i="11"/>
  <c r="AI43" i="11"/>
  <c r="BA43" i="11"/>
  <c r="AL43" i="11"/>
  <c r="AG43" i="11"/>
  <c r="N93" i="5"/>
  <c r="Q87" i="5"/>
  <c r="X34" i="5"/>
  <c r="Z34" i="5"/>
  <c r="AD103" i="5"/>
  <c r="O103" i="5"/>
  <c r="U103" i="5"/>
  <c r="T103" i="5"/>
  <c r="W103" i="5"/>
  <c r="AU103" i="5"/>
  <c r="P103" i="5"/>
  <c r="N103" i="5"/>
  <c r="R103" i="5"/>
  <c r="AM103" i="5"/>
  <c r="Z103" i="5"/>
  <c r="S103" i="5"/>
  <c r="Q103" i="5"/>
  <c r="BB27" i="11"/>
  <c r="Z27" i="11"/>
  <c r="Y27" i="11"/>
  <c r="AA27" i="11"/>
  <c r="AL52" i="7"/>
  <c r="AJ52" i="7"/>
  <c r="T52" i="7"/>
  <c r="AF52" i="7"/>
  <c r="AH52" i="7"/>
  <c r="P52" i="7"/>
  <c r="AG52" i="7"/>
  <c r="O52" i="7"/>
  <c r="AN52" i="7"/>
  <c r="W52" i="7"/>
  <c r="AC52" i="7"/>
  <c r="AQ52" i="7"/>
  <c r="Y52" i="7"/>
  <c r="AE52" i="7"/>
  <c r="AB52" i="7"/>
  <c r="AI52" i="7"/>
  <c r="AO52" i="7"/>
  <c r="Q52" i="7"/>
  <c r="R52" i="7"/>
  <c r="R46" i="7"/>
  <c r="AR46" i="7"/>
  <c r="Q46" i="7"/>
  <c r="AN46" i="7"/>
  <c r="O46" i="7"/>
  <c r="AP46" i="7"/>
  <c r="N46" i="7"/>
  <c r="AO46" i="7"/>
  <c r="AL46" i="7"/>
  <c r="AS46" i="7"/>
  <c r="AQ46" i="7"/>
  <c r="AV19" i="7"/>
  <c r="S19" i="7"/>
  <c r="W19" i="7"/>
  <c r="U19" i="7"/>
  <c r="H19" i="7"/>
  <c r="M19" i="7"/>
  <c r="N19" i="7"/>
  <c r="I19" i="7"/>
  <c r="K19" i="7"/>
  <c r="J19" i="7"/>
  <c r="O19" i="7"/>
  <c r="Q19" i="7"/>
  <c r="V19" i="7"/>
  <c r="L19" i="7"/>
  <c r="R19" i="7"/>
  <c r="P19" i="7"/>
  <c r="T19" i="7"/>
  <c r="BA26" i="7"/>
  <c r="L26" i="7"/>
  <c r="AJ26" i="7"/>
  <c r="W26" i="7"/>
  <c r="AB26" i="7"/>
  <c r="Z26" i="7"/>
  <c r="Q26" i="7"/>
  <c r="AE26" i="7"/>
  <c r="AI26" i="7"/>
  <c r="M26" i="7"/>
  <c r="J26" i="7"/>
  <c r="H26" i="7"/>
  <c r="AD26" i="7"/>
  <c r="AC26" i="7"/>
  <c r="S26" i="7"/>
  <c r="O26" i="7"/>
  <c r="Y26" i="7"/>
  <c r="N26" i="7"/>
  <c r="U26" i="7"/>
  <c r="I26" i="7"/>
  <c r="T26" i="7"/>
  <c r="AA26" i="7"/>
  <c r="R26" i="7"/>
  <c r="P26" i="7"/>
  <c r="AF26" i="7"/>
  <c r="AP29" i="11"/>
  <c r="Q29" i="11"/>
  <c r="AR29" i="11"/>
  <c r="S29" i="11"/>
  <c r="AG29" i="11"/>
  <c r="AU29" i="11"/>
  <c r="W29" i="11"/>
  <c r="U29" i="11"/>
  <c r="AS29" i="11"/>
  <c r="AT29" i="11"/>
  <c r="T49" i="7"/>
  <c r="AY49" i="7"/>
  <c r="AU49" i="7"/>
  <c r="BB49" i="7"/>
  <c r="AZ49" i="7"/>
  <c r="BA49" i="7"/>
  <c r="AX49" i="7"/>
  <c r="AV49" i="7"/>
  <c r="N75" i="5"/>
  <c r="AP75" i="5"/>
  <c r="BB75" i="5"/>
  <c r="AX75" i="5"/>
  <c r="AY75" i="5"/>
  <c r="AB75" i="5"/>
  <c r="AD75" i="5"/>
  <c r="AT75" i="5"/>
  <c r="AQ75" i="5"/>
  <c r="AV75" i="5"/>
  <c r="Y75" i="5"/>
  <c r="AM75" i="5"/>
  <c r="AR75" i="5"/>
  <c r="AS75" i="5"/>
  <c r="AU75" i="5"/>
  <c r="Z75" i="5"/>
  <c r="AA75" i="5"/>
  <c r="AE75" i="5"/>
  <c r="AF75" i="5"/>
  <c r="AO75" i="5"/>
  <c r="AN75" i="5"/>
  <c r="BA75" i="5"/>
  <c r="BC75" i="5"/>
  <c r="AC75" i="5"/>
  <c r="AZ75" i="5"/>
  <c r="AT49" i="7"/>
  <c r="BC49" i="7"/>
  <c r="AW49" i="7"/>
  <c r="AK75" i="5"/>
  <c r="I32" i="7"/>
  <c r="J32" i="7"/>
  <c r="P32" i="7"/>
  <c r="O32" i="7"/>
  <c r="S32" i="7"/>
  <c r="N32" i="7"/>
  <c r="K32" i="7"/>
  <c r="H32" i="7"/>
  <c r="L32" i="7"/>
  <c r="Q32" i="7"/>
  <c r="M32" i="7"/>
  <c r="R32" i="7"/>
  <c r="O101" i="5"/>
  <c r="Q101" i="5"/>
  <c r="AD101" i="5"/>
  <c r="AA48" i="10"/>
  <c r="Q48" i="10"/>
  <c r="AC48" i="10"/>
  <c r="AO48" i="10"/>
  <c r="AK48" i="10"/>
  <c r="AM48" i="10"/>
  <c r="U48" i="10"/>
  <c r="N48" i="10"/>
  <c r="S25" i="11"/>
  <c r="U25" i="11"/>
  <c r="BA40" i="10"/>
  <c r="AY40" i="10"/>
  <c r="Y40" i="10"/>
  <c r="AK40" i="10"/>
  <c r="AP40" i="10"/>
  <c r="BC40" i="10"/>
  <c r="AB40" i="10"/>
  <c r="AN40" i="10"/>
  <c r="N21" i="10"/>
  <c r="R62" i="10"/>
  <c r="U62" i="10"/>
  <c r="S51" i="10"/>
  <c r="M51" i="10"/>
  <c r="O51" i="10"/>
  <c r="AV50" i="11"/>
  <c r="AT50" i="11"/>
  <c r="AX50" i="11"/>
  <c r="AK28" i="10"/>
  <c r="AL28" i="10"/>
  <c r="AC28" i="10"/>
  <c r="X28" i="10"/>
  <c r="AG28" i="10"/>
  <c r="BA28" i="10"/>
  <c r="U101" i="5"/>
  <c r="AC101" i="5"/>
  <c r="Z88" i="5"/>
  <c r="N101" i="5"/>
  <c r="AB101" i="5"/>
  <c r="W101" i="5"/>
  <c r="Q49" i="10"/>
  <c r="L49" i="10"/>
  <c r="S48" i="10"/>
  <c r="O48" i="10"/>
  <c r="AJ48" i="10"/>
  <c r="Z40" i="10"/>
  <c r="X40" i="10"/>
  <c r="AF40" i="10"/>
  <c r="AW40" i="10"/>
  <c r="AM40" i="10"/>
  <c r="AG40" i="10"/>
  <c r="L21" i="10"/>
  <c r="S62" i="10"/>
  <c r="Y62" i="10"/>
  <c r="AH62" i="10"/>
  <c r="L62" i="10"/>
  <c r="V51" i="10"/>
  <c r="W51" i="10"/>
  <c r="P51" i="10"/>
  <c r="AS50" i="11"/>
  <c r="AU50" i="11"/>
  <c r="AR50" i="11"/>
  <c r="AF28" i="10"/>
  <c r="AW28" i="10"/>
  <c r="AY28" i="10"/>
  <c r="AV28" i="10"/>
  <c r="Y101" i="5"/>
  <c r="AF88" i="5"/>
  <c r="M21" i="10"/>
  <c r="R49" i="10"/>
  <c r="M49" i="10"/>
  <c r="AL48" i="10"/>
  <c r="R48" i="10"/>
  <c r="Y48" i="10"/>
  <c r="AI48" i="10"/>
  <c r="AP48" i="10"/>
  <c r="AE48" i="10"/>
  <c r="P48" i="10"/>
  <c r="AB48" i="10"/>
  <c r="AH48" i="10"/>
  <c r="V25" i="11"/>
  <c r="Q25" i="11"/>
  <c r="AQ40" i="10"/>
  <c r="AD40" i="10"/>
  <c r="AC40" i="10"/>
  <c r="AO40" i="10"/>
  <c r="AJ40" i="10"/>
  <c r="AR40" i="10"/>
  <c r="AA40" i="10"/>
  <c r="AZ40" i="10"/>
  <c r="AL40" i="10"/>
  <c r="O21" i="10"/>
  <c r="AD62" i="10"/>
  <c r="AF62" i="10"/>
  <c r="AB62" i="10"/>
  <c r="R51" i="10"/>
  <c r="L51" i="10"/>
  <c r="Q51" i="10"/>
  <c r="BC50" i="11"/>
  <c r="BA50" i="11"/>
  <c r="AY50" i="11"/>
  <c r="BB50" i="11"/>
  <c r="AZ50" i="11"/>
  <c r="AC35" i="5"/>
  <c r="AE101" i="5"/>
  <c r="R101" i="5"/>
  <c r="S101" i="5"/>
  <c r="T101" i="5"/>
  <c r="AL74" i="5"/>
  <c r="T74" i="5"/>
  <c r="AD25" i="10"/>
  <c r="AK25" i="10"/>
  <c r="AJ28" i="11"/>
  <c r="O28" i="11"/>
  <c r="AA28" i="11"/>
  <c r="P28" i="11"/>
  <c r="X22" i="7"/>
  <c r="N22" i="7"/>
  <c r="P48" i="11"/>
  <c r="AB74" i="5"/>
  <c r="AK49" i="10"/>
  <c r="H25" i="10"/>
  <c r="R25" i="10"/>
  <c r="W25" i="10"/>
  <c r="AL28" i="11"/>
  <c r="S28" i="11"/>
  <c r="Y28" i="11"/>
  <c r="M28" i="11"/>
  <c r="AG74" i="5"/>
  <c r="AF49" i="10"/>
  <c r="X49" i="10"/>
  <c r="AG35" i="11"/>
  <c r="M25" i="10"/>
  <c r="T25" i="10"/>
  <c r="N25" i="10"/>
  <c r="AB25" i="10"/>
  <c r="AA25" i="10"/>
  <c r="T28" i="11"/>
  <c r="AH28" i="11"/>
  <c r="AP28" i="11"/>
  <c r="Z28" i="11"/>
  <c r="R28" i="11"/>
  <c r="AC28" i="11"/>
  <c r="M45" i="11"/>
  <c r="AH45" i="11"/>
  <c r="Y45" i="11"/>
  <c r="R22" i="7"/>
  <c r="W48" i="11"/>
  <c r="AA55" i="10"/>
  <c r="AB71" i="5"/>
  <c r="AN49" i="10"/>
  <c r="AS93" i="5"/>
  <c r="AH93" i="5"/>
  <c r="AP93" i="5"/>
  <c r="AK93" i="5"/>
  <c r="S93" i="5"/>
  <c r="Y74" i="5"/>
  <c r="AD35" i="11"/>
  <c r="AF31" i="11"/>
  <c r="AE25" i="10"/>
  <c r="AM25" i="10"/>
  <c r="AH25" i="10"/>
  <c r="U25" i="10"/>
  <c r="AK28" i="11"/>
  <c r="X28" i="11"/>
  <c r="AG28" i="11"/>
  <c r="AO28" i="11"/>
  <c r="X45" i="11"/>
  <c r="P22" i="7"/>
  <c r="AK22" i="7"/>
  <c r="AC22" i="7"/>
  <c r="AB22" i="7"/>
  <c r="L48" i="11"/>
  <c r="M48" i="11"/>
  <c r="Q48" i="11"/>
  <c r="V50" i="10"/>
  <c r="P50" i="10"/>
  <c r="S55" i="10"/>
  <c r="P55" i="10"/>
  <c r="BB49" i="10"/>
  <c r="BA49" i="10"/>
  <c r="AM49" i="10"/>
  <c r="AT49" i="10"/>
  <c r="AX49" i="10"/>
  <c r="AY49" i="10"/>
  <c r="AB49" i="10"/>
  <c r="AH36" i="12"/>
  <c r="P36" i="12"/>
  <c r="AA36" i="12"/>
  <c r="AP36" i="12"/>
  <c r="AT36" i="12"/>
  <c r="U36" i="12"/>
  <c r="AJ26" i="12"/>
  <c r="AV19" i="10"/>
  <c r="Z19" i="10"/>
  <c r="AM19" i="10"/>
  <c r="AU19" i="10"/>
  <c r="AX19" i="10"/>
  <c r="AE55" i="10"/>
  <c r="Q55" i="10"/>
  <c r="AB55" i="10"/>
  <c r="AD55" i="10"/>
  <c r="Z55" i="10"/>
  <c r="Y55" i="10"/>
  <c r="AD49" i="10"/>
  <c r="R36" i="12"/>
  <c r="AE36" i="12"/>
  <c r="AF36" i="12"/>
  <c r="AM36" i="12"/>
  <c r="AA26" i="12"/>
  <c r="AY26" i="12"/>
  <c r="AP26" i="12"/>
  <c r="BA26" i="12"/>
  <c r="AK19" i="10"/>
  <c r="AG49" i="10"/>
  <c r="AO49" i="10"/>
  <c r="AV49" i="10"/>
  <c r="Z49" i="10"/>
  <c r="AL49" i="10"/>
  <c r="AW49" i="10"/>
  <c r="AZ49" i="10"/>
  <c r="AF35" i="11"/>
  <c r="AH35" i="11"/>
  <c r="T36" i="12"/>
  <c r="X36" i="12"/>
  <c r="AR36" i="12"/>
  <c r="AQ36" i="12"/>
  <c r="V36" i="12"/>
  <c r="AN36" i="12"/>
  <c r="AK36" i="12"/>
  <c r="AI36" i="12"/>
  <c r="AQ26" i="12"/>
  <c r="BB26" i="12"/>
  <c r="AN26" i="12"/>
  <c r="AI45" i="11"/>
  <c r="W22" i="7"/>
  <c r="AU22" i="7"/>
  <c r="U22" i="7"/>
  <c r="AF19" i="10"/>
  <c r="BB19" i="10"/>
  <c r="AH19" i="10"/>
  <c r="BC19" i="10"/>
  <c r="AN19" i="10"/>
  <c r="Y19" i="10"/>
  <c r="N48" i="11"/>
  <c r="Z48" i="11"/>
  <c r="T48" i="11"/>
  <c r="Y48" i="11"/>
  <c r="U48" i="11"/>
  <c r="AJ49" i="7"/>
  <c r="U55" i="10"/>
  <c r="O55" i="10"/>
  <c r="AY32" i="11"/>
  <c r="BA32" i="11"/>
  <c r="AZ31" i="10"/>
  <c r="BC31" i="10"/>
  <c r="AW87" i="5"/>
  <c r="AR26" i="12"/>
  <c r="Y31" i="11"/>
  <c r="AR49" i="10"/>
  <c r="AP49" i="10"/>
  <c r="AC49" i="10"/>
  <c r="AH49" i="10"/>
  <c r="AA49" i="10"/>
  <c r="Y36" i="12"/>
  <c r="AC36" i="12"/>
  <c r="Z36" i="12"/>
  <c r="Q36" i="12"/>
  <c r="AB36" i="12"/>
  <c r="AL36" i="12"/>
  <c r="BC26" i="12"/>
  <c r="AZ26" i="12"/>
  <c r="AV26" i="12"/>
  <c r="AS26" i="12"/>
  <c r="AX26" i="12"/>
  <c r="AE26" i="12"/>
  <c r="AA31" i="11"/>
  <c r="Y22" i="7"/>
  <c r="S22" i="7"/>
  <c r="Q22" i="7"/>
  <c r="V22" i="7"/>
  <c r="T22" i="7"/>
  <c r="AT19" i="10"/>
  <c r="AQ44" i="10"/>
  <c r="R48" i="11"/>
  <c r="I32" i="10"/>
  <c r="T55" i="10"/>
  <c r="W55" i="10"/>
  <c r="AC55" i="10"/>
  <c r="X55" i="10"/>
  <c r="V55" i="10"/>
  <c r="R55" i="10"/>
  <c r="BB51" i="10"/>
  <c r="AM32" i="11"/>
  <c r="AO32" i="11"/>
  <c r="AI31" i="7"/>
  <c r="X25" i="11"/>
  <c r="W74" i="5"/>
  <c r="AS74" i="5"/>
  <c r="AD74" i="5"/>
  <c r="N21" i="5"/>
  <c r="AA21" i="5"/>
  <c r="R21" i="5"/>
  <c r="AC21" i="5"/>
  <c r="S21" i="5"/>
  <c r="AW93" i="5"/>
  <c r="AC93" i="5"/>
  <c r="R93" i="5"/>
  <c r="W21" i="5"/>
  <c r="Z93" i="5"/>
  <c r="AU93" i="5"/>
  <c r="P93" i="5"/>
  <c r="AB93" i="5"/>
  <c r="AA74" i="5"/>
  <c r="AT74" i="5"/>
  <c r="AL35" i="11"/>
  <c r="AJ35" i="11"/>
  <c r="AK35" i="11"/>
  <c r="Q45" i="10"/>
  <c r="AO45" i="10"/>
  <c r="P45" i="10"/>
  <c r="X45" i="10"/>
  <c r="AI45" i="10"/>
  <c r="N45" i="10"/>
  <c r="AH45" i="10"/>
  <c r="O45" i="10"/>
  <c r="AG50" i="7"/>
  <c r="AB50" i="7"/>
  <c r="AL50" i="7"/>
  <c r="AJ31" i="11"/>
  <c r="AD31" i="11"/>
  <c r="AB31" i="11"/>
  <c r="AK31" i="11"/>
  <c r="AE31" i="11"/>
  <c r="F45" i="2"/>
  <c r="AQ22" i="12"/>
  <c r="AH22" i="12"/>
  <c r="W22" i="12"/>
  <c r="Z22" i="12"/>
  <c r="AS22" i="12"/>
  <c r="AF22" i="12"/>
  <c r="S22" i="12"/>
  <c r="AE22" i="12"/>
  <c r="AK22" i="12"/>
  <c r="AR25" i="11"/>
  <c r="AZ25" i="11"/>
  <c r="AQ25" i="11"/>
  <c r="BB25" i="11"/>
  <c r="AX25" i="11"/>
  <c r="AB25" i="11"/>
  <c r="Z32" i="10"/>
  <c r="U50" i="10"/>
  <c r="W50" i="10"/>
  <c r="AA50" i="10"/>
  <c r="AY27" i="12"/>
  <c r="AW27" i="12"/>
  <c r="BC27" i="12"/>
  <c r="AC32" i="11"/>
  <c r="AA32" i="11"/>
  <c r="AU31" i="10"/>
  <c r="BA31" i="10"/>
  <c r="AX31" i="10"/>
  <c r="T49" i="11"/>
  <c r="S74" i="5"/>
  <c r="AQ74" i="5"/>
  <c r="Z74" i="5"/>
  <c r="Q74" i="5"/>
  <c r="AN21" i="5"/>
  <c r="X21" i="5"/>
  <c r="Z21" i="5"/>
  <c r="AJ93" i="5"/>
  <c r="AV93" i="5"/>
  <c r="AT93" i="5"/>
  <c r="AQ93" i="5"/>
  <c r="AM93" i="5"/>
  <c r="AE74" i="5"/>
  <c r="AL93" i="5"/>
  <c r="AF93" i="5"/>
  <c r="AH74" i="5"/>
  <c r="AC35" i="11"/>
  <c r="AB35" i="11"/>
  <c r="AE35" i="11"/>
  <c r="AI35" i="11"/>
  <c r="AM35" i="11"/>
  <c r="Y45" i="10"/>
  <c r="AF45" i="10"/>
  <c r="AA45" i="10"/>
  <c r="Y50" i="7"/>
  <c r="Z50" i="7"/>
  <c r="U50" i="7"/>
  <c r="AA50" i="7"/>
  <c r="T50" i="7"/>
  <c r="AF50" i="7"/>
  <c r="AC50" i="7"/>
  <c r="Q50" i="7"/>
  <c r="AM31" i="11"/>
  <c r="Z31" i="11"/>
  <c r="X31" i="11"/>
  <c r="X31" i="7"/>
  <c r="Y49" i="11"/>
  <c r="AD22" i="12"/>
  <c r="AN22" i="12"/>
  <c r="AI22" i="12"/>
  <c r="U22" i="12"/>
  <c r="V22" i="12"/>
  <c r="AT22" i="12"/>
  <c r="AL22" i="12"/>
  <c r="AG22" i="12"/>
  <c r="AH25" i="11"/>
  <c r="AE25" i="11"/>
  <c r="AU25" i="11"/>
  <c r="N50" i="10"/>
  <c r="Z50" i="10"/>
  <c r="T50" i="10"/>
  <c r="X50" i="10"/>
  <c r="R50" i="10"/>
  <c r="O50" i="10"/>
  <c r="Q50" i="10"/>
  <c r="W93" i="5"/>
  <c r="AK32" i="11"/>
  <c r="AQ32" i="11"/>
  <c r="AL32" i="11"/>
  <c r="BB32" i="11"/>
  <c r="AH32" i="11"/>
  <c r="AW31" i="10"/>
  <c r="AY31" i="10"/>
  <c r="AV31" i="10"/>
  <c r="BB31" i="10"/>
  <c r="AT31" i="10"/>
  <c r="Z35" i="5"/>
  <c r="AN74" i="5"/>
  <c r="Z31" i="7"/>
  <c r="AO74" i="5"/>
  <c r="R74" i="5"/>
  <c r="O21" i="5"/>
  <c r="Y93" i="5"/>
  <c r="Q93" i="5"/>
  <c r="U93" i="5"/>
  <c r="AD93" i="5"/>
  <c r="T93" i="5"/>
  <c r="V93" i="5"/>
  <c r="AR93" i="5"/>
  <c r="AI93" i="5"/>
  <c r="AA93" i="5"/>
  <c r="AU74" i="5"/>
  <c r="AD50" i="7"/>
  <c r="AE50" i="7"/>
  <c r="R50" i="7"/>
  <c r="X50" i="7"/>
  <c r="AJ50" i="7"/>
  <c r="N50" i="7"/>
  <c r="W50" i="7"/>
  <c r="AH31" i="11"/>
  <c r="AC31" i="11"/>
  <c r="AL31" i="11"/>
  <c r="AG31" i="11"/>
  <c r="AJ31" i="7"/>
  <c r="AA49" i="11"/>
  <c r="AP22" i="12"/>
  <c r="T22" i="12"/>
  <c r="AU22" i="12"/>
  <c r="AC22" i="12"/>
  <c r="AO22" i="12"/>
  <c r="AB22" i="12"/>
  <c r="X22" i="12"/>
  <c r="AR22" i="12"/>
  <c r="AJ22" i="12"/>
  <c r="P22" i="12"/>
  <c r="BC25" i="11"/>
  <c r="AN25" i="11"/>
  <c r="AO25" i="11"/>
  <c r="AO32" i="10"/>
  <c r="Y50" i="10"/>
  <c r="S50" i="10"/>
  <c r="AA51" i="10"/>
  <c r="AE32" i="11"/>
  <c r="AJ51" i="7"/>
  <c r="BA51" i="7"/>
  <c r="AZ51" i="7"/>
  <c r="BB51" i="7"/>
  <c r="AI103" i="5"/>
  <c r="AT103" i="5"/>
  <c r="X103" i="5"/>
  <c r="AO103" i="5"/>
  <c r="BC103" i="5"/>
  <c r="AE103" i="5"/>
  <c r="T30" i="5"/>
  <c r="AB103" i="5"/>
  <c r="AA103" i="5"/>
  <c r="AG103" i="5"/>
  <c r="U30" i="5"/>
  <c r="AS49" i="10"/>
  <c r="AU49" i="10"/>
  <c r="BC49" i="10"/>
  <c r="AE49" i="10"/>
  <c r="AJ49" i="10"/>
  <c r="AQ49" i="10"/>
  <c r="Y49" i="10"/>
  <c r="AD20" i="10"/>
  <c r="N20" i="10"/>
  <c r="O20" i="10"/>
  <c r="AL50" i="12"/>
  <c r="Y50" i="12"/>
  <c r="AD50" i="12"/>
  <c r="AS50" i="12"/>
  <c r="AI50" i="12"/>
  <c r="AM50" i="12"/>
  <c r="AN50" i="12"/>
  <c r="P50" i="12"/>
  <c r="AG50" i="12"/>
  <c r="O25" i="10"/>
  <c r="Z25" i="10"/>
  <c r="Q25" i="10"/>
  <c r="V25" i="10"/>
  <c r="AJ25" i="10"/>
  <c r="AF25" i="10"/>
  <c r="X25" i="10"/>
  <c r="K25" i="10"/>
  <c r="W28" i="11"/>
  <c r="U28" i="11"/>
  <c r="AQ28" i="11"/>
  <c r="AE28" i="11"/>
  <c r="O45" i="11"/>
  <c r="U45" i="11"/>
  <c r="AF45" i="11"/>
  <c r="AJ45" i="11"/>
  <c r="AN45" i="11"/>
  <c r="AB49" i="11"/>
  <c r="V49" i="11"/>
  <c r="BC51" i="7"/>
  <c r="AK31" i="10"/>
  <c r="AE31" i="10"/>
  <c r="AH31" i="10"/>
  <c r="AF31" i="10"/>
  <c r="Q31" i="10"/>
  <c r="AO25" i="7"/>
  <c r="T25" i="7"/>
  <c r="V25" i="7"/>
  <c r="S25" i="7"/>
  <c r="P25" i="7"/>
  <c r="O25" i="7"/>
  <c r="R25" i="7"/>
  <c r="AZ103" i="5"/>
  <c r="AK103" i="5"/>
  <c r="AF103" i="5"/>
  <c r="AR49" i="11"/>
  <c r="S49" i="11"/>
  <c r="R49" i="11"/>
  <c r="X49" i="11"/>
  <c r="P49" i="11"/>
  <c r="W49" i="11"/>
  <c r="BG31" i="7"/>
  <c r="AM31" i="7"/>
  <c r="AF31" i="7"/>
  <c r="AJ50" i="12"/>
  <c r="W50" i="12"/>
  <c r="AE50" i="12"/>
  <c r="AQ50" i="12"/>
  <c r="S50" i="12"/>
  <c r="V50" i="12"/>
  <c r="Z50" i="12"/>
  <c r="AU50" i="12"/>
  <c r="AC50" i="12"/>
  <c r="AB50" i="12"/>
  <c r="AT50" i="12"/>
  <c r="T50" i="12"/>
  <c r="AL31" i="7"/>
  <c r="AD31" i="7"/>
  <c r="AK31" i="7"/>
  <c r="AG31" i="7"/>
  <c r="AQ45" i="11"/>
  <c r="W45" i="11"/>
  <c r="AC45" i="11"/>
  <c r="Z49" i="11"/>
  <c r="O49" i="11"/>
  <c r="M49" i="11"/>
  <c r="N49" i="11"/>
  <c r="L49" i="11"/>
  <c r="AB28" i="11"/>
  <c r="AN28" i="11"/>
  <c r="N28" i="11"/>
  <c r="L28" i="11"/>
  <c r="AM28" i="11"/>
  <c r="Q28" i="11"/>
  <c r="V28" i="11"/>
  <c r="AI28" i="11"/>
  <c r="AS40" i="11"/>
  <c r="AL40" i="11"/>
  <c r="AK40" i="11"/>
  <c r="AN49" i="7"/>
  <c r="P49" i="7"/>
  <c r="AH49" i="7"/>
  <c r="AS49" i="7"/>
  <c r="AJ40" i="11"/>
  <c r="AM40" i="11"/>
  <c r="S33" i="10"/>
  <c r="I33" i="10"/>
  <c r="AE33" i="10"/>
  <c r="T33" i="10"/>
  <c r="AK33" i="10"/>
  <c r="N33" i="10"/>
  <c r="AH33" i="10"/>
  <c r="W33" i="10"/>
  <c r="M33" i="10"/>
  <c r="O44" i="7"/>
  <c r="AW36" i="11"/>
  <c r="AB36" i="11"/>
  <c r="BA103" i="5"/>
  <c r="AL103" i="5"/>
  <c r="AP103" i="5"/>
  <c r="AR103" i="5"/>
  <c r="AC103" i="5"/>
  <c r="AJ103" i="5"/>
  <c r="AQ103" i="5"/>
  <c r="AX103" i="5"/>
  <c r="AS103" i="5"/>
  <c r="BB103" i="5"/>
  <c r="AN103" i="5"/>
  <c r="V30" i="5"/>
  <c r="W30" i="5"/>
  <c r="V49" i="7"/>
  <c r="AL49" i="7"/>
  <c r="AA49" i="7"/>
  <c r="AB49" i="7"/>
  <c r="AC49" i="7"/>
  <c r="Q49" i="7"/>
  <c r="Y49" i="7"/>
  <c r="AF49" i="7"/>
  <c r="U49" i="7"/>
  <c r="AD49" i="7"/>
  <c r="O49" i="7"/>
  <c r="AI49" i="7"/>
  <c r="W49" i="7"/>
  <c r="N49" i="7"/>
  <c r="AK49" i="7"/>
  <c r="AR49" i="7"/>
  <c r="Z49" i="7"/>
  <c r="AO49" i="7"/>
  <c r="AG49" i="7"/>
  <c r="AQ49" i="7"/>
  <c r="AE49" i="7"/>
  <c r="S49" i="7"/>
  <c r="AP49" i="7"/>
  <c r="X49" i="7"/>
  <c r="AN31" i="10"/>
  <c r="S31" i="10"/>
  <c r="U31" i="10"/>
  <c r="AA31" i="10"/>
  <c r="AM31" i="10"/>
  <c r="O31" i="10"/>
  <c r="AL31" i="10"/>
  <c r="Z31" i="10"/>
  <c r="AI31" i="10"/>
  <c r="P31" i="10"/>
  <c r="AS31" i="10"/>
  <c r="Y31" i="10"/>
  <c r="AJ31" i="10"/>
  <c r="X31" i="10"/>
  <c r="N31" i="10"/>
  <c r="T31" i="10"/>
  <c r="AQ31" i="10"/>
  <c r="AP31" i="10"/>
  <c r="AG31" i="10"/>
  <c r="AR31" i="10"/>
  <c r="W31" i="10"/>
  <c r="V31" i="10"/>
  <c r="AB31" i="10"/>
  <c r="AD31" i="10"/>
  <c r="AP45" i="11"/>
  <c r="AL45" i="11"/>
  <c r="N45" i="11"/>
  <c r="V45" i="11"/>
  <c r="L45" i="11"/>
  <c r="AA45" i="11"/>
  <c r="AM45" i="11"/>
  <c r="AG45" i="11"/>
  <c r="P45" i="11"/>
  <c r="T45" i="11"/>
  <c r="U50" i="12"/>
  <c r="R50" i="12"/>
  <c r="AA50" i="12"/>
  <c r="AH50" i="12"/>
  <c r="AF50" i="12"/>
  <c r="X50" i="12"/>
  <c r="AP48" i="11"/>
  <c r="AW48" i="11"/>
  <c r="BB48" i="11"/>
  <c r="BC48" i="11"/>
  <c r="AV48" i="11"/>
  <c r="AX48" i="11"/>
  <c r="AZ48" i="11"/>
  <c r="AY48" i="11"/>
  <c r="BA48" i="11"/>
  <c r="AE31" i="7"/>
  <c r="AB31" i="7"/>
  <c r="AC31" i="7"/>
  <c r="Y31" i="7"/>
  <c r="AH31" i="7"/>
  <c r="AL44" i="7"/>
  <c r="S44" i="7"/>
  <c r="N44" i="7"/>
  <c r="Q44" i="7"/>
  <c r="P44" i="7"/>
  <c r="AB45" i="11"/>
  <c r="AD45" i="11"/>
  <c r="Q45" i="11"/>
  <c r="Z45" i="11"/>
  <c r="S45" i="11"/>
  <c r="AE45" i="11"/>
  <c r="AO45" i="11"/>
  <c r="R45" i="11"/>
  <c r="AP49" i="11"/>
  <c r="Q49" i="11"/>
  <c r="AM49" i="7"/>
  <c r="R49" i="7"/>
  <c r="N25" i="7"/>
  <c r="Q25" i="7"/>
  <c r="W25" i="7"/>
  <c r="AC31" i="10"/>
  <c r="AP25" i="11"/>
  <c r="AV25" i="11"/>
  <c r="AL25" i="11"/>
  <c r="AT25" i="11"/>
  <c r="AW25" i="11"/>
  <c r="AI25" i="11"/>
  <c r="AG25" i="11"/>
  <c r="AA25" i="11"/>
  <c r="AJ25" i="11"/>
  <c r="AP44" i="10"/>
  <c r="H32" i="10"/>
  <c r="J32" i="10"/>
  <c r="AF74" i="5"/>
  <c r="P74" i="5"/>
  <c r="AX51" i="10"/>
  <c r="BB27" i="12"/>
  <c r="AX27" i="12"/>
  <c r="AU32" i="11"/>
  <c r="AZ32" i="11"/>
  <c r="Z32" i="11"/>
  <c r="AS32" i="11"/>
  <c r="AF32" i="11"/>
  <c r="AG32" i="11"/>
  <c r="BC32" i="11"/>
  <c r="O22" i="7"/>
  <c r="AO93" i="5"/>
  <c r="AC87" i="5"/>
  <c r="AM74" i="5"/>
  <c r="AR74" i="5"/>
  <c r="AK74" i="5"/>
  <c r="AS44" i="10"/>
  <c r="AG32" i="10"/>
  <c r="R32" i="10"/>
  <c r="K32" i="10"/>
  <c r="BA27" i="12"/>
  <c r="AZ27" i="12"/>
  <c r="AT32" i="11"/>
  <c r="AR32" i="11"/>
  <c r="AW32" i="11"/>
  <c r="AD32" i="11"/>
  <c r="AP32" i="11"/>
  <c r="AJ32" i="11"/>
  <c r="AV32" i="11"/>
  <c r="AB32" i="11"/>
  <c r="AG93" i="5"/>
  <c r="V74" i="5"/>
  <c r="AP74" i="5"/>
  <c r="X74" i="5"/>
  <c r="N74" i="5"/>
  <c r="AI74" i="5"/>
  <c r="AF25" i="11"/>
  <c r="AS25" i="11"/>
  <c r="AM25" i="11"/>
  <c r="BA25" i="11"/>
  <c r="AK25" i="11"/>
  <c r="AC25" i="11"/>
  <c r="AY25" i="11"/>
  <c r="AD25" i="11"/>
  <c r="Y25" i="11"/>
  <c r="L32" i="10"/>
  <c r="T32" i="10"/>
  <c r="AN32" i="10"/>
  <c r="M32" i="10"/>
  <c r="X93" i="5"/>
  <c r="AV27" i="12"/>
  <c r="Y32" i="11"/>
  <c r="AI32" i="11"/>
  <c r="X32" i="11"/>
  <c r="AX32" i="11"/>
  <c r="L50" i="11"/>
  <c r="V50" i="11"/>
  <c r="AJ74" i="5"/>
  <c r="U74" i="5"/>
  <c r="F17" i="2"/>
  <c r="F36" i="2"/>
  <c r="F19" i="2"/>
  <c r="F38" i="2"/>
  <c r="T45" i="7"/>
  <c r="S45" i="7"/>
  <c r="R45" i="7"/>
  <c r="N45" i="7"/>
  <c r="Q45" i="7"/>
  <c r="AJ44" i="10"/>
  <c r="AN44" i="10"/>
  <c r="AO44" i="10"/>
  <c r="AK44" i="10"/>
  <c r="O44" i="10"/>
  <c r="X44" i="10"/>
  <c r="AB44" i="10"/>
  <c r="W44" i="10"/>
  <c r="AH44" i="10"/>
  <c r="AM44" i="10"/>
  <c r="AL44" i="10"/>
  <c r="AG44" i="10"/>
  <c r="R44" i="10"/>
  <c r="P45" i="7"/>
  <c r="AI49" i="11"/>
  <c r="AT49" i="11"/>
  <c r="AV49" i="11"/>
  <c r="AD49" i="11"/>
  <c r="AY49" i="11"/>
  <c r="AE49" i="11"/>
  <c r="AO49" i="11"/>
  <c r="V44" i="10"/>
  <c r="AA44" i="10"/>
  <c r="P44" i="10"/>
  <c r="AC44" i="10"/>
  <c r="AC17" i="12"/>
  <c r="AJ17" i="12"/>
  <c r="AN17" i="12"/>
  <c r="O45" i="7"/>
  <c r="AS30" i="10"/>
  <c r="O30" i="10"/>
  <c r="AF30" i="10"/>
  <c r="V30" i="10"/>
  <c r="AP30" i="10"/>
  <c r="R30" i="10"/>
  <c r="AB30" i="10"/>
  <c r="AU27" i="12"/>
  <c r="AY36" i="11"/>
  <c r="AT36" i="11"/>
  <c r="P52" i="10"/>
  <c r="Q52" i="10"/>
  <c r="AC50" i="11"/>
  <c r="AQ32" i="7"/>
  <c r="AZ32" i="7"/>
  <c r="BB32" i="7"/>
  <c r="AI44" i="10"/>
  <c r="U44" i="10"/>
  <c r="BC32" i="7"/>
  <c r="AK52" i="10"/>
  <c r="Y52" i="10"/>
  <c r="AE52" i="10"/>
  <c r="K52" i="10"/>
  <c r="W52" i="10"/>
  <c r="X52" i="10"/>
  <c r="T52" i="10"/>
  <c r="AC52" i="10"/>
  <c r="N52" i="10"/>
  <c r="Z52" i="10"/>
  <c r="O52" i="10"/>
  <c r="AA52" i="10"/>
  <c r="J52" i="10"/>
  <c r="L52" i="10"/>
  <c r="M52" i="10"/>
  <c r="AD52" i="10"/>
  <c r="U52" i="10"/>
  <c r="AJ45" i="10"/>
  <c r="AC45" i="10"/>
  <c r="AB45" i="10"/>
  <c r="Z45" i="10"/>
  <c r="S45" i="10"/>
  <c r="AS45" i="10"/>
  <c r="R45" i="10"/>
  <c r="AD45" i="10"/>
  <c r="F26" i="2"/>
  <c r="AD36" i="11"/>
  <c r="AL36" i="11"/>
  <c r="AM36" i="11"/>
  <c r="AV36" i="11"/>
  <c r="AE36" i="11"/>
  <c r="BC36" i="11"/>
  <c r="AO36" i="11"/>
  <c r="AX36" i="11"/>
  <c r="AS36" i="11"/>
  <c r="AJ36" i="11"/>
  <c r="AP36" i="11"/>
  <c r="AR36" i="11"/>
  <c r="AH36" i="11"/>
  <c r="AQ36" i="11"/>
  <c r="AG36" i="11"/>
  <c r="BA36" i="11"/>
  <c r="AK36" i="11"/>
  <c r="AZ36" i="11"/>
  <c r="AU36" i="11"/>
  <c r="AL49" i="11"/>
  <c r="AX49" i="11"/>
  <c r="AU49" i="11"/>
  <c r="AC49" i="11"/>
  <c r="AM49" i="11"/>
  <c r="BA49" i="11"/>
  <c r="AS49" i="11"/>
  <c r="AJ49" i="11"/>
  <c r="AH49" i="11"/>
  <c r="AQ49" i="11"/>
  <c r="Y44" i="10"/>
  <c r="Z44" i="10"/>
  <c r="T44" i="10"/>
  <c r="AF44" i="10"/>
  <c r="Y32" i="10"/>
  <c r="AD32" i="10"/>
  <c r="AL32" i="10"/>
  <c r="BB17" i="12"/>
  <c r="BA17" i="12"/>
  <c r="AC96" i="5"/>
  <c r="R96" i="5"/>
  <c r="AH27" i="12"/>
  <c r="AA27" i="12"/>
  <c r="AP27" i="12"/>
  <c r="AF27" i="12"/>
  <c r="AI27" i="12"/>
  <c r="Z27" i="12"/>
  <c r="AQ27" i="12"/>
  <c r="Y27" i="12"/>
  <c r="AC27" i="12"/>
  <c r="S27" i="12"/>
  <c r="AO27" i="12"/>
  <c r="T27" i="12"/>
  <c r="W27" i="12"/>
  <c r="AB27" i="12"/>
  <c r="R27" i="12"/>
  <c r="AS27" i="12"/>
  <c r="AM27" i="12"/>
  <c r="AR27" i="12"/>
  <c r="U27" i="12"/>
  <c r="AT27" i="12"/>
  <c r="AJ27" i="12"/>
  <c r="AG27" i="12"/>
  <c r="AL27" i="12"/>
  <c r="AN27" i="12"/>
  <c r="Q27" i="12"/>
  <c r="P27" i="12"/>
  <c r="AD27" i="12"/>
  <c r="V27" i="12"/>
  <c r="BN50" i="11"/>
  <c r="AP50" i="11"/>
  <c r="AN50" i="11"/>
  <c r="AF50" i="11"/>
  <c r="R50" i="11"/>
  <c r="AI50" i="11"/>
  <c r="W50" i="11"/>
  <c r="AQ50" i="11"/>
  <c r="U50" i="11"/>
  <c r="AL50" i="11"/>
  <c r="Z50" i="11"/>
  <c r="N50" i="11"/>
  <c r="AB50" i="11"/>
  <c r="P50" i="11"/>
  <c r="AA50" i="11"/>
  <c r="M50" i="11"/>
  <c r="AE50" i="11"/>
  <c r="S50" i="11"/>
  <c r="Q50" i="11"/>
  <c r="X50" i="11"/>
  <c r="AH50" i="11"/>
  <c r="AK50" i="11"/>
  <c r="AO50" i="11"/>
  <c r="F34" i="2"/>
  <c r="AK29" i="11"/>
  <c r="Z29" i="11"/>
  <c r="AE29" i="11"/>
  <c r="AB29" i="11"/>
  <c r="AQ29" i="11"/>
  <c r="AD29" i="11"/>
  <c r="P29" i="11"/>
  <c r="AF29" i="11"/>
  <c r="R29" i="11"/>
  <c r="AO29" i="11"/>
  <c r="L29" i="11"/>
  <c r="T29" i="11"/>
  <c r="AL29" i="11"/>
  <c r="O29" i="11"/>
  <c r="AA29" i="11"/>
  <c r="AC29" i="11"/>
  <c r="AJ29" i="11"/>
  <c r="V29" i="11"/>
  <c r="AM29" i="11"/>
  <c r="Y29" i="11"/>
  <c r="AH29" i="11"/>
  <c r="AI29" i="11"/>
  <c r="AD33" i="7"/>
  <c r="AS33" i="7"/>
  <c r="AP33" i="7"/>
  <c r="AQ33" i="7"/>
  <c r="AR33" i="7"/>
  <c r="AV33" i="7"/>
  <c r="AZ33" i="7"/>
  <c r="AX33" i="7"/>
  <c r="BB37" i="12"/>
  <c r="R37" i="12"/>
  <c r="X37" i="12"/>
  <c r="U37" i="12"/>
  <c r="T37" i="12"/>
  <c r="Z37" i="12"/>
  <c r="S37" i="12"/>
  <c r="AA37" i="12"/>
  <c r="Y37" i="12"/>
  <c r="V37" i="12"/>
  <c r="P37" i="12"/>
  <c r="AM30" i="12"/>
  <c r="AW30" i="12"/>
  <c r="BB30" i="12"/>
  <c r="BA30" i="12"/>
  <c r="AV30" i="12"/>
  <c r="AZ30" i="12"/>
  <c r="AU30" i="12"/>
  <c r="AO57" i="10"/>
  <c r="S57" i="10"/>
  <c r="W57" i="10"/>
  <c r="U57" i="10"/>
  <c r="AD57" i="10"/>
  <c r="X57" i="10"/>
  <c r="T57" i="10"/>
  <c r="Z57" i="10"/>
  <c r="Q57" i="10"/>
  <c r="AA57" i="10"/>
  <c r="R57" i="10"/>
  <c r="O57" i="10"/>
  <c r="AF57" i="10"/>
  <c r="AH57" i="10"/>
  <c r="AB57" i="10"/>
  <c r="AK27" i="12"/>
  <c r="AC36" i="11"/>
  <c r="N29" i="11"/>
  <c r="AN29" i="11"/>
  <c r="X29" i="11"/>
  <c r="R52" i="10"/>
  <c r="AB52" i="10"/>
  <c r="AM50" i="11"/>
  <c r="AJ50" i="11"/>
  <c r="AD50" i="11"/>
  <c r="P57" i="10"/>
  <c r="AC57" i="10"/>
  <c r="S44" i="10"/>
  <c r="BA32" i="7"/>
  <c r="AM17" i="12"/>
  <c r="AF17" i="12"/>
  <c r="Y17" i="12"/>
  <c r="AU17" i="12"/>
  <c r="AZ17" i="12"/>
  <c r="AY17" i="12"/>
  <c r="AX17" i="12"/>
  <c r="AL17" i="12"/>
  <c r="AD17" i="12"/>
  <c r="AK17" i="12"/>
  <c r="Z17" i="12"/>
  <c r="AG17" i="12"/>
  <c r="AQ17" i="12"/>
  <c r="AW17" i="12"/>
  <c r="AI17" i="12"/>
  <c r="X17" i="12"/>
  <c r="X75" i="5"/>
  <c r="Q75" i="5"/>
  <c r="W75" i="5"/>
  <c r="P75" i="5"/>
  <c r="AI75" i="5"/>
  <c r="V75" i="5"/>
  <c r="U75" i="5"/>
  <c r="U43" i="7"/>
  <c r="BC43" i="7"/>
  <c r="AY43" i="7"/>
  <c r="BB43" i="7"/>
  <c r="BA43" i="7"/>
  <c r="AR43" i="7"/>
  <c r="AP43" i="7"/>
  <c r="AZ43" i="7"/>
  <c r="AS43" i="7"/>
  <c r="AW43" i="7"/>
  <c r="AU43" i="7"/>
  <c r="AT43" i="7"/>
  <c r="AV43" i="7"/>
  <c r="AZ49" i="11"/>
  <c r="AF49" i="11"/>
  <c r="AK49" i="11"/>
  <c r="AW49" i="11"/>
  <c r="AN49" i="11"/>
  <c r="BC49" i="11"/>
  <c r="AG49" i="11"/>
  <c r="V32" i="10"/>
  <c r="AF32" i="10"/>
  <c r="O32" i="10"/>
  <c r="X32" i="10"/>
  <c r="N32" i="10"/>
  <c r="S32" i="10"/>
  <c r="P32" i="10"/>
  <c r="AK32" i="10"/>
  <c r="AH32" i="10"/>
  <c r="W32" i="10"/>
  <c r="U32" i="10"/>
  <c r="AE32" i="10"/>
  <c r="AC32" i="10"/>
  <c r="AB32" i="10"/>
  <c r="AJ32" i="10"/>
  <c r="Q32" i="10"/>
  <c r="AI32" i="10"/>
  <c r="AD44" i="10"/>
  <c r="N44" i="10"/>
  <c r="AE44" i="10"/>
  <c r="Q44" i="10"/>
  <c r="AP32" i="10"/>
  <c r="AA32" i="10"/>
  <c r="AM32" i="10"/>
  <c r="AP17" i="12"/>
  <c r="AH17" i="12"/>
  <c r="AS17" i="12"/>
  <c r="AT17" i="12"/>
  <c r="AP52" i="7"/>
  <c r="AD52" i="7"/>
  <c r="X27" i="12"/>
  <c r="AF36" i="11"/>
  <c r="AN36" i="11"/>
  <c r="BB36" i="11"/>
  <c r="AI36" i="11"/>
  <c r="M29" i="11"/>
  <c r="V52" i="10"/>
  <c r="S52" i="10"/>
  <c r="Y50" i="11"/>
  <c r="AE57" i="10"/>
  <c r="N57" i="10"/>
  <c r="V57" i="10"/>
  <c r="U96" i="5"/>
  <c r="AT28" i="10"/>
  <c r="Y28" i="10"/>
  <c r="AM28" i="10"/>
  <c r="AI28" i="10"/>
  <c r="AB28" i="10"/>
  <c r="AR28" i="10"/>
  <c r="AN28" i="10"/>
  <c r="AP28" i="10"/>
  <c r="Z28" i="10"/>
  <c r="AX28" i="10"/>
  <c r="AH28" i="10"/>
  <c r="AW28" i="12"/>
  <c r="BC28" i="12"/>
  <c r="AX28" i="12"/>
  <c r="AU28" i="12"/>
  <c r="F35" i="2"/>
  <c r="AX27" i="7"/>
  <c r="BA27" i="7"/>
  <c r="BC27" i="7"/>
  <c r="AX62" i="10"/>
  <c r="W62" i="10"/>
  <c r="AA62" i="10"/>
  <c r="AC62" i="10"/>
  <c r="H62" i="10"/>
  <c r="I62" i="10"/>
  <c r="AE62" i="10"/>
  <c r="Q62" i="10"/>
  <c r="J62" i="10"/>
  <c r="P62" i="10"/>
  <c r="O62" i="10"/>
  <c r="AV26" i="11"/>
  <c r="AQ26" i="11"/>
  <c r="AO26" i="11"/>
  <c r="Y26" i="11"/>
  <c r="AT26" i="11"/>
  <c r="AF26" i="11"/>
  <c r="BB28" i="10"/>
  <c r="AA28" i="10"/>
  <c r="AJ28" i="10"/>
  <c r="AT28" i="12"/>
  <c r="BA28" i="12"/>
  <c r="AX35" i="5"/>
  <c r="AF35" i="5"/>
  <c r="AB35" i="5"/>
  <c r="AM35" i="5"/>
  <c r="Y35" i="5"/>
  <c r="BM51" i="10"/>
  <c r="Z51" i="10"/>
  <c r="AW51" i="10"/>
  <c r="BC51" i="10"/>
  <c r="Y51" i="10"/>
  <c r="AZ51" i="10"/>
  <c r="AV51" i="10"/>
  <c r="AZ27" i="7"/>
  <c r="AW27" i="7"/>
  <c r="X26" i="11"/>
  <c r="AW26" i="11"/>
  <c r="BB26" i="11"/>
  <c r="AE26" i="11"/>
  <c r="AD26" i="11"/>
  <c r="AZ26" i="11"/>
  <c r="AH26" i="11"/>
  <c r="AR26" i="11"/>
  <c r="AN26" i="11"/>
  <c r="Z26" i="11"/>
  <c r="AP26" i="11"/>
  <c r="AB26" i="11"/>
  <c r="AJ26" i="11"/>
  <c r="AM26" i="11"/>
  <c r="BC26" i="11"/>
  <c r="AY51" i="10"/>
  <c r="X51" i="10"/>
  <c r="U23" i="7"/>
  <c r="AM23" i="7"/>
  <c r="AR23" i="7"/>
  <c r="AE23" i="7"/>
  <c r="Q23" i="7"/>
  <c r="AG23" i="7"/>
  <c r="Y23" i="7"/>
  <c r="AI23" i="7"/>
  <c r="AX26" i="11"/>
  <c r="AL26" i="11"/>
  <c r="AQ28" i="10"/>
  <c r="BC28" i="10"/>
  <c r="AS28" i="10"/>
  <c r="AZ28" i="10"/>
  <c r="AK35" i="5"/>
  <c r="F16" i="2"/>
  <c r="F41" i="2"/>
  <c r="F11" i="2"/>
  <c r="F42" i="2"/>
  <c r="F57" i="2"/>
  <c r="F61" i="2"/>
  <c r="F40" i="2"/>
  <c r="F15" i="2"/>
  <c r="F25" i="2"/>
  <c r="F48" i="2"/>
  <c r="BA55" i="8"/>
  <c r="F22" i="2"/>
  <c r="F14" i="2"/>
  <c r="F64" i="2"/>
  <c r="R7" i="2"/>
  <c r="F65" i="2"/>
  <c r="F39" i="2"/>
  <c r="F18" i="2"/>
  <c r="F44" i="2"/>
  <c r="F23" i="2"/>
  <c r="X58" i="8"/>
  <c r="AE20" i="8"/>
  <c r="F12" i="2"/>
  <c r="F58" i="2"/>
  <c r="BG22" i="7"/>
  <c r="AO22" i="7"/>
  <c r="BB22" i="7"/>
  <c r="AR51" i="7"/>
  <c r="R33" i="7"/>
  <c r="I33" i="7"/>
  <c r="AM22" i="7"/>
  <c r="AF22" i="7"/>
  <c r="P33" i="7"/>
  <c r="AC53" i="7"/>
  <c r="AE22" i="7"/>
  <c r="T55" i="7"/>
  <c r="J47" i="7"/>
  <c r="H47" i="7"/>
  <c r="BD22" i="7"/>
  <c r="AG22" i="7"/>
  <c r="AJ22" i="7"/>
  <c r="AG47" i="7"/>
  <c r="S33" i="7"/>
  <c r="AO54" i="7"/>
  <c r="AN22" i="7"/>
  <c r="Z47" i="7"/>
  <c r="BC22" i="7"/>
  <c r="AF55" i="7"/>
  <c r="W23" i="10"/>
  <c r="AP23" i="10"/>
  <c r="AO23" i="10"/>
  <c r="Q19" i="5"/>
  <c r="AN50" i="5"/>
  <c r="AY23" i="10"/>
  <c r="AL53" i="12"/>
  <c r="Z50" i="5"/>
  <c r="AF23" i="10"/>
  <c r="AH55" i="7"/>
  <c r="AS55" i="7"/>
  <c r="AI23" i="10"/>
  <c r="AE55" i="7"/>
  <c r="AN36" i="5"/>
  <c r="AD23" i="10"/>
  <c r="U23" i="10"/>
  <c r="R55" i="7"/>
  <c r="BE36" i="5"/>
  <c r="Q24" i="5"/>
  <c r="AP44" i="7"/>
  <c r="AG23" i="10"/>
  <c r="AS53" i="12"/>
  <c r="X24" i="5"/>
  <c r="AF28" i="5"/>
  <c r="AD22" i="7"/>
  <c r="AP19" i="10"/>
  <c r="AA18" i="5"/>
  <c r="AO36" i="5"/>
  <c r="AV36" i="5"/>
  <c r="V21" i="5"/>
  <c r="AQ50" i="5"/>
  <c r="S50" i="5"/>
  <c r="AP35" i="5"/>
  <c r="AW35" i="5"/>
  <c r="AC23" i="10"/>
  <c r="AO53" i="12"/>
  <c r="AQ53" i="12"/>
  <c r="Z53" i="12"/>
  <c r="S53" i="12"/>
  <c r="AC22" i="5"/>
  <c r="AE28" i="5"/>
  <c r="AH52" i="12"/>
  <c r="AH43" i="10"/>
  <c r="AW43" i="10"/>
  <c r="AZ22" i="7"/>
  <c r="Z22" i="7"/>
  <c r="AY22" i="7"/>
  <c r="AT22" i="7"/>
  <c r="AG19" i="10"/>
  <c r="AD19" i="10"/>
  <c r="AA19" i="10"/>
  <c r="P19" i="10"/>
  <c r="AK55" i="7"/>
  <c r="AR55" i="7"/>
  <c r="AG34" i="12"/>
  <c r="AC53" i="12"/>
  <c r="AM23" i="10"/>
  <c r="U53" i="12"/>
  <c r="AI53" i="12"/>
  <c r="AO50" i="5"/>
  <c r="Q53" i="12"/>
  <c r="P53" i="12"/>
  <c r="AN55" i="7"/>
  <c r="AS36" i="5"/>
  <c r="AU21" i="5"/>
  <c r="Y23" i="10"/>
  <c r="AU53" i="12"/>
  <c r="AP55" i="7"/>
  <c r="AW55" i="7"/>
  <c r="AM53" i="12"/>
  <c r="R53" i="12"/>
  <c r="Z56" i="11"/>
  <c r="AI55" i="7"/>
  <c r="Y19" i="5"/>
  <c r="AB55" i="7"/>
  <c r="AR53" i="12"/>
  <c r="AK43" i="10"/>
  <c r="V19" i="10"/>
  <c r="AL19" i="10"/>
  <c r="AD24" i="5"/>
  <c r="Q18" i="5"/>
  <c r="BC36" i="5"/>
  <c r="Q21" i="5"/>
  <c r="AD21" i="5"/>
  <c r="BF35" i="5"/>
  <c r="AR23" i="10"/>
  <c r="Z23" i="10"/>
  <c r="AQ23" i="10"/>
  <c r="Y53" i="12"/>
  <c r="AJ53" i="12"/>
  <c r="AE53" i="12"/>
  <c r="AK53" i="12"/>
  <c r="AE32" i="12"/>
  <c r="AQ28" i="5"/>
  <c r="AL52" i="12"/>
  <c r="AY56" i="11"/>
  <c r="AB56" i="11"/>
  <c r="AS43" i="10"/>
  <c r="Z43" i="10"/>
  <c r="AI22" i="7"/>
  <c r="BA22" i="7"/>
  <c r="AR19" i="10"/>
  <c r="Q19" i="10"/>
  <c r="X55" i="7"/>
  <c r="AO55" i="7"/>
  <c r="AM22" i="5"/>
  <c r="R23" i="10"/>
  <c r="AG53" i="12"/>
  <c r="AW23" i="10"/>
  <c r="AA37" i="7"/>
  <c r="AS50" i="5"/>
  <c r="AT53" i="12"/>
  <c r="T50" i="5"/>
  <c r="AS56" i="11"/>
  <c r="AE22" i="5"/>
  <c r="BG36" i="5"/>
  <c r="Q50" i="5"/>
  <c r="AN53" i="12"/>
  <c r="AP22" i="5"/>
  <c r="W55" i="7"/>
  <c r="AX36" i="5"/>
  <c r="AP21" i="5"/>
  <c r="AT52" i="12"/>
  <c r="BA43" i="10"/>
  <c r="X37" i="7"/>
  <c r="AJ55" i="7"/>
  <c r="AR18" i="5"/>
  <c r="S18" i="5"/>
  <c r="V53" i="12"/>
  <c r="AS52" i="12"/>
  <c r="AV43" i="10"/>
  <c r="AL43" i="10"/>
  <c r="V55" i="7"/>
  <c r="BF36" i="5"/>
  <c r="BA36" i="5"/>
  <c r="AG18" i="5"/>
  <c r="AB21" i="5"/>
  <c r="R24" i="5"/>
  <c r="AL22" i="5"/>
  <c r="AU23" i="10"/>
  <c r="AX23" i="10"/>
  <c r="AT23" i="10"/>
  <c r="AH53" i="12"/>
  <c r="AD53" i="12"/>
  <c r="AS26" i="7"/>
  <c r="AJ32" i="12"/>
  <c r="BC28" i="5"/>
  <c r="AI43" i="10"/>
  <c r="AB43" i="10"/>
  <c r="AA43" i="10"/>
  <c r="AW22" i="7"/>
  <c r="AR22" i="7"/>
  <c r="AS22" i="7"/>
  <c r="AQ22" i="7"/>
  <c r="AB19" i="10"/>
  <c r="AQ19" i="10"/>
  <c r="Z55" i="7"/>
  <c r="AT55" i="7"/>
  <c r="AC55" i="7"/>
  <c r="X22" i="5"/>
  <c r="AJ23" i="10"/>
  <c r="T53" i="12"/>
  <c r="AB23" i="10"/>
  <c r="AK23" i="10"/>
  <c r="V19" i="5"/>
  <c r="AL23" i="10"/>
  <c r="W53" i="12"/>
  <c r="W50" i="5"/>
  <c r="AE23" i="10"/>
  <c r="U55" i="7"/>
  <c r="BB34" i="12"/>
  <c r="BB36" i="5"/>
  <c r="T21" i="5"/>
  <c r="AN23" i="10"/>
  <c r="AH23" i="10"/>
  <c r="AF53" i="12"/>
  <c r="T19" i="5"/>
  <c r="AM55" i="7"/>
  <c r="AZ36" i="5"/>
  <c r="AU36" i="5"/>
  <c r="AG21" i="5"/>
  <c r="AG24" i="5"/>
  <c r="AM50" i="5"/>
  <c r="AR21" i="5"/>
  <c r="Z24" i="5"/>
  <c r="AG55" i="7"/>
  <c r="AV23" i="10"/>
  <c r="AU43" i="10"/>
  <c r="U21" i="5"/>
  <c r="AO21" i="5"/>
  <c r="AM21" i="5"/>
  <c r="AJ21" i="5"/>
  <c r="AA50" i="5"/>
  <c r="AI24" i="5"/>
  <c r="AE24" i="5"/>
  <c r="W24" i="5"/>
  <c r="AC28" i="5"/>
  <c r="S23" i="10"/>
  <c r="AA53" i="12"/>
  <c r="AP53" i="12"/>
  <c r="AH58" i="12"/>
  <c r="AV55" i="7"/>
  <c r="AR43" i="10"/>
  <c r="AF43" i="10"/>
  <c r="AD43" i="10"/>
  <c r="AZ43" i="10"/>
  <c r="AC19" i="5"/>
  <c r="AH22" i="7"/>
  <c r="AA22" i="7"/>
  <c r="X19" i="10"/>
  <c r="AE19" i="10"/>
  <c r="AO19" i="10"/>
  <c r="AT22" i="5"/>
  <c r="Y55" i="7"/>
  <c r="AL55" i="7"/>
  <c r="AJ22" i="5"/>
  <c r="AA55" i="7"/>
  <c r="AL21" i="5"/>
  <c r="AI21" i="5"/>
  <c r="AZ69" i="5"/>
  <c r="BA34" i="5"/>
  <c r="W46" i="7"/>
  <c r="AI53" i="7"/>
  <c r="AM42" i="11"/>
  <c r="AS51" i="7"/>
  <c r="AD55" i="7"/>
  <c r="AQ71" i="11"/>
  <c r="AU42" i="11"/>
  <c r="AO51" i="7"/>
  <c r="Z51" i="7"/>
  <c r="BC53" i="5"/>
  <c r="AN53" i="5"/>
  <c r="AS21" i="5"/>
  <c r="AK34" i="5"/>
  <c r="AO34" i="5"/>
  <c r="S71" i="11"/>
  <c r="AL30" i="7"/>
  <c r="AM30" i="7"/>
  <c r="AD26" i="5"/>
  <c r="AP53" i="5"/>
  <c r="V24" i="5"/>
  <c r="T24" i="5"/>
  <c r="AX34" i="5"/>
  <c r="AT39" i="12"/>
  <c r="AQ39" i="12"/>
  <c r="AB53" i="7"/>
  <c r="AR30" i="7"/>
  <c r="BB53" i="5"/>
  <c r="AQ53" i="5"/>
  <c r="AV34" i="5"/>
  <c r="AQ30" i="7"/>
  <c r="AE30" i="7"/>
  <c r="AZ53" i="5"/>
  <c r="AO53" i="5"/>
  <c r="BE53" i="5"/>
  <c r="P21" i="5"/>
  <c r="BC34" i="5"/>
  <c r="AR34" i="5"/>
  <c r="BB69" i="5"/>
  <c r="AO39" i="12"/>
  <c r="Y71" i="11"/>
  <c r="AF51" i="7"/>
  <c r="AE51" i="7"/>
  <c r="AR53" i="5"/>
  <c r="BF69" i="5"/>
  <c r="BA69" i="5"/>
  <c r="BA39" i="12"/>
  <c r="AV30" i="7"/>
  <c r="BE69" i="5"/>
  <c r="BG53" i="5"/>
  <c r="AF21" i="5"/>
  <c r="AV51" i="7"/>
  <c r="AR69" i="5"/>
  <c r="P53" i="7"/>
  <c r="AJ71" i="11"/>
  <c r="AE21" i="5"/>
  <c r="AF69" i="5"/>
  <c r="AP39" i="12"/>
  <c r="AN26" i="10"/>
  <c r="AI26" i="10"/>
  <c r="AC26" i="10"/>
  <c r="AG26" i="10"/>
  <c r="V26" i="10"/>
  <c r="AE26" i="10"/>
  <c r="AZ26" i="5"/>
  <c r="AU26" i="5"/>
  <c r="AQ22" i="5"/>
  <c r="AR28" i="5"/>
  <c r="AB54" i="7"/>
  <c r="BD28" i="5"/>
  <c r="BJ63" i="9"/>
  <c r="BM63" i="9"/>
  <c r="AT31" i="5"/>
  <c r="AZ30" i="5"/>
  <c r="AQ31" i="5"/>
  <c r="AN31" i="5"/>
  <c r="AV31" i="5"/>
  <c r="AI30" i="5"/>
  <c r="AC31" i="5"/>
  <c r="BB63" i="9"/>
  <c r="BI63" i="9"/>
  <c r="AS30" i="5"/>
  <c r="AK26" i="5"/>
  <c r="AH30" i="12"/>
  <c r="AF26" i="5"/>
  <c r="Y26" i="5"/>
  <c r="AL26" i="5"/>
  <c r="AV26" i="5"/>
  <c r="AE34" i="12"/>
  <c r="AS34" i="12"/>
  <c r="AQ34" i="12"/>
  <c r="AW34" i="12"/>
  <c r="AL30" i="12"/>
  <c r="Z30" i="12"/>
  <c r="AN26" i="5"/>
  <c r="AB26" i="5"/>
  <c r="AR26" i="5"/>
  <c r="BB26" i="5"/>
  <c r="AT34" i="12"/>
  <c r="AC34" i="12"/>
  <c r="AL34" i="12"/>
  <c r="AN30" i="12"/>
  <c r="W30" i="12"/>
  <c r="AY26" i="5"/>
  <c r="AD34" i="12"/>
  <c r="BC34" i="12"/>
  <c r="AO34" i="12"/>
  <c r="AA30" i="12"/>
  <c r="AH26" i="5"/>
  <c r="AT26" i="5"/>
  <c r="AX26" i="5"/>
  <c r="X26" i="5"/>
  <c r="AB34" i="12"/>
  <c r="AK30" i="12"/>
  <c r="AQ30" i="12"/>
  <c r="AI26" i="5"/>
  <c r="Z26" i="5"/>
  <c r="AM26" i="5"/>
  <c r="AH34" i="12"/>
  <c r="AN34" i="12"/>
  <c r="AI34" i="12"/>
  <c r="AB30" i="12"/>
  <c r="AG26" i="5"/>
  <c r="AA26" i="5"/>
  <c r="AQ26" i="5"/>
  <c r="AX34" i="12"/>
  <c r="AD30" i="12"/>
  <c r="AC30" i="12"/>
  <c r="AW26" i="5"/>
  <c r="AO26" i="5"/>
  <c r="AS26" i="5"/>
  <c r="BA34" i="12"/>
  <c r="AP30" i="12"/>
  <c r="AP26" i="5"/>
  <c r="AJ26" i="5"/>
  <c r="AU34" i="12"/>
  <c r="S30" i="12"/>
  <c r="Q30" i="12"/>
  <c r="P30" i="12"/>
  <c r="BA26" i="5"/>
  <c r="BC26" i="5"/>
  <c r="AR34" i="12"/>
  <c r="AZ34" i="12"/>
  <c r="AJ34" i="12"/>
  <c r="AF30" i="12"/>
  <c r="AE26" i="5"/>
  <c r="AM34" i="12"/>
  <c r="U30" i="12"/>
  <c r="AS35" i="11"/>
  <c r="AQ68" i="12"/>
  <c r="AD52" i="12"/>
  <c r="AE52" i="12"/>
  <c r="AN52" i="12"/>
  <c r="AY56" i="10"/>
  <c r="AZ55" i="12"/>
  <c r="U69" i="12"/>
  <c r="AQ69" i="12"/>
  <c r="AC52" i="12"/>
  <c r="BG52" i="12"/>
  <c r="AV25" i="5"/>
  <c r="X69" i="12"/>
  <c r="BC35" i="11"/>
  <c r="AB52" i="12"/>
  <c r="AV52" i="12"/>
  <c r="AG25" i="5"/>
  <c r="AW52" i="12"/>
  <c r="AW25" i="5"/>
  <c r="AQ52" i="12"/>
  <c r="BE52" i="12"/>
  <c r="BD52" i="12"/>
  <c r="AC25" i="5"/>
  <c r="AB69" i="12"/>
  <c r="AY52" i="12"/>
  <c r="AY35" i="11"/>
  <c r="BD63" i="9"/>
  <c r="AR52" i="12"/>
  <c r="BA52" i="12"/>
  <c r="AZ52" i="12"/>
  <c r="AI52" i="12"/>
  <c r="AX52" i="12"/>
  <c r="BC52" i="12"/>
  <c r="AG52" i="12"/>
  <c r="AO52" i="12"/>
  <c r="AF25" i="5"/>
  <c r="AH25" i="5"/>
  <c r="BL63" i="9"/>
  <c r="BB52" i="12"/>
  <c r="AP52" i="12"/>
  <c r="AK52" i="12"/>
  <c r="AT61" i="12"/>
  <c r="AI22" i="11"/>
  <c r="AM61" i="12"/>
  <c r="AZ29" i="12"/>
  <c r="AP61" i="12"/>
  <c r="AA61" i="12"/>
  <c r="V22" i="11"/>
  <c r="U61" i="12"/>
  <c r="AF27" i="11"/>
  <c r="AU61" i="12"/>
  <c r="AS61" i="12"/>
  <c r="AY61" i="12"/>
  <c r="AR61" i="12"/>
  <c r="AG61" i="12"/>
  <c r="AD50" i="10"/>
  <c r="AI50" i="10"/>
  <c r="AF50" i="10"/>
  <c r="AH50" i="10"/>
  <c r="AJ50" i="10"/>
  <c r="AG50" i="10"/>
  <c r="AU50" i="10"/>
  <c r="AQ50" i="10"/>
  <c r="AS50" i="10"/>
  <c r="AT50" i="10"/>
  <c r="AR50" i="10"/>
  <c r="AM50" i="10"/>
  <c r="AL50" i="10"/>
  <c r="AC50" i="10"/>
  <c r="AP50" i="10"/>
  <c r="AN50" i="10"/>
  <c r="AE50" i="10"/>
  <c r="AB50" i="10"/>
  <c r="AO50" i="10"/>
  <c r="Q33" i="7"/>
  <c r="AO71" i="11"/>
  <c r="AU71" i="11"/>
  <c r="AE58" i="12"/>
  <c r="W56" i="11"/>
  <c r="AT56" i="11"/>
  <c r="AY51" i="7"/>
  <c r="AP51" i="7"/>
  <c r="T51" i="7"/>
  <c r="AH30" i="7"/>
  <c r="AG30" i="7"/>
  <c r="AS30" i="7"/>
  <c r="AP30" i="7"/>
  <c r="W33" i="7"/>
  <c r="AJ31" i="5"/>
  <c r="AP31" i="5"/>
  <c r="AI25" i="5"/>
  <c r="Y25" i="5"/>
  <c r="AP29" i="5"/>
  <c r="AZ31" i="5"/>
  <c r="AH31" i="5"/>
  <c r="AR31" i="5"/>
  <c r="AK25" i="5"/>
  <c r="AX63" i="9"/>
  <c r="X71" i="11"/>
  <c r="AI58" i="12"/>
  <c r="AF56" i="11"/>
  <c r="AA56" i="11"/>
  <c r="X56" i="11"/>
  <c r="AW56" i="10"/>
  <c r="BA56" i="10"/>
  <c r="U51" i="7"/>
  <c r="AI30" i="7"/>
  <c r="AN30" i="7"/>
  <c r="V33" i="7"/>
  <c r="AD29" i="5"/>
  <c r="AB31" i="5"/>
  <c r="BB31" i="5"/>
  <c r="T25" i="5"/>
  <c r="AD25" i="5"/>
  <c r="AX29" i="5"/>
  <c r="AP25" i="5"/>
  <c r="V71" i="11"/>
  <c r="AL71" i="11"/>
  <c r="AH71" i="11"/>
  <c r="AD58" i="12"/>
  <c r="AF58" i="12"/>
  <c r="AV56" i="11"/>
  <c r="AH56" i="11"/>
  <c r="Y56" i="11"/>
  <c r="BC56" i="10"/>
  <c r="AZ56" i="10"/>
  <c r="AL56" i="10"/>
  <c r="V51" i="7"/>
  <c r="AK51" i="7"/>
  <c r="AX30" i="7"/>
  <c r="AK30" i="7"/>
  <c r="AJ30" i="7"/>
  <c r="U25" i="5"/>
  <c r="AE25" i="5"/>
  <c r="X25" i="5"/>
  <c r="AM31" i="5"/>
  <c r="AI31" i="5"/>
  <c r="AU31" i="5"/>
  <c r="AM25" i="5"/>
  <c r="AC69" i="7"/>
  <c r="AV63" i="9"/>
  <c r="P71" i="11"/>
  <c r="AI71" i="11"/>
  <c r="AR71" i="11"/>
  <c r="AN58" i="12"/>
  <c r="Z58" i="12"/>
  <c r="T56" i="11"/>
  <c r="AN56" i="11"/>
  <c r="AC56" i="11"/>
  <c r="AK56" i="10"/>
  <c r="AS56" i="10"/>
  <c r="AD51" i="7"/>
  <c r="AB51" i="7"/>
  <c r="BB30" i="7"/>
  <c r="AB30" i="7"/>
  <c r="BA31" i="5"/>
  <c r="V25" i="5"/>
  <c r="AI29" i="5"/>
  <c r="AO25" i="5"/>
  <c r="AN25" i="5"/>
  <c r="AJ25" i="5"/>
  <c r="U71" i="11"/>
  <c r="W71" i="11"/>
  <c r="AD71" i="11"/>
  <c r="AC58" i="12"/>
  <c r="AA58" i="12"/>
  <c r="AJ58" i="12"/>
  <c r="AJ56" i="11"/>
  <c r="AW56" i="11"/>
  <c r="AM56" i="11"/>
  <c r="AP56" i="10"/>
  <c r="AQ56" i="10"/>
  <c r="AJ56" i="10"/>
  <c r="BB56" i="10"/>
  <c r="AL51" i="7"/>
  <c r="X51" i="7"/>
  <c r="AH51" i="7"/>
  <c r="W51" i="7"/>
  <c r="AC30" i="7"/>
  <c r="BE30" i="7"/>
  <c r="BG30" i="7"/>
  <c r="AF30" i="7"/>
  <c r="AB33" i="7"/>
  <c r="AA25" i="5"/>
  <c r="AR29" i="5"/>
  <c r="AT25" i="5"/>
  <c r="AQ25" i="5"/>
  <c r="AB71" i="11"/>
  <c r="AT71" i="11"/>
  <c r="AQ58" i="12"/>
  <c r="AR56" i="11"/>
  <c r="AN56" i="10"/>
  <c r="AG51" i="7"/>
  <c r="AI51" i="7"/>
  <c r="AW51" i="7"/>
  <c r="BC30" i="7"/>
  <c r="AA33" i="7"/>
  <c r="Z25" i="5"/>
  <c r="AU29" i="5"/>
  <c r="AO31" i="5"/>
  <c r="AS25" i="5"/>
  <c r="AR25" i="5"/>
  <c r="BP63" i="9"/>
  <c r="BN63" i="9"/>
  <c r="AY63" i="9"/>
  <c r="AA71" i="11"/>
  <c r="AO58" i="12"/>
  <c r="AG58" i="12"/>
  <c r="AP58" i="12"/>
  <c r="AI56" i="11"/>
  <c r="AP56" i="11"/>
  <c r="AU56" i="10"/>
  <c r="AM56" i="10"/>
  <c r="AX51" i="7"/>
  <c r="AQ51" i="7"/>
  <c r="BF30" i="7"/>
  <c r="AW30" i="7"/>
  <c r="AY30" i="7"/>
  <c r="AD30" i="7"/>
  <c r="AF33" i="7"/>
  <c r="W25" i="5"/>
  <c r="AW31" i="5"/>
  <c r="BC31" i="5"/>
  <c r="AW63" i="9"/>
  <c r="AH17" i="5"/>
  <c r="N17" i="5"/>
  <c r="Y17" i="5"/>
  <c r="Z17" i="5"/>
  <c r="Q17" i="5"/>
  <c r="P17" i="5"/>
  <c r="AP71" i="11"/>
  <c r="Z71" i="11"/>
  <c r="T71" i="11"/>
  <c r="AF71" i="11"/>
  <c r="AG71" i="11"/>
  <c r="AL58" i="12"/>
  <c r="U56" i="11"/>
  <c r="AE56" i="11"/>
  <c r="AD56" i="11"/>
  <c r="AN51" i="7"/>
  <c r="AU51" i="7"/>
  <c r="Y51" i="7"/>
  <c r="AC51" i="7"/>
  <c r="AZ30" i="7"/>
  <c r="AE31" i="5"/>
  <c r="AF29" i="5"/>
  <c r="AR20" i="5"/>
  <c r="AK71" i="11"/>
  <c r="AC71" i="11"/>
  <c r="AM58" i="12"/>
  <c r="AL56" i="11"/>
  <c r="AO56" i="11"/>
  <c r="AO56" i="10"/>
  <c r="AT56" i="10"/>
  <c r="AX56" i="10"/>
  <c r="AT51" i="7"/>
  <c r="AA51" i="7"/>
  <c r="AM51" i="7"/>
  <c r="AT30" i="7"/>
  <c r="AU30" i="7"/>
  <c r="AB25" i="5"/>
  <c r="AB29" i="5"/>
  <c r="AD31" i="5"/>
  <c r="AS31" i="5"/>
  <c r="BC63" i="9"/>
  <c r="BE63" i="9"/>
  <c r="AM71" i="11"/>
  <c r="AE71" i="11"/>
  <c r="AS71" i="11"/>
  <c r="AK56" i="11"/>
  <c r="AX56" i="11"/>
  <c r="AU56" i="11"/>
  <c r="AR56" i="10"/>
  <c r="BA30" i="7"/>
  <c r="AE33" i="7"/>
  <c r="Z32" i="12"/>
  <c r="N47" i="7"/>
  <c r="AH47" i="7"/>
  <c r="AM47" i="7"/>
  <c r="AQ29" i="12"/>
  <c r="BA29" i="12"/>
  <c r="AT29" i="12"/>
  <c r="I47" i="7"/>
  <c r="AX42" i="11"/>
  <c r="AZ42" i="11"/>
  <c r="U17" i="5"/>
  <c r="AD32" i="12"/>
  <c r="AL32" i="12"/>
  <c r="V47" i="7"/>
  <c r="Y47" i="7"/>
  <c r="O47" i="7"/>
  <c r="P32" i="12"/>
  <c r="AA32" i="12"/>
  <c r="T32" i="12"/>
  <c r="S32" i="12"/>
  <c r="AG32" i="12"/>
  <c r="AI47" i="7"/>
  <c r="AA61" i="7"/>
  <c r="W17" i="5"/>
  <c r="Q32" i="12"/>
  <c r="AB32" i="12"/>
  <c r="AS32" i="12"/>
  <c r="AE47" i="7"/>
  <c r="K47" i="7"/>
  <c r="AM29" i="12"/>
  <c r="AU29" i="12"/>
  <c r="AM69" i="7"/>
  <c r="AD69" i="7"/>
  <c r="R17" i="5"/>
  <c r="AM17" i="5"/>
  <c r="X32" i="12"/>
  <c r="AJ47" i="7"/>
  <c r="AK47" i="7"/>
  <c r="AL47" i="7"/>
  <c r="BC29" i="12"/>
  <c r="AY29" i="12"/>
  <c r="AJ29" i="12"/>
  <c r="Y32" i="12"/>
  <c r="V32" i="12"/>
  <c r="AF32" i="12"/>
  <c r="AM32" i="12"/>
  <c r="AG69" i="7"/>
  <c r="AC47" i="7"/>
  <c r="AA47" i="7"/>
  <c r="S47" i="7"/>
  <c r="AL29" i="12"/>
  <c r="AO29" i="12"/>
  <c r="AF42" i="11"/>
  <c r="AI32" i="12"/>
  <c r="R32" i="12"/>
  <c r="T47" i="7"/>
  <c r="W47" i="7"/>
  <c r="AV29" i="12"/>
  <c r="AS29" i="12"/>
  <c r="AX29" i="12"/>
  <c r="U47" i="7"/>
  <c r="AT32" i="12"/>
  <c r="AN32" i="12"/>
  <c r="AR32" i="12"/>
  <c r="Q47" i="7"/>
  <c r="AR29" i="12"/>
  <c r="AP29" i="12"/>
  <c r="BD69" i="7"/>
  <c r="AC32" i="12"/>
  <c r="AQ32" i="12"/>
  <c r="AP32" i="12"/>
  <c r="AO69" i="7"/>
  <c r="X47" i="7"/>
  <c r="AK29" i="12"/>
  <c r="AC28" i="7"/>
  <c r="AA17" i="5"/>
  <c r="AE61" i="7"/>
  <c r="W32" i="12"/>
  <c r="AK32" i="12"/>
  <c r="AF47" i="7"/>
  <c r="L47" i="7"/>
  <c r="BB29" i="12"/>
  <c r="AN29" i="12"/>
  <c r="AE28" i="7"/>
  <c r="AU32" i="12"/>
  <c r="AH32" i="12"/>
  <c r="P47" i="7"/>
  <c r="M47" i="7"/>
  <c r="AB47" i="7"/>
  <c r="AH42" i="11"/>
  <c r="AK42" i="11"/>
  <c r="AB17" i="5"/>
  <c r="Q69" i="12"/>
  <c r="AG17" i="5"/>
  <c r="AD18" i="5"/>
  <c r="AK17" i="5"/>
  <c r="AF17" i="5"/>
  <c r="AY29" i="5"/>
  <c r="T18" i="5"/>
  <c r="AL29" i="5"/>
  <c r="AS29" i="5"/>
  <c r="AV29" i="5"/>
  <c r="AW29" i="5"/>
  <c r="V17" i="5"/>
  <c r="AD17" i="5"/>
  <c r="X17" i="5"/>
  <c r="P69" i="12"/>
  <c r="AP69" i="12"/>
  <c r="V69" i="12"/>
  <c r="W69" i="12"/>
  <c r="AN26" i="7"/>
  <c r="BG39" i="12"/>
  <c r="AS39" i="12"/>
  <c r="AN39" i="12"/>
  <c r="V26" i="12"/>
  <c r="AI61" i="12"/>
  <c r="AP46" i="12"/>
  <c r="AE46" i="12"/>
  <c r="AT29" i="5"/>
  <c r="AN69" i="12"/>
  <c r="AR50" i="7"/>
  <c r="AR26" i="7"/>
  <c r="X72" i="12"/>
  <c r="Z18" i="5"/>
  <c r="AN18" i="5"/>
  <c r="AK29" i="5"/>
  <c r="U18" i="5"/>
  <c r="W18" i="5"/>
  <c r="Y18" i="5"/>
  <c r="AE29" i="5"/>
  <c r="AC69" i="12"/>
  <c r="BE26" i="7"/>
  <c r="AV26" i="7"/>
  <c r="AZ39" i="12"/>
  <c r="AH26" i="12"/>
  <c r="AZ71" i="7"/>
  <c r="T61" i="12"/>
  <c r="AJ61" i="12"/>
  <c r="X61" i="12"/>
  <c r="BF46" i="12"/>
  <c r="S69" i="12"/>
  <c r="R18" i="5"/>
  <c r="AQ29" i="5"/>
  <c r="AM18" i="5"/>
  <c r="AP18" i="5"/>
  <c r="BB29" i="5"/>
  <c r="AI18" i="5"/>
  <c r="BA29" i="5"/>
  <c r="O17" i="5"/>
  <c r="AS18" i="5"/>
  <c r="BD29" i="5"/>
  <c r="AG69" i="12"/>
  <c r="AF69" i="12"/>
  <c r="AU69" i="12"/>
  <c r="AP26" i="7"/>
  <c r="AT26" i="7"/>
  <c r="BC39" i="12"/>
  <c r="AY39" i="12"/>
  <c r="AO22" i="11"/>
  <c r="U26" i="12"/>
  <c r="T26" i="12"/>
  <c r="AG26" i="12"/>
  <c r="AD72" i="12"/>
  <c r="BA71" i="7"/>
  <c r="Y61" i="12"/>
  <c r="AH61" i="12"/>
  <c r="AQ61" i="12"/>
  <c r="AH18" i="5"/>
  <c r="AL18" i="5"/>
  <c r="AU18" i="5"/>
  <c r="AE17" i="5"/>
  <c r="AJ69" i="12"/>
  <c r="AL69" i="12"/>
  <c r="AH69" i="12"/>
  <c r="AW26" i="7"/>
  <c r="BF26" i="7"/>
  <c r="AX26" i="7"/>
  <c r="AV39" i="12"/>
  <c r="AP50" i="7"/>
  <c r="S26" i="12"/>
  <c r="AG72" i="12"/>
  <c r="AX61" i="12"/>
  <c r="AN61" i="12"/>
  <c r="BA46" i="12"/>
  <c r="AE55" i="12"/>
  <c r="AB18" i="5"/>
  <c r="AA69" i="12"/>
  <c r="AD69" i="12"/>
  <c r="AZ26" i="7"/>
  <c r="AU26" i="7"/>
  <c r="BB39" i="12"/>
  <c r="AW50" i="7"/>
  <c r="P26" i="12"/>
  <c r="AI26" i="12"/>
  <c r="AD61" i="12"/>
  <c r="Z61" i="12"/>
  <c r="BB46" i="12"/>
  <c r="AB27" i="11"/>
  <c r="BC71" i="7"/>
  <c r="V18" i="5"/>
  <c r="AM29" i="5"/>
  <c r="S17" i="5"/>
  <c r="AH29" i="5"/>
  <c r="AK69" i="12"/>
  <c r="Z69" i="12"/>
  <c r="AR69" i="12"/>
  <c r="AM69" i="12"/>
  <c r="AO26" i="7"/>
  <c r="AQ26" i="7"/>
  <c r="AU50" i="7"/>
  <c r="AF26" i="12"/>
  <c r="AD26" i="12"/>
  <c r="AB61" i="12"/>
  <c r="AV61" i="12"/>
  <c r="AK61" i="12"/>
  <c r="AO29" i="5"/>
  <c r="T69" i="12"/>
  <c r="AK18" i="5"/>
  <c r="X18" i="5"/>
  <c r="AI17" i="5"/>
  <c r="BC29" i="5"/>
  <c r="AC18" i="5"/>
  <c r="BF29" i="5"/>
  <c r="T17" i="5"/>
  <c r="P18" i="5"/>
  <c r="AZ29" i="5"/>
  <c r="AT18" i="5"/>
  <c r="AI69" i="12"/>
  <c r="AT69" i="12"/>
  <c r="Y69" i="12"/>
  <c r="AY26" i="7"/>
  <c r="BD26" i="7"/>
  <c r="BF39" i="12"/>
  <c r="AX39" i="12"/>
  <c r="AB26" i="12"/>
  <c r="X26" i="12"/>
  <c r="R26" i="12"/>
  <c r="W61" i="12"/>
  <c r="AE61" i="12"/>
  <c r="AW61" i="12"/>
  <c r="R69" i="12"/>
  <c r="AO69" i="12"/>
  <c r="BE55" i="12"/>
  <c r="AE69" i="12"/>
  <c r="Z46" i="12"/>
  <c r="AL17" i="5"/>
  <c r="AN29" i="5"/>
  <c r="AE18" i="5"/>
  <c r="AO18" i="5"/>
  <c r="BG29" i="5"/>
  <c r="AC17" i="5"/>
  <c r="AJ17" i="5"/>
  <c r="BC26" i="7"/>
  <c r="AR39" i="12"/>
  <c r="AC26" i="12"/>
  <c r="T72" i="12"/>
  <c r="AL61" i="12"/>
  <c r="AC61" i="12"/>
  <c r="AF61" i="12"/>
  <c r="AS46" i="12"/>
  <c r="AF46" i="12"/>
  <c r="AO55" i="12"/>
  <c r="BD39" i="12"/>
  <c r="BE39" i="12"/>
  <c r="AA4" i="2"/>
  <c r="AC72" i="12"/>
  <c r="AO61" i="12"/>
  <c r="T26" i="10"/>
  <c r="BD35" i="11"/>
  <c r="AR35" i="11"/>
  <c r="AU35" i="11"/>
  <c r="BE50" i="7"/>
  <c r="AV50" i="7"/>
  <c r="BB50" i="7"/>
  <c r="AC33" i="7"/>
  <c r="BB71" i="7"/>
  <c r="AI46" i="12"/>
  <c r="AG46" i="12"/>
  <c r="AA46" i="12"/>
  <c r="X46" i="12"/>
  <c r="T37" i="7"/>
  <c r="H33" i="7"/>
  <c r="Y33" i="7"/>
  <c r="AJ71" i="7"/>
  <c r="AP55" i="10"/>
  <c r="BD55" i="12"/>
  <c r="AK20" i="11"/>
  <c r="U23" i="11"/>
  <c r="AN71" i="7"/>
  <c r="AP26" i="10"/>
  <c r="AR26" i="10"/>
  <c r="U26" i="10"/>
  <c r="AN45" i="7"/>
  <c r="BC50" i="7"/>
  <c r="AY50" i="7"/>
  <c r="AZ50" i="7"/>
  <c r="AU46" i="12"/>
  <c r="BD46" i="12"/>
  <c r="I28" i="7"/>
  <c r="AC71" i="7"/>
  <c r="L37" i="7"/>
  <c r="U37" i="7"/>
  <c r="O33" i="7"/>
  <c r="AN33" i="7"/>
  <c r="AB71" i="7"/>
  <c r="AL71" i="7"/>
  <c r="AK55" i="12"/>
  <c r="Z37" i="7"/>
  <c r="AB23" i="11"/>
  <c r="AD26" i="10"/>
  <c r="X26" i="10"/>
  <c r="AJ26" i="10"/>
  <c r="AS26" i="10"/>
  <c r="AV35" i="11"/>
  <c r="AT50" i="7"/>
  <c r="AO33" i="7"/>
  <c r="AT46" i="12"/>
  <c r="AB46" i="12"/>
  <c r="AJ46" i="12"/>
  <c r="AN46" i="12"/>
  <c r="T28" i="7"/>
  <c r="K28" i="7"/>
  <c r="R37" i="7"/>
  <c r="Q37" i="7"/>
  <c r="Y37" i="7"/>
  <c r="K33" i="7"/>
  <c r="N33" i="7"/>
  <c r="AX55" i="12"/>
  <c r="AM55" i="12"/>
  <c r="N37" i="7"/>
  <c r="Z26" i="10"/>
  <c r="AB26" i="10"/>
  <c r="BA35" i="11"/>
  <c r="AN35" i="11"/>
  <c r="BG50" i="7"/>
  <c r="AD46" i="12"/>
  <c r="AA28" i="7"/>
  <c r="AO28" i="7"/>
  <c r="AP71" i="7"/>
  <c r="J37" i="7"/>
  <c r="AH23" i="11"/>
  <c r="T23" i="11"/>
  <c r="J33" i="7"/>
  <c r="AH33" i="7"/>
  <c r="AH71" i="7"/>
  <c r="AS55" i="12"/>
  <c r="AP55" i="12"/>
  <c r="AT55" i="12"/>
  <c r="AC55" i="12"/>
  <c r="AJ55" i="12"/>
  <c r="X5" i="2"/>
  <c r="AU71" i="7"/>
  <c r="AI55" i="12"/>
  <c r="M28" i="7"/>
  <c r="BF55" i="12"/>
  <c r="U4" i="2"/>
  <c r="AY26" i="10"/>
  <c r="AV26" i="10"/>
  <c r="AK26" i="10"/>
  <c r="AT26" i="10"/>
  <c r="BE35" i="11"/>
  <c r="BB35" i="11"/>
  <c r="AQ50" i="7"/>
  <c r="BD50" i="7"/>
  <c r="AK71" i="7"/>
  <c r="AH46" i="12"/>
  <c r="BC46" i="12"/>
  <c r="AV46" i="12"/>
  <c r="AO46" i="12"/>
  <c r="Y28" i="7"/>
  <c r="N28" i="7"/>
  <c r="H28" i="7"/>
  <c r="K37" i="7"/>
  <c r="AV71" i="7"/>
  <c r="L33" i="7"/>
  <c r="M33" i="7"/>
  <c r="AR55" i="12"/>
  <c r="AL55" i="12"/>
  <c r="AU55" i="12"/>
  <c r="BA55" i="12"/>
  <c r="AM26" i="10"/>
  <c r="Y26" i="10"/>
  <c r="AW26" i="10"/>
  <c r="AX35" i="11"/>
  <c r="BG35" i="11"/>
  <c r="AY71" i="7"/>
  <c r="AD71" i="7"/>
  <c r="AY46" i="12"/>
  <c r="AL46" i="12"/>
  <c r="V28" i="7"/>
  <c r="U28" i="7"/>
  <c r="AM33" i="7"/>
  <c r="U33" i="7"/>
  <c r="AD55" i="12"/>
  <c r="AW55" i="12"/>
  <c r="AF55" i="12"/>
  <c r="BD71" i="7"/>
  <c r="AA26" i="10"/>
  <c r="W26" i="10"/>
  <c r="AP35" i="11"/>
  <c r="BF35" i="11"/>
  <c r="AX50" i="7"/>
  <c r="BF71" i="7"/>
  <c r="AR20" i="11"/>
  <c r="AR71" i="7"/>
  <c r="AS71" i="7"/>
  <c r="AQ46" i="12"/>
  <c r="AX46" i="12"/>
  <c r="AW46" i="12"/>
  <c r="AK46" i="12"/>
  <c r="S28" i="7"/>
  <c r="W28" i="7"/>
  <c r="S37" i="7"/>
  <c r="P37" i="7"/>
  <c r="X33" i="7"/>
  <c r="AI33" i="7"/>
  <c r="BG55" i="12"/>
  <c r="AB55" i="12"/>
  <c r="AG55" i="12"/>
  <c r="AX26" i="10"/>
  <c r="AH26" i="10"/>
  <c r="AF26" i="10"/>
  <c r="AL26" i="10"/>
  <c r="AU26" i="10"/>
  <c r="AZ35" i="11"/>
  <c r="AG71" i="7"/>
  <c r="BF50" i="7"/>
  <c r="AO50" i="7"/>
  <c r="AT71" i="7"/>
  <c r="AM46" i="12"/>
  <c r="Y46" i="12"/>
  <c r="AC46" i="12"/>
  <c r="AH28" i="7"/>
  <c r="V37" i="7"/>
  <c r="W37" i="7"/>
  <c r="I37" i="7"/>
  <c r="AA23" i="11"/>
  <c r="T33" i="7"/>
  <c r="AK33" i="7"/>
  <c r="AY55" i="12"/>
  <c r="AH55" i="12"/>
  <c r="O37" i="7"/>
  <c r="AQ26" i="10"/>
  <c r="AQ35" i="11"/>
  <c r="AN50" i="7"/>
  <c r="AS50" i="7"/>
  <c r="AW71" i="7"/>
  <c r="AX71" i="7"/>
  <c r="BE46" i="12"/>
  <c r="BG46" i="12"/>
  <c r="AZ46" i="12"/>
  <c r="AI28" i="7"/>
  <c r="AD28" i="7"/>
  <c r="M37" i="7"/>
  <c r="Z33" i="7"/>
  <c r="AL33" i="7"/>
  <c r="AJ33" i="7"/>
  <c r="BB55" i="12"/>
  <c r="AV55" i="12"/>
  <c r="AQ55" i="12"/>
  <c r="AN55" i="12"/>
  <c r="W20" i="5"/>
  <c r="AS68" i="12"/>
  <c r="AG46" i="7"/>
  <c r="AE46" i="7"/>
  <c r="AC46" i="7"/>
  <c r="AR22" i="11"/>
  <c r="AG22" i="11"/>
  <c r="AQ61" i="7"/>
  <c r="N61" i="7"/>
  <c r="Y61" i="7"/>
  <c r="AD27" i="11"/>
  <c r="BF27" i="11"/>
  <c r="AL27" i="11"/>
  <c r="AU55" i="10"/>
  <c r="AT55" i="10"/>
  <c r="AN20" i="5"/>
  <c r="AP68" i="12"/>
  <c r="BD68" i="12"/>
  <c r="BC68" i="12"/>
  <c r="AK46" i="7"/>
  <c r="Y46" i="7"/>
  <c r="T46" i="7"/>
  <c r="AK22" i="11"/>
  <c r="AQ22" i="11"/>
  <c r="W22" i="11"/>
  <c r="S61" i="7"/>
  <c r="AV20" i="11"/>
  <c r="AG61" i="7"/>
  <c r="AK61" i="7"/>
  <c r="V23" i="11"/>
  <c r="AE23" i="11"/>
  <c r="R23" i="11"/>
  <c r="AM23" i="11"/>
  <c r="AY27" i="11"/>
  <c r="AV27" i="11"/>
  <c r="AP27" i="11"/>
  <c r="BC27" i="11"/>
  <c r="BA27" i="11"/>
  <c r="BG68" i="12"/>
  <c r="BE68" i="12"/>
  <c r="Z46" i="7"/>
  <c r="AJ46" i="7"/>
  <c r="AH46" i="7"/>
  <c r="P22" i="11"/>
  <c r="AP22" i="11"/>
  <c r="AO20" i="11"/>
  <c r="AN20" i="11"/>
  <c r="AT20" i="11"/>
  <c r="AC61" i="7"/>
  <c r="AD61" i="7"/>
  <c r="AC23" i="11"/>
  <c r="AG23" i="11"/>
  <c r="AG27" i="11"/>
  <c r="AZ27" i="11"/>
  <c r="AP61" i="7"/>
  <c r="AG55" i="10"/>
  <c r="AD20" i="5"/>
  <c r="AB20" i="5"/>
  <c r="R61" i="7"/>
  <c r="AY68" i="12"/>
  <c r="BB68" i="12"/>
  <c r="AW68" i="12"/>
  <c r="AN68" i="12"/>
  <c r="AC22" i="11"/>
  <c r="AT22" i="11"/>
  <c r="Z61" i="7"/>
  <c r="T61" i="7"/>
  <c r="AF20" i="11"/>
  <c r="O61" i="7"/>
  <c r="AU23" i="11"/>
  <c r="AR27" i="11"/>
  <c r="AL20" i="5"/>
  <c r="L61" i="7"/>
  <c r="S46" i="7"/>
  <c r="AN22" i="11"/>
  <c r="U22" i="11"/>
  <c r="Z22" i="11"/>
  <c r="AA22" i="11"/>
  <c r="U61" i="7"/>
  <c r="AQ20" i="11"/>
  <c r="AL61" i="7"/>
  <c r="AF23" i="11"/>
  <c r="AI27" i="11"/>
  <c r="AC27" i="11"/>
  <c r="BD27" i="11"/>
  <c r="AQ55" i="10"/>
  <c r="AF46" i="7"/>
  <c r="X46" i="7"/>
  <c r="AF22" i="11"/>
  <c r="AL22" i="11"/>
  <c r="X61" i="7"/>
  <c r="AP20" i="11"/>
  <c r="AS20" i="11"/>
  <c r="AU20" i="11"/>
  <c r="Q61" i="7"/>
  <c r="S23" i="11"/>
  <c r="Q23" i="11"/>
  <c r="AS23" i="11"/>
  <c r="P23" i="11"/>
  <c r="AS27" i="11"/>
  <c r="AH55" i="10"/>
  <c r="AM55" i="10"/>
  <c r="AE20" i="5"/>
  <c r="AR68" i="12"/>
  <c r="AO68" i="12"/>
  <c r="AD46" i="7"/>
  <c r="AE22" i="11"/>
  <c r="AU22" i="11"/>
  <c r="AJ61" i="7"/>
  <c r="AL20" i="11"/>
  <c r="AY20" i="11"/>
  <c r="AI20" i="11"/>
  <c r="AJ23" i="11"/>
  <c r="AP23" i="11"/>
  <c r="Y23" i="11"/>
  <c r="AE27" i="11"/>
  <c r="AH27" i="11"/>
  <c r="AQ27" i="11"/>
  <c r="AV55" i="10"/>
  <c r="AQ20" i="5"/>
  <c r="V20" i="5"/>
  <c r="AZ68" i="12"/>
  <c r="AU68" i="12"/>
  <c r="V46" i="7"/>
  <c r="AH22" i="11"/>
  <c r="AM22" i="11"/>
  <c r="AN61" i="7"/>
  <c r="AR23" i="11"/>
  <c r="AK23" i="11"/>
  <c r="Z23" i="11"/>
  <c r="BE27" i="11"/>
  <c r="AO27" i="11"/>
  <c r="BF68" i="12"/>
  <c r="AA46" i="7"/>
  <c r="AD22" i="11"/>
  <c r="Q22" i="11"/>
  <c r="AS22" i="11"/>
  <c r="AO61" i="7"/>
  <c r="AI23" i="11"/>
  <c r="X23" i="11"/>
  <c r="AU27" i="11"/>
  <c r="AW27" i="11"/>
  <c r="AX55" i="10"/>
  <c r="AJ55" i="10"/>
  <c r="AS20" i="5"/>
  <c r="BA68" i="12"/>
  <c r="AB46" i="7"/>
  <c r="AI46" i="7"/>
  <c r="U46" i="7"/>
  <c r="AB22" i="11"/>
  <c r="T22" i="11"/>
  <c r="X22" i="11"/>
  <c r="AG20" i="11"/>
  <c r="AM20" i="11"/>
  <c r="AJ20" i="11"/>
  <c r="AH20" i="11"/>
  <c r="AW20" i="11"/>
  <c r="AT23" i="11"/>
  <c r="AQ23" i="11"/>
  <c r="AD23" i="11"/>
  <c r="AL23" i="11"/>
  <c r="AX27" i="11"/>
  <c r="BG27" i="11"/>
  <c r="AK55" i="10"/>
  <c r="AW55" i="10"/>
  <c r="AN55" i="10"/>
  <c r="AI61" i="7"/>
  <c r="AX68" i="12"/>
  <c r="AT68" i="12"/>
  <c r="R22" i="11"/>
  <c r="S22" i="11"/>
  <c r="AJ22" i="11"/>
  <c r="W61" i="7"/>
  <c r="W23" i="11"/>
  <c r="AO23" i="11"/>
  <c r="AT27" i="11"/>
  <c r="AM27" i="11"/>
  <c r="AI55" i="10"/>
  <c r="AO30" i="5"/>
  <c r="AB30" i="5"/>
  <c r="AL30" i="5"/>
  <c r="AT30" i="5"/>
  <c r="BE30" i="5"/>
  <c r="BA30" i="5"/>
  <c r="AF30" i="5"/>
  <c r="AK30" i="5"/>
  <c r="AG30" i="5"/>
  <c r="BG30" i="5"/>
  <c r="AU30" i="5"/>
  <c r="AR30" i="5"/>
  <c r="AK27" i="5"/>
  <c r="BF30" i="5"/>
  <c r="AC30" i="5"/>
  <c r="BB30" i="5"/>
  <c r="Z27" i="5"/>
  <c r="BC30" i="5"/>
  <c r="AJ30" i="5"/>
  <c r="AM30" i="5"/>
  <c r="BD30" i="5"/>
  <c r="AE27" i="5"/>
  <c r="AY30" i="5"/>
  <c r="AP30" i="5"/>
  <c r="AQ30" i="5"/>
  <c r="AE30" i="5"/>
  <c r="AH30" i="5"/>
  <c r="AV30" i="5"/>
  <c r="AD30" i="5"/>
  <c r="AN30" i="5"/>
  <c r="AW30" i="5"/>
  <c r="BC66" i="5"/>
  <c r="O6" i="2"/>
  <c r="X6" i="2"/>
  <c r="AA5" i="2"/>
  <c r="X80" i="9"/>
  <c r="BJ80" i="9"/>
  <c r="AL80" i="9"/>
  <c r="AH80" i="9"/>
  <c r="AE80" i="9"/>
  <c r="AZ80" i="9"/>
  <c r="R80" i="9"/>
  <c r="BN80" i="9"/>
  <c r="AJ80" i="9"/>
  <c r="V80" i="9"/>
  <c r="BI80" i="9"/>
  <c r="J80" i="9"/>
  <c r="BL80" i="9"/>
  <c r="AU80" i="9"/>
  <c r="H80" i="9"/>
  <c r="AB80" i="9"/>
  <c r="BO80" i="9"/>
  <c r="S80" i="9"/>
  <c r="BQ80" i="9"/>
  <c r="BH80" i="9"/>
  <c r="N80" i="9"/>
  <c r="BA80" i="9"/>
  <c r="AV80" i="9"/>
  <c r="BE80" i="9"/>
  <c r="AT80" i="9"/>
  <c r="BS80" i="9"/>
  <c r="AM80" i="9"/>
  <c r="AS80" i="9"/>
  <c r="AD80" i="9"/>
  <c r="BC80" i="9"/>
  <c r="Y80" i="9"/>
  <c r="AG80" i="9"/>
  <c r="P80" i="9"/>
  <c r="AO80" i="9"/>
  <c r="K80" i="9"/>
  <c r="U80" i="9"/>
  <c r="BG80" i="9"/>
  <c r="AA80" i="9"/>
  <c r="BM80" i="9"/>
  <c r="I80" i="9"/>
  <c r="AQ80" i="9"/>
  <c r="M80" i="9"/>
  <c r="AY80" i="9"/>
  <c r="BP80" i="9"/>
  <c r="AC80" i="9"/>
  <c r="BR80" i="9"/>
  <c r="AK80" i="9"/>
  <c r="AX80" i="9"/>
  <c r="BD80" i="9"/>
  <c r="O80" i="9"/>
  <c r="BB80" i="9"/>
  <c r="W80" i="9"/>
  <c r="AR80" i="9"/>
  <c r="BT80" i="9"/>
  <c r="AN80" i="9"/>
  <c r="BK80" i="9"/>
  <c r="AF80" i="9"/>
  <c r="BF80" i="9"/>
  <c r="Z80" i="9"/>
  <c r="AW80" i="9"/>
  <c r="T80" i="9"/>
  <c r="AP80" i="9"/>
  <c r="L80" i="9"/>
  <c r="AI80" i="9"/>
  <c r="AM83" i="9"/>
  <c r="AK83" i="9"/>
  <c r="BR83" i="9"/>
  <c r="AH83" i="9"/>
  <c r="BD83" i="9"/>
  <c r="T83" i="9"/>
  <c r="BA83" i="9"/>
  <c r="AZ83" i="9"/>
  <c r="Q83" i="9"/>
  <c r="P83" i="9"/>
  <c r="BF83" i="9"/>
  <c r="L83" i="9"/>
  <c r="I83" i="9"/>
  <c r="AR83" i="9"/>
  <c r="BN83" i="9"/>
  <c r="BP83" i="9"/>
  <c r="BS83" i="9"/>
  <c r="BO83" i="9"/>
  <c r="BK83" i="9"/>
  <c r="BG83" i="9"/>
  <c r="BC83" i="9"/>
  <c r="AU83" i="9"/>
  <c r="AQ83" i="9"/>
  <c r="AI83" i="9"/>
  <c r="AE83" i="9"/>
  <c r="W83" i="9"/>
  <c r="S83" i="9"/>
  <c r="R83" i="9"/>
  <c r="K83" i="9"/>
  <c r="Y83" i="9"/>
  <c r="J83" i="9"/>
  <c r="AL83" i="9"/>
  <c r="BT83" i="9"/>
  <c r="BQ83" i="9"/>
  <c r="AO83" i="9"/>
  <c r="AB83" i="9"/>
  <c r="BB83" i="9"/>
  <c r="BH83" i="9"/>
  <c r="BE83" i="9"/>
  <c r="BI83" i="9"/>
  <c r="Z83" i="9"/>
  <c r="AT83" i="9"/>
  <c r="M83" i="9"/>
  <c r="AV83" i="9"/>
  <c r="AS83" i="9"/>
  <c r="AP83" i="9"/>
  <c r="BL83" i="9"/>
  <c r="AC83" i="9"/>
  <c r="N83" i="9"/>
  <c r="O83" i="9"/>
  <c r="V83" i="9"/>
  <c r="AJ83" i="9"/>
  <c r="AG83" i="9"/>
  <c r="BJ83" i="9"/>
  <c r="H83" i="9"/>
  <c r="AW83" i="9"/>
  <c r="AD83" i="9"/>
  <c r="AF83" i="9"/>
  <c r="AN83" i="9"/>
  <c r="X83" i="9"/>
  <c r="BM83" i="9"/>
  <c r="U83" i="9"/>
  <c r="AX83" i="9"/>
  <c r="AY83" i="9"/>
  <c r="AA83" i="9"/>
  <c r="N92" i="9"/>
  <c r="BA92" i="9"/>
  <c r="R92" i="9"/>
  <c r="BR92" i="9"/>
  <c r="AK92" i="9"/>
  <c r="BL92" i="9"/>
  <c r="AZ92" i="9"/>
  <c r="BQ92" i="9"/>
  <c r="AM92" i="9"/>
  <c r="BF92" i="9"/>
  <c r="AB92" i="9"/>
  <c r="Y92" i="9"/>
  <c r="BN92" i="9"/>
  <c r="W92" i="9"/>
  <c r="AR92" i="9"/>
  <c r="BM92" i="9"/>
  <c r="M92" i="9"/>
  <c r="I92" i="9"/>
  <c r="AD92" i="9"/>
  <c r="U92" i="9"/>
  <c r="BT92" i="9"/>
  <c r="H92" i="9"/>
  <c r="P92" i="9"/>
  <c r="BG92" i="9"/>
  <c r="BH92" i="9"/>
  <c r="J92" i="9"/>
  <c r="BK92" i="9"/>
  <c r="AS92" i="9"/>
  <c r="Q92" i="9"/>
  <c r="AV92" i="9"/>
  <c r="Z92" i="9"/>
  <c r="AU92" i="9"/>
  <c r="AQ92" i="9"/>
  <c r="BE92" i="9"/>
  <c r="AJ92" i="9"/>
  <c r="AN92" i="9"/>
  <c r="AG92" i="9"/>
  <c r="AP92" i="9"/>
  <c r="O92" i="9"/>
  <c r="X92" i="9"/>
  <c r="BB92" i="9"/>
  <c r="S92" i="9"/>
  <c r="AI92" i="9"/>
  <c r="L92" i="9"/>
  <c r="BP92" i="9"/>
  <c r="K92" i="9"/>
  <c r="BJ92" i="9"/>
  <c r="AE92" i="9"/>
  <c r="AY92" i="9"/>
  <c r="T92" i="9"/>
  <c r="AA92" i="9"/>
  <c r="AT92" i="9"/>
  <c r="BS92" i="9"/>
  <c r="BI92" i="9"/>
  <c r="AH92" i="9"/>
  <c r="V92" i="9"/>
  <c r="AO92" i="9"/>
  <c r="BO92" i="9"/>
  <c r="AF92" i="9"/>
  <c r="AC92" i="9"/>
  <c r="BD92" i="9"/>
  <c r="AL92" i="9"/>
  <c r="BC92" i="9"/>
  <c r="AW92" i="9"/>
  <c r="AX92" i="9"/>
  <c r="AM93" i="8"/>
  <c r="BJ93" i="8"/>
  <c r="AV93" i="8"/>
  <c r="H93" i="8"/>
  <c r="S93" i="8"/>
  <c r="AR93" i="8"/>
  <c r="K93" i="8"/>
  <c r="AX93" i="8"/>
  <c r="AJ93" i="8"/>
  <c r="BR93" i="8"/>
  <c r="BM93" i="8"/>
  <c r="AY93" i="8"/>
  <c r="AC93" i="8"/>
  <c r="AL93" i="8"/>
  <c r="X93" i="8"/>
  <c r="BC93" i="8"/>
  <c r="AU93" i="8"/>
  <c r="U93" i="8"/>
  <c r="BN93" i="8"/>
  <c r="Z93" i="8"/>
  <c r="L93" i="8"/>
  <c r="AN93" i="8"/>
  <c r="AF93" i="8"/>
  <c r="BG93" i="8"/>
  <c r="N93" i="8"/>
  <c r="BE93" i="8"/>
  <c r="V93" i="8"/>
  <c r="Q93" i="8"/>
  <c r="BI93" i="8"/>
  <c r="AP93" i="8"/>
  <c r="BP93" i="8"/>
  <c r="BL93" i="8"/>
  <c r="R93" i="8"/>
  <c r="AB93" i="8"/>
  <c r="AW93" i="8"/>
  <c r="AA93" i="8"/>
  <c r="BA93" i="8"/>
  <c r="AT93" i="8"/>
  <c r="J93" i="8"/>
  <c r="O93" i="8"/>
  <c r="BF93" i="8"/>
  <c r="BK93" i="8"/>
  <c r="AD93" i="8"/>
  <c r="AK93" i="8"/>
  <c r="I93" i="8"/>
  <c r="AI93" i="8"/>
  <c r="AE93" i="8"/>
  <c r="AS93" i="8"/>
  <c r="BB93" i="8"/>
  <c r="BQ93" i="8"/>
  <c r="AG93" i="8"/>
  <c r="Y93" i="8"/>
  <c r="BS93" i="8"/>
  <c r="T93" i="8"/>
  <c r="P93" i="8"/>
  <c r="M93" i="8"/>
  <c r="BD93" i="8"/>
  <c r="BO93" i="8"/>
  <c r="AQ93" i="8"/>
  <c r="BT93" i="8"/>
  <c r="AO93" i="8"/>
  <c r="AZ93" i="8"/>
  <c r="BH93" i="8"/>
  <c r="W93" i="8"/>
  <c r="AH93" i="8"/>
  <c r="U5" i="2"/>
  <c r="U6" i="2"/>
  <c r="BG63" i="9"/>
  <c r="BO63" i="9"/>
  <c r="AF72" i="12"/>
  <c r="AI72" i="12"/>
  <c r="F27" i="2"/>
  <c r="BC42" i="11"/>
  <c r="F29" i="2"/>
  <c r="AB82" i="9"/>
  <c r="AN82" i="9"/>
  <c r="BE82" i="9"/>
  <c r="L82" i="9"/>
  <c r="Y82" i="9"/>
  <c r="BQ82" i="9"/>
  <c r="AM82" i="9"/>
  <c r="Q82" i="9"/>
  <c r="AL82" i="9"/>
  <c r="X82" i="9"/>
  <c r="BA82" i="9"/>
  <c r="BS82" i="9"/>
  <c r="U82" i="9"/>
  <c r="BL82" i="9"/>
  <c r="BC82" i="9"/>
  <c r="AK82" i="9"/>
  <c r="P82" i="9"/>
  <c r="BT82" i="9"/>
  <c r="BI82" i="9"/>
  <c r="AZ82" i="9"/>
  <c r="S82" i="9"/>
  <c r="AJ82" i="9"/>
  <c r="AV82" i="9"/>
  <c r="BH82" i="9"/>
  <c r="AO82" i="9"/>
  <c r="BN82" i="9"/>
  <c r="J82" i="9"/>
  <c r="V82" i="9"/>
  <c r="AH82" i="9"/>
  <c r="AT82" i="9"/>
  <c r="M82" i="9"/>
  <c r="BF82" i="9"/>
  <c r="Z82" i="9"/>
  <c r="AC82" i="9"/>
  <c r="N82" i="9"/>
  <c r="BR82" i="9"/>
  <c r="AQ82" i="9"/>
  <c r="I82" i="9"/>
  <c r="AW82" i="9"/>
  <c r="AE82" i="9"/>
  <c r="O82" i="9"/>
  <c r="H82" i="9"/>
  <c r="K82" i="9"/>
  <c r="BJ82" i="9"/>
  <c r="AA82" i="9"/>
  <c r="BM82" i="9"/>
  <c r="AX82" i="9"/>
  <c r="AG82" i="9"/>
  <c r="T82" i="9"/>
  <c r="W82" i="9"/>
  <c r="AS82" i="9"/>
  <c r="BO82" i="9"/>
  <c r="AY82" i="9"/>
  <c r="R82" i="9"/>
  <c r="AF82" i="9"/>
  <c r="AI82" i="9"/>
  <c r="BK82" i="9"/>
  <c r="AD82" i="9"/>
  <c r="AR82" i="9"/>
  <c r="AU82" i="9"/>
  <c r="AP82" i="9"/>
  <c r="BD82" i="9"/>
  <c r="BG82" i="9"/>
  <c r="BP82" i="9"/>
  <c r="BB82" i="9"/>
  <c r="BD95" i="8"/>
  <c r="BS95" i="8"/>
  <c r="BM95" i="8"/>
  <c r="BG95" i="8"/>
  <c r="I95" i="8"/>
  <c r="AW95" i="8"/>
  <c r="AY95" i="8"/>
  <c r="BQ95" i="8"/>
  <c r="BR95" i="8"/>
  <c r="AU95" i="8"/>
  <c r="AR95" i="8"/>
  <c r="AM95" i="8"/>
  <c r="AF95" i="8"/>
  <c r="AC95" i="8"/>
  <c r="AA95" i="8"/>
  <c r="Q95" i="8"/>
  <c r="K95" i="8"/>
  <c r="V95" i="8"/>
  <c r="O95" i="8"/>
  <c r="BP95" i="8"/>
  <c r="BI95" i="8"/>
  <c r="BF95" i="8"/>
  <c r="BJ95" i="8"/>
  <c r="BA95" i="8"/>
  <c r="AT95" i="8"/>
  <c r="AQ95" i="8"/>
  <c r="AX95" i="8"/>
  <c r="AI95" i="8"/>
  <c r="AE95" i="8"/>
  <c r="Y95" i="8"/>
  <c r="BL95" i="8"/>
  <c r="AL95" i="8"/>
  <c r="T95" i="8"/>
  <c r="M95" i="8"/>
  <c r="J95" i="8"/>
  <c r="H95" i="8"/>
  <c r="AZ95" i="8"/>
  <c r="Z95" i="8"/>
  <c r="AO95" i="8"/>
  <c r="BN95" i="8"/>
  <c r="BH95" i="8"/>
  <c r="BT95" i="8"/>
  <c r="W95" i="8"/>
  <c r="AN95" i="8"/>
  <c r="N95" i="8"/>
  <c r="AK95" i="8"/>
  <c r="BC95" i="8"/>
  <c r="AV95" i="8"/>
  <c r="AS95" i="8"/>
  <c r="BE95" i="8"/>
  <c r="AB95" i="8"/>
  <c r="U95" i="8"/>
  <c r="AG95" i="8"/>
  <c r="AD95" i="8"/>
  <c r="AP95" i="8"/>
  <c r="S95" i="8"/>
  <c r="P95" i="8"/>
  <c r="AJ95" i="8"/>
  <c r="BK95" i="8"/>
  <c r="R95" i="8"/>
  <c r="BB95" i="8"/>
  <c r="L95" i="8"/>
  <c r="X95" i="8"/>
  <c r="BO95" i="8"/>
  <c r="AH95" i="8"/>
  <c r="H93" i="9"/>
  <c r="BF93" i="9"/>
  <c r="U93" i="9"/>
  <c r="AH93" i="9"/>
  <c r="BB93" i="9"/>
  <c r="BM93" i="9"/>
  <c r="AR93" i="9"/>
  <c r="BR93" i="9"/>
  <c r="BJ93" i="9"/>
  <c r="AV93" i="9"/>
  <c r="BP93" i="9"/>
  <c r="K93" i="9"/>
  <c r="AY93" i="9"/>
  <c r="AD93" i="9"/>
  <c r="Q93" i="9"/>
  <c r="AX93" i="9"/>
  <c r="BL93" i="9"/>
  <c r="BN93" i="9"/>
  <c r="AA93" i="9"/>
  <c r="BK93" i="9"/>
  <c r="P93" i="9"/>
  <c r="BG93" i="9"/>
  <c r="AL93" i="9"/>
  <c r="AO93" i="9"/>
  <c r="BO93" i="9"/>
  <c r="AU93" i="9"/>
  <c r="AS93" i="9"/>
  <c r="O93" i="9"/>
  <c r="Z93" i="9"/>
  <c r="BC93" i="9"/>
  <c r="BA93" i="9"/>
  <c r="AG93" i="9"/>
  <c r="AQ93" i="9"/>
  <c r="BE93" i="9"/>
  <c r="N93" i="9"/>
  <c r="BQ93" i="9"/>
  <c r="AM93" i="9"/>
  <c r="S93" i="9"/>
  <c r="AP93" i="9"/>
  <c r="BD93" i="9"/>
  <c r="BI93" i="9"/>
  <c r="W93" i="9"/>
  <c r="BH93" i="9"/>
  <c r="AI93" i="9"/>
  <c r="L93" i="9"/>
  <c r="AW93" i="9"/>
  <c r="I93" i="9"/>
  <c r="AT93" i="9"/>
  <c r="AE93" i="9"/>
  <c r="AK93" i="9"/>
  <c r="AZ93" i="9"/>
  <c r="AF93" i="9"/>
  <c r="AC93" i="9"/>
  <c r="Y93" i="9"/>
  <c r="J93" i="9"/>
  <c r="AJ93" i="9"/>
  <c r="R93" i="9"/>
  <c r="AB93" i="9"/>
  <c r="M93" i="9"/>
  <c r="X93" i="9"/>
  <c r="V93" i="9"/>
  <c r="BT93" i="9"/>
  <c r="BS93" i="9"/>
  <c r="AN93" i="9"/>
  <c r="T93" i="9"/>
  <c r="I4" i="2"/>
  <c r="AB42" i="11"/>
  <c r="BG42" i="11"/>
  <c r="AD42" i="11"/>
  <c r="BE42" i="11"/>
  <c r="Q80" i="9"/>
  <c r="BE82" i="8"/>
  <c r="Z82" i="8"/>
  <c r="AQ82" i="8"/>
  <c r="AO82" i="8"/>
  <c r="AA82" i="8"/>
  <c r="BK82" i="8"/>
  <c r="L82" i="8"/>
  <c r="M82" i="8"/>
  <c r="BF82" i="8"/>
  <c r="N82" i="8"/>
  <c r="S82" i="8"/>
  <c r="AW82" i="8"/>
  <c r="Y82" i="8"/>
  <c r="AC82" i="8"/>
  <c r="O82" i="8"/>
  <c r="AG82" i="8"/>
  <c r="BO82" i="8"/>
  <c r="AM82" i="8"/>
  <c r="AR82" i="8"/>
  <c r="AE82" i="8"/>
  <c r="Q82" i="8"/>
  <c r="AU82" i="8"/>
  <c r="BD82" i="8"/>
  <c r="R82" i="8"/>
  <c r="BG82" i="8"/>
  <c r="AS82" i="8"/>
  <c r="AF82" i="8"/>
  <c r="BJ82" i="8"/>
  <c r="BS82" i="8"/>
  <c r="AD82" i="8"/>
  <c r="BH82" i="8"/>
  <c r="AT82" i="8"/>
  <c r="H82" i="8"/>
  <c r="I82" i="8"/>
  <c r="J82" i="8"/>
  <c r="AP82" i="8"/>
  <c r="BI82" i="8"/>
  <c r="V82" i="8"/>
  <c r="W82" i="8"/>
  <c r="X82" i="8"/>
  <c r="BB82" i="8"/>
  <c r="AJ82" i="8"/>
  <c r="AK82" i="8"/>
  <c r="AL82" i="8"/>
  <c r="BN82" i="8"/>
  <c r="AX82" i="8"/>
  <c r="AY82" i="8"/>
  <c r="BC82" i="8"/>
  <c r="P82" i="8"/>
  <c r="T82" i="8"/>
  <c r="BM82" i="8"/>
  <c r="BP82" i="8"/>
  <c r="BQ82" i="8"/>
  <c r="BR82" i="8"/>
  <c r="AB82" i="8"/>
  <c r="AH82" i="8"/>
  <c r="BA82" i="8"/>
  <c r="AN82" i="8"/>
  <c r="AV82" i="8"/>
  <c r="U82" i="8"/>
  <c r="AZ82" i="8"/>
  <c r="K82" i="8"/>
  <c r="BL82" i="8"/>
  <c r="AI82" i="8"/>
  <c r="AA88" i="9"/>
  <c r="BE88" i="9"/>
  <c r="BB88" i="9"/>
  <c r="BC88" i="9"/>
  <c r="Y88" i="9"/>
  <c r="BA88" i="9"/>
  <c r="Z88" i="9"/>
  <c r="BF88" i="9"/>
  <c r="BI88" i="9"/>
  <c r="AO88" i="9"/>
  <c r="N88" i="9"/>
  <c r="AT88" i="9"/>
  <c r="AD88" i="9"/>
  <c r="AC88" i="9"/>
  <c r="BH88" i="9"/>
  <c r="AH88" i="9"/>
  <c r="Q88" i="9"/>
  <c r="AV88" i="9"/>
  <c r="V88" i="9"/>
  <c r="BL88" i="9"/>
  <c r="AJ88" i="9"/>
  <c r="J88" i="9"/>
  <c r="AZ88" i="9"/>
  <c r="X88" i="9"/>
  <c r="BR88" i="9"/>
  <c r="AG88" i="9"/>
  <c r="I88" i="9"/>
  <c r="O88" i="9"/>
  <c r="AN88" i="9"/>
  <c r="L88" i="9"/>
  <c r="BD88" i="9"/>
  <c r="BK88" i="9"/>
  <c r="AK88" i="9"/>
  <c r="K88" i="9"/>
  <c r="AQ88" i="9"/>
  <c r="AB88" i="9"/>
  <c r="BG88" i="9"/>
  <c r="AR88" i="9"/>
  <c r="BN88" i="9"/>
  <c r="AM88" i="9"/>
  <c r="R88" i="9"/>
  <c r="P88" i="9"/>
  <c r="AU88" i="9"/>
  <c r="AF88" i="9"/>
  <c r="BO88" i="9"/>
  <c r="AS88" i="9"/>
  <c r="S88" i="9"/>
  <c r="U88" i="9"/>
  <c r="BQ88" i="9"/>
  <c r="BJ88" i="9"/>
  <c r="AI88" i="9"/>
  <c r="T88" i="9"/>
  <c r="M88" i="9"/>
  <c r="AW88" i="9"/>
  <c r="AY88" i="9"/>
  <c r="BP88" i="9"/>
  <c r="AX88" i="9"/>
  <c r="W88" i="9"/>
  <c r="H88" i="9"/>
  <c r="AP88" i="9"/>
  <c r="BM88" i="9"/>
  <c r="AL88" i="9"/>
  <c r="BT88" i="9"/>
  <c r="BS88" i="9"/>
  <c r="AE88" i="9"/>
  <c r="AN83" i="11"/>
  <c r="K83" i="11"/>
  <c r="AF83" i="11"/>
  <c r="Z83" i="11"/>
  <c r="AX83" i="11"/>
  <c r="BO83" i="11"/>
  <c r="L41" i="5"/>
  <c r="X41" i="5"/>
  <c r="AJ41" i="5"/>
  <c r="AV41" i="5"/>
  <c r="BH41" i="5"/>
  <c r="BT41" i="5"/>
  <c r="AC95" i="9"/>
  <c r="Y95" i="9"/>
  <c r="X95" i="9"/>
  <c r="M95" i="9"/>
  <c r="BP95" i="9"/>
  <c r="K95" i="9"/>
  <c r="J95" i="9"/>
  <c r="BQ95" i="9"/>
  <c r="BH95" i="9"/>
  <c r="BC95" i="9"/>
  <c r="AQ95" i="9"/>
  <c r="BM95" i="9"/>
  <c r="BS95" i="9"/>
  <c r="BB95" i="9"/>
  <c r="BE95" i="9"/>
  <c r="AO95" i="9"/>
  <c r="AL95" i="9"/>
  <c r="L95" i="9"/>
  <c r="AR95" i="9"/>
  <c r="BK95" i="9"/>
  <c r="AI95" i="9"/>
  <c r="W95" i="9"/>
  <c r="Z95" i="9"/>
  <c r="BF95" i="9"/>
  <c r="AY95" i="9"/>
  <c r="AW95" i="9"/>
  <c r="AK95" i="9"/>
  <c r="AP95" i="9"/>
  <c r="BT95" i="9"/>
  <c r="AM95" i="9"/>
  <c r="BA95" i="9"/>
  <c r="BD95" i="9"/>
  <c r="AA95" i="9"/>
  <c r="BO95" i="9"/>
  <c r="BR95" i="9"/>
  <c r="O95" i="9"/>
  <c r="T95" i="9"/>
  <c r="R95" i="9"/>
  <c r="S95" i="9"/>
  <c r="AH95" i="9"/>
  <c r="AF95" i="9"/>
  <c r="AG95" i="9"/>
  <c r="BL95" i="9"/>
  <c r="AV95" i="9"/>
  <c r="H95" i="9"/>
  <c r="Q95" i="9"/>
  <c r="AT95" i="9"/>
  <c r="AU95" i="9"/>
  <c r="AZ95" i="9"/>
  <c r="BJ95" i="9"/>
  <c r="V95" i="9"/>
  <c r="AE95" i="9"/>
  <c r="BI95" i="9"/>
  <c r="AN95" i="9"/>
  <c r="AJ95" i="9"/>
  <c r="N95" i="9"/>
  <c r="AS95" i="9"/>
  <c r="AB95" i="9"/>
  <c r="AX95" i="9"/>
  <c r="BN95" i="9"/>
  <c r="AD95" i="9"/>
  <c r="P95" i="9"/>
  <c r="I95" i="9"/>
  <c r="BG95" i="9"/>
  <c r="U95" i="9"/>
  <c r="AC100" i="9"/>
  <c r="BQ100" i="9"/>
  <c r="BR100" i="9"/>
  <c r="BL100" i="9"/>
  <c r="AB100" i="9"/>
  <c r="BA100" i="9"/>
  <c r="AX100" i="9"/>
  <c r="AN100" i="9"/>
  <c r="AT100" i="9"/>
  <c r="BK100" i="9"/>
  <c r="V100" i="9"/>
  <c r="AK100" i="9"/>
  <c r="AH100" i="9"/>
  <c r="L100" i="9"/>
  <c r="Q100" i="9"/>
  <c r="N100" i="9"/>
  <c r="BJ100" i="9"/>
  <c r="BM100" i="9"/>
  <c r="BT100" i="9"/>
  <c r="BF100" i="9"/>
  <c r="M100" i="9"/>
  <c r="AZ100" i="9"/>
  <c r="Z100" i="9"/>
  <c r="BI100" i="9"/>
  <c r="AJ100" i="9"/>
  <c r="AW100" i="9"/>
  <c r="K100" i="9"/>
  <c r="AA100" i="9"/>
  <c r="P100" i="9"/>
  <c r="Y100" i="9"/>
  <c r="BH100" i="9"/>
  <c r="AL100" i="9"/>
  <c r="AO100" i="9"/>
  <c r="BS100" i="9"/>
  <c r="AV100" i="9"/>
  <c r="J100" i="9"/>
  <c r="AY100" i="9"/>
  <c r="X100" i="9"/>
  <c r="BG100" i="9"/>
  <c r="AI100" i="9"/>
  <c r="AU100" i="9"/>
  <c r="AM100" i="9"/>
  <c r="O100" i="9"/>
  <c r="W100" i="9"/>
  <c r="R100" i="9"/>
  <c r="H100" i="9"/>
  <c r="AD100" i="9"/>
  <c r="T100" i="9"/>
  <c r="I100" i="9"/>
  <c r="AP100" i="9"/>
  <c r="AF100" i="9"/>
  <c r="U100" i="9"/>
  <c r="BB100" i="9"/>
  <c r="S100" i="9"/>
  <c r="AR100" i="9"/>
  <c r="AG100" i="9"/>
  <c r="BN100" i="9"/>
  <c r="AE100" i="9"/>
  <c r="BD100" i="9"/>
  <c r="AS100" i="9"/>
  <c r="AQ100" i="9"/>
  <c r="BP100" i="9"/>
  <c r="BE100" i="9"/>
  <c r="BC100" i="9"/>
  <c r="BO100" i="9"/>
  <c r="BD94" i="8"/>
  <c r="AB91" i="9"/>
  <c r="T91" i="9"/>
  <c r="BQ91" i="9"/>
  <c r="BD91" i="9"/>
  <c r="P91" i="9"/>
  <c r="BC91" i="9"/>
  <c r="BL91" i="9"/>
  <c r="AH91" i="9"/>
  <c r="N91" i="9"/>
  <c r="AO91" i="9"/>
  <c r="AX91" i="9"/>
  <c r="BF91" i="9"/>
  <c r="AP91" i="9"/>
  <c r="AD91" i="9"/>
  <c r="AA91" i="9"/>
  <c r="BR91" i="9"/>
  <c r="M91" i="9"/>
  <c r="AJ91" i="9"/>
  <c r="Z91" i="9"/>
  <c r="BM91" i="9"/>
  <c r="BI91" i="9"/>
  <c r="X91" i="9"/>
  <c r="J91" i="9"/>
  <c r="AY91" i="9"/>
  <c r="AS91" i="9"/>
  <c r="L91" i="9"/>
  <c r="BO91" i="9"/>
  <c r="AK91" i="9"/>
  <c r="AE91" i="9"/>
  <c r="BS91" i="9"/>
  <c r="BA91" i="9"/>
  <c r="U91" i="9"/>
  <c r="Q91" i="9"/>
  <c r="BG91" i="9"/>
  <c r="AM91" i="9"/>
  <c r="BK91" i="9"/>
  <c r="BE91" i="9"/>
  <c r="AU91" i="9"/>
  <c r="Y91" i="9"/>
  <c r="AW91" i="9"/>
  <c r="AQ91" i="9"/>
  <c r="AI91" i="9"/>
  <c r="I91" i="9"/>
  <c r="AG91" i="9"/>
  <c r="AC91" i="9"/>
  <c r="W91" i="9"/>
  <c r="BN91" i="9"/>
  <c r="S91" i="9"/>
  <c r="O91" i="9"/>
  <c r="K91" i="9"/>
  <c r="AZ91" i="9"/>
  <c r="BJ91" i="9"/>
  <c r="AR91" i="9"/>
  <c r="BT91" i="9"/>
  <c r="BP91" i="9"/>
  <c r="AL91" i="9"/>
  <c r="AT91" i="9"/>
  <c r="BH91" i="9"/>
  <c r="BB91" i="9"/>
  <c r="V91" i="9"/>
  <c r="AF91" i="9"/>
  <c r="H91" i="9"/>
  <c r="R91" i="9"/>
  <c r="AN91" i="9"/>
  <c r="AV91" i="9"/>
  <c r="N84" i="12"/>
  <c r="AX84" i="12"/>
  <c r="AW84" i="12"/>
  <c r="AO84" i="12"/>
  <c r="BP84" i="12"/>
  <c r="BD99" i="7"/>
  <c r="BB84" i="9"/>
  <c r="BG84" i="9"/>
  <c r="BC84" i="9"/>
  <c r="BJ84" i="9"/>
  <c r="U84" i="9"/>
  <c r="AL84" i="9"/>
  <c r="R84" i="9"/>
  <c r="AI84" i="9"/>
  <c r="Q84" i="9"/>
  <c r="AN84" i="9"/>
  <c r="W84" i="9"/>
  <c r="Y84" i="9"/>
  <c r="V84" i="9"/>
  <c r="BK84" i="9"/>
  <c r="AQ84" i="9"/>
  <c r="AU84" i="9"/>
  <c r="N84" i="9"/>
  <c r="AO84" i="9"/>
  <c r="M84" i="9"/>
  <c r="J84" i="9"/>
  <c r="BM84" i="9"/>
  <c r="BO84" i="9"/>
  <c r="AD84" i="9"/>
  <c r="O84" i="9"/>
  <c r="P84" i="9"/>
  <c r="BT84" i="9"/>
  <c r="BP84" i="9"/>
  <c r="I84" i="9"/>
  <c r="AX84" i="9"/>
  <c r="AE84" i="9"/>
  <c r="AG84" i="9"/>
  <c r="BH84" i="9"/>
  <c r="BD84" i="9"/>
  <c r="AB84" i="9"/>
  <c r="BQ84" i="9"/>
  <c r="AY84" i="9"/>
  <c r="BA84" i="9"/>
  <c r="AV84" i="9"/>
  <c r="AR84" i="9"/>
  <c r="AS84" i="9"/>
  <c r="BS84" i="9"/>
  <c r="AJ84" i="9"/>
  <c r="AF84" i="9"/>
  <c r="BN84" i="9"/>
  <c r="X84" i="9"/>
  <c r="T84" i="9"/>
  <c r="L84" i="9"/>
  <c r="H84" i="9"/>
  <c r="BR84" i="9"/>
  <c r="BL84" i="9"/>
  <c r="S84" i="9"/>
  <c r="BI84" i="9"/>
  <c r="BF84" i="9"/>
  <c r="AZ84" i="9"/>
  <c r="AM84" i="9"/>
  <c r="AW84" i="9"/>
  <c r="AT84" i="9"/>
  <c r="Z84" i="9"/>
  <c r="K84" i="9"/>
  <c r="AK84" i="9"/>
  <c r="AH84" i="9"/>
  <c r="BE84" i="9"/>
  <c r="AP84" i="9"/>
  <c r="AC84" i="9"/>
  <c r="AA84" i="9"/>
  <c r="AA6" i="2"/>
  <c r="BH63" i="9"/>
  <c r="F37" i="2"/>
  <c r="Y72" i="12"/>
  <c r="F28" i="2"/>
  <c r="AR42" i="11"/>
  <c r="AE42" i="11"/>
  <c r="F30" i="2"/>
  <c r="BQ88" i="8"/>
  <c r="BT88" i="8"/>
  <c r="BO88" i="8"/>
  <c r="AX88" i="8"/>
  <c r="P88" i="8"/>
  <c r="I88" i="8"/>
  <c r="BP88" i="8"/>
  <c r="BF88" i="8"/>
  <c r="BC88" i="8"/>
  <c r="Z88" i="8"/>
  <c r="BK88" i="8"/>
  <c r="BB88" i="8"/>
  <c r="BH88" i="8"/>
  <c r="AT88" i="8"/>
  <c r="AQ88" i="8"/>
  <c r="AW88" i="8"/>
  <c r="AM88" i="8"/>
  <c r="AZ88" i="8"/>
  <c r="AV88" i="8"/>
  <c r="AH88" i="8"/>
  <c r="AE88" i="8"/>
  <c r="Y88" i="8"/>
  <c r="O88" i="8"/>
  <c r="AD88" i="8"/>
  <c r="AJ88" i="8"/>
  <c r="V88" i="8"/>
  <c r="S88" i="8"/>
  <c r="BS88" i="8"/>
  <c r="BJ88" i="8"/>
  <c r="AB88" i="8"/>
  <c r="X88" i="8"/>
  <c r="J88" i="8"/>
  <c r="BM88" i="8"/>
  <c r="AS88" i="8"/>
  <c r="AL88" i="8"/>
  <c r="L88" i="8"/>
  <c r="BR88" i="8"/>
  <c r="BA88" i="8"/>
  <c r="U88" i="8"/>
  <c r="N88" i="8"/>
  <c r="BG88" i="8"/>
  <c r="BD88" i="8"/>
  <c r="AO88" i="8"/>
  <c r="BN88" i="8"/>
  <c r="BI88" i="8"/>
  <c r="AU88" i="8"/>
  <c r="AR88" i="8"/>
  <c r="AC88" i="8"/>
  <c r="AP88" i="8"/>
  <c r="AK88" i="8"/>
  <c r="AI88" i="8"/>
  <c r="AF88" i="8"/>
  <c r="Q88" i="8"/>
  <c r="R88" i="8"/>
  <c r="M88" i="8"/>
  <c r="W88" i="8"/>
  <c r="T88" i="8"/>
  <c r="AY88" i="8"/>
  <c r="BL88" i="8"/>
  <c r="BE88" i="8"/>
  <c r="AG88" i="8"/>
  <c r="K88" i="8"/>
  <c r="H88" i="8"/>
  <c r="AA88" i="8"/>
  <c r="AN88" i="8"/>
  <c r="AH85" i="8"/>
  <c r="AW85" i="8"/>
  <c r="AM85" i="8"/>
  <c r="T85" i="8"/>
  <c r="X85" i="8"/>
  <c r="BJ85" i="8"/>
  <c r="BK85" i="8"/>
  <c r="AX85" i="8"/>
  <c r="BN85" i="8"/>
  <c r="BR85" i="8"/>
  <c r="H85" i="8"/>
  <c r="AO85" i="8"/>
  <c r="BQ85" i="8"/>
  <c r="BO85" i="8"/>
  <c r="BH85" i="8"/>
  <c r="N85" i="8"/>
  <c r="BE85" i="8"/>
  <c r="BC85" i="8"/>
  <c r="BG85" i="8"/>
  <c r="O85" i="8"/>
  <c r="V85" i="8"/>
  <c r="AS85" i="8"/>
  <c r="AQ85" i="8"/>
  <c r="L85" i="8"/>
  <c r="M85" i="8"/>
  <c r="AI85" i="8"/>
  <c r="Q85" i="8"/>
  <c r="AL85" i="8"/>
  <c r="AG85" i="8"/>
  <c r="AE85" i="8"/>
  <c r="AC85" i="8"/>
  <c r="AY85" i="8"/>
  <c r="AJ85" i="8"/>
  <c r="R85" i="8"/>
  <c r="BF85" i="8"/>
  <c r="U85" i="8"/>
  <c r="S85" i="8"/>
  <c r="AV85" i="8"/>
  <c r="BS85" i="8"/>
  <c r="BA85" i="8"/>
  <c r="AK85" i="8"/>
  <c r="I85" i="8"/>
  <c r="BL85" i="8"/>
  <c r="BM85" i="8"/>
  <c r="BT85" i="8"/>
  <c r="BB85" i="8"/>
  <c r="BP85" i="8"/>
  <c r="AZ85" i="8"/>
  <c r="BD85" i="8"/>
  <c r="AN85" i="8"/>
  <c r="Y85" i="8"/>
  <c r="J85" i="8"/>
  <c r="K85" i="8"/>
  <c r="AD85" i="8"/>
  <c r="AR85" i="8"/>
  <c r="AB85" i="8"/>
  <c r="AP85" i="8"/>
  <c r="Z85" i="8"/>
  <c r="AA85" i="8"/>
  <c r="BI85" i="8"/>
  <c r="AU85" i="8"/>
  <c r="W85" i="8"/>
  <c r="AT85" i="8"/>
  <c r="AF85" i="8"/>
  <c r="P85" i="8"/>
  <c r="AC83" i="11"/>
  <c r="AH83" i="11"/>
  <c r="BF83" i="11"/>
  <c r="AD83" i="11"/>
  <c r="AM83" i="11"/>
  <c r="BT83" i="11"/>
  <c r="AF51" i="5"/>
  <c r="R51" i="5"/>
  <c r="AY51" i="5"/>
  <c r="Y51" i="5"/>
  <c r="W51" i="5"/>
  <c r="F84" i="2"/>
  <c r="AI100" i="8"/>
  <c r="BQ100" i="8"/>
  <c r="BM100" i="8"/>
  <c r="BT100" i="8"/>
  <c r="AJ100" i="8"/>
  <c r="BS100" i="8"/>
  <c r="AY100" i="8"/>
  <c r="BH100" i="8"/>
  <c r="AO100" i="8"/>
  <c r="Z100" i="8"/>
  <c r="BK100" i="8"/>
  <c r="Y100" i="8"/>
  <c r="BI100" i="8"/>
  <c r="BF100" i="8"/>
  <c r="K100" i="8"/>
  <c r="AH100" i="8"/>
  <c r="AA100" i="8"/>
  <c r="N100" i="8"/>
  <c r="AV100" i="8"/>
  <c r="AU100" i="8"/>
  <c r="W100" i="8"/>
  <c r="BR100" i="8"/>
  <c r="BA100" i="8"/>
  <c r="M100" i="8"/>
  <c r="Q100" i="8"/>
  <c r="J100" i="8"/>
  <c r="AT100" i="8"/>
  <c r="P100" i="8"/>
  <c r="AK100" i="8"/>
  <c r="L100" i="8"/>
  <c r="AN100" i="8"/>
  <c r="AZ100" i="8"/>
  <c r="AC100" i="8"/>
  <c r="BG100" i="8"/>
  <c r="V100" i="8"/>
  <c r="AB100" i="8"/>
  <c r="AL100" i="8"/>
  <c r="R100" i="8"/>
  <c r="AR100" i="8"/>
  <c r="AG100" i="8"/>
  <c r="O100" i="8"/>
  <c r="AX100" i="8"/>
  <c r="AD100" i="8"/>
  <c r="BD100" i="8"/>
  <c r="AS100" i="8"/>
  <c r="BJ100" i="8"/>
  <c r="AP100" i="8"/>
  <c r="BP100" i="8"/>
  <c r="BE100" i="8"/>
  <c r="BB100" i="8"/>
  <c r="BN100" i="8"/>
  <c r="BL100" i="8"/>
  <c r="S100" i="8"/>
  <c r="AM100" i="8"/>
  <c r="AE100" i="8"/>
  <c r="X100" i="8"/>
  <c r="AQ100" i="8"/>
  <c r="H100" i="8"/>
  <c r="BC100" i="8"/>
  <c r="T100" i="8"/>
  <c r="I100" i="8"/>
  <c r="AW100" i="8"/>
  <c r="BO100" i="8"/>
  <c r="AF100" i="8"/>
  <c r="U100" i="8"/>
  <c r="BL91" i="8"/>
  <c r="BT91" i="8"/>
  <c r="BK91" i="8"/>
  <c r="BE91" i="8"/>
  <c r="Z91" i="8"/>
  <c r="M91" i="8"/>
  <c r="BH91" i="8"/>
  <c r="AW91" i="8"/>
  <c r="AQ91" i="8"/>
  <c r="J91" i="8"/>
  <c r="AO91" i="8"/>
  <c r="P91" i="8"/>
  <c r="AA91" i="8"/>
  <c r="AV91" i="8"/>
  <c r="AG91" i="8"/>
  <c r="AC91" i="8"/>
  <c r="BO91" i="8"/>
  <c r="AR91" i="8"/>
  <c r="AJ91" i="8"/>
  <c r="S91" i="8"/>
  <c r="O91" i="8"/>
  <c r="BA91" i="8"/>
  <c r="H91" i="8"/>
  <c r="X91" i="8"/>
  <c r="BJ91" i="8"/>
  <c r="BR91" i="8"/>
  <c r="AH91" i="8"/>
  <c r="AL91" i="8"/>
  <c r="I91" i="8"/>
  <c r="V91" i="8"/>
  <c r="Y91" i="8"/>
  <c r="L91" i="8"/>
  <c r="AT91" i="8"/>
  <c r="BD91" i="8"/>
  <c r="BM91" i="8"/>
  <c r="BQ91" i="8"/>
  <c r="BF91" i="8"/>
  <c r="BS91" i="8"/>
  <c r="AF91" i="8"/>
  <c r="AP91" i="8"/>
  <c r="U91" i="8"/>
  <c r="AM91" i="8"/>
  <c r="AZ91" i="8"/>
  <c r="BG91" i="8"/>
  <c r="R91" i="8"/>
  <c r="AB91" i="8"/>
  <c r="AY91" i="8"/>
  <c r="BC91" i="8"/>
  <c r="AU91" i="8"/>
  <c r="BI91" i="8"/>
  <c r="N91" i="8"/>
  <c r="AI91" i="8"/>
  <c r="AS91" i="8"/>
  <c r="BP91" i="8"/>
  <c r="AD91" i="8"/>
  <c r="W91" i="8"/>
  <c r="AE91" i="8"/>
  <c r="BB91" i="8"/>
  <c r="AK91" i="8"/>
  <c r="T91" i="8"/>
  <c r="K91" i="8"/>
  <c r="Q91" i="8"/>
  <c r="AN91" i="8"/>
  <c r="AX91" i="8"/>
  <c r="BN91" i="8"/>
  <c r="AU89" i="11"/>
  <c r="BB89" i="11"/>
  <c r="AZ89" i="11"/>
  <c r="Z89" i="11"/>
  <c r="AT89" i="11"/>
  <c r="AN89" i="11"/>
  <c r="J51" i="5"/>
  <c r="BH84" i="12"/>
  <c r="AU84" i="12"/>
  <c r="K84" i="12"/>
  <c r="BK84" i="12"/>
  <c r="AB84" i="12"/>
  <c r="BL99" i="7"/>
  <c r="AI84" i="8"/>
  <c r="V84" i="8"/>
  <c r="P84" i="8"/>
  <c r="O84" i="8"/>
  <c r="BP84" i="8"/>
  <c r="BQ84" i="8"/>
  <c r="BJ84" i="8"/>
  <c r="BA84" i="8"/>
  <c r="AX84" i="8"/>
  <c r="AL84" i="8"/>
  <c r="AH84" i="8"/>
  <c r="BI84" i="8"/>
  <c r="BF84" i="8"/>
  <c r="BN84" i="8"/>
  <c r="BL84" i="8"/>
  <c r="I84" i="8"/>
  <c r="AT84" i="8"/>
  <c r="AN84" i="8"/>
  <c r="AG84" i="8"/>
  <c r="U84" i="8"/>
  <c r="AU84" i="8"/>
  <c r="AB84" i="8"/>
  <c r="Y84" i="8"/>
  <c r="AZ84" i="8"/>
  <c r="BE84" i="8"/>
  <c r="M84" i="8"/>
  <c r="J84" i="8"/>
  <c r="Q84" i="8"/>
  <c r="BH84" i="8"/>
  <c r="W84" i="8"/>
  <c r="N84" i="8"/>
  <c r="AM84" i="8"/>
  <c r="AS84" i="8"/>
  <c r="AW84" i="8"/>
  <c r="AJ84" i="8"/>
  <c r="AV84" i="8"/>
  <c r="AA84" i="8"/>
  <c r="BS84" i="8"/>
  <c r="BR84" i="8"/>
  <c r="L84" i="8"/>
  <c r="X84" i="8"/>
  <c r="BG84" i="8"/>
  <c r="BK84" i="8"/>
  <c r="AO84" i="8"/>
  <c r="AC84" i="8"/>
  <c r="AK84" i="8"/>
  <c r="Z84" i="8"/>
  <c r="AY84" i="8"/>
  <c r="BT84" i="8"/>
  <c r="AF84" i="8"/>
  <c r="AR84" i="8"/>
  <c r="BD84" i="8"/>
  <c r="S84" i="8"/>
  <c r="K84" i="8"/>
  <c r="AE84" i="8"/>
  <c r="R84" i="8"/>
  <c r="AQ84" i="8"/>
  <c r="AD84" i="8"/>
  <c r="BC84" i="8"/>
  <c r="AP84" i="8"/>
  <c r="BO84" i="8"/>
  <c r="BB84" i="8"/>
  <c r="H84" i="8"/>
  <c r="T84" i="8"/>
  <c r="L4" i="2"/>
  <c r="Z72" i="12"/>
  <c r="U72" i="12"/>
  <c r="R72" i="12"/>
  <c r="AN42" i="11"/>
  <c r="AG42" i="11"/>
  <c r="F20" i="2"/>
  <c r="L89" i="9"/>
  <c r="BD89" i="9"/>
  <c r="AV89" i="9"/>
  <c r="K89" i="9"/>
  <c r="BB89" i="9"/>
  <c r="AM89" i="9"/>
  <c r="AF89" i="9"/>
  <c r="BA89" i="9"/>
  <c r="AB89" i="9"/>
  <c r="R89" i="9"/>
  <c r="Y89" i="9"/>
  <c r="BP89" i="9"/>
  <c r="Z89" i="9"/>
  <c r="AN89" i="9"/>
  <c r="BO89" i="9"/>
  <c r="N89" i="9"/>
  <c r="BJ89" i="9"/>
  <c r="BT89" i="9"/>
  <c r="AT89" i="9"/>
  <c r="AL89" i="9"/>
  <c r="AW89" i="9"/>
  <c r="AQ89" i="9"/>
  <c r="AH89" i="9"/>
  <c r="X89" i="9"/>
  <c r="AI89" i="9"/>
  <c r="AC89" i="9"/>
  <c r="V89" i="9"/>
  <c r="H89" i="9"/>
  <c r="S89" i="9"/>
  <c r="O89" i="9"/>
  <c r="J89" i="9"/>
  <c r="BM89" i="9"/>
  <c r="BI89" i="9"/>
  <c r="BS89" i="9"/>
  <c r="BQ89" i="9"/>
  <c r="AY89" i="9"/>
  <c r="AU89" i="9"/>
  <c r="BC89" i="9"/>
  <c r="BE89" i="9"/>
  <c r="AK89" i="9"/>
  <c r="AE89" i="9"/>
  <c r="AO89" i="9"/>
  <c r="AS89" i="9"/>
  <c r="W89" i="9"/>
  <c r="Q89" i="9"/>
  <c r="AA89" i="9"/>
  <c r="AG89" i="9"/>
  <c r="BL89" i="9"/>
  <c r="BH89" i="9"/>
  <c r="M89" i="9"/>
  <c r="U89" i="9"/>
  <c r="AX89" i="9"/>
  <c r="AR89" i="9"/>
  <c r="AP89" i="9"/>
  <c r="I89" i="9"/>
  <c r="AJ89" i="9"/>
  <c r="AD89" i="9"/>
  <c r="BR89" i="9"/>
  <c r="BN89" i="9"/>
  <c r="T89" i="9"/>
  <c r="P89" i="9"/>
  <c r="BF89" i="9"/>
  <c r="AZ89" i="9"/>
  <c r="BK89" i="9"/>
  <c r="BG89" i="9"/>
  <c r="T85" i="9"/>
  <c r="BN85" i="9"/>
  <c r="V85" i="9"/>
  <c r="BK85" i="9"/>
  <c r="BL85" i="9"/>
  <c r="AP85" i="9"/>
  <c r="AQ85" i="9"/>
  <c r="X85" i="9"/>
  <c r="M85" i="9"/>
  <c r="I85" i="9"/>
  <c r="AR85" i="9"/>
  <c r="BS85" i="9"/>
  <c r="BM85" i="9"/>
  <c r="H85" i="9"/>
  <c r="BG85" i="9"/>
  <c r="BA85" i="9"/>
  <c r="AB85" i="9"/>
  <c r="AD85" i="9"/>
  <c r="J85" i="9"/>
  <c r="O85" i="9"/>
  <c r="BJ85" i="9"/>
  <c r="AU85" i="9"/>
  <c r="AO85" i="9"/>
  <c r="AV85" i="9"/>
  <c r="AY85" i="9"/>
  <c r="AE85" i="9"/>
  <c r="AH85" i="9"/>
  <c r="AX85" i="9"/>
  <c r="AI85" i="9"/>
  <c r="AC85" i="9"/>
  <c r="BP85" i="9"/>
  <c r="BR85" i="9"/>
  <c r="AZ85" i="9"/>
  <c r="BC85" i="9"/>
  <c r="P85" i="9"/>
  <c r="S85" i="9"/>
  <c r="AL85" i="9"/>
  <c r="W85" i="9"/>
  <c r="Q85" i="9"/>
  <c r="BT85" i="9"/>
  <c r="AJ85" i="9"/>
  <c r="R85" i="9"/>
  <c r="AN85" i="9"/>
  <c r="Z85" i="9"/>
  <c r="K85" i="9"/>
  <c r="AA85" i="9"/>
  <c r="L85" i="9"/>
  <c r="BD85" i="9"/>
  <c r="AM85" i="9"/>
  <c r="BH85" i="9"/>
  <c r="N85" i="9"/>
  <c r="BQ85" i="9"/>
  <c r="AT85" i="9"/>
  <c r="AF85" i="9"/>
  <c r="BF85" i="9"/>
  <c r="BI85" i="9"/>
  <c r="BE85" i="9"/>
  <c r="BO85" i="9"/>
  <c r="BB85" i="9"/>
  <c r="AW85" i="9"/>
  <c r="AS85" i="9"/>
  <c r="AK85" i="9"/>
  <c r="AG85" i="9"/>
  <c r="Y85" i="9"/>
  <c r="U85" i="9"/>
  <c r="BL101" i="9"/>
  <c r="AU101" i="9"/>
  <c r="N101" i="9"/>
  <c r="BT101" i="9"/>
  <c r="P101" i="9"/>
  <c r="L101" i="9"/>
  <c r="BG101" i="9"/>
  <c r="AL101" i="9"/>
  <c r="AZ101" i="9"/>
  <c r="BJ101" i="9"/>
  <c r="AJ101" i="9"/>
  <c r="K101" i="9"/>
  <c r="AK101" i="9"/>
  <c r="M101" i="9"/>
  <c r="AI101" i="9"/>
  <c r="BS101" i="9"/>
  <c r="BR101" i="9"/>
  <c r="AN101" i="9"/>
  <c r="BH101" i="9"/>
  <c r="AX101" i="9"/>
  <c r="BI101" i="9"/>
  <c r="X101" i="9"/>
  <c r="AW101" i="9"/>
  <c r="Y101" i="9"/>
  <c r="AB101" i="9"/>
  <c r="W101" i="9"/>
  <c r="AV101" i="9"/>
  <c r="Q101" i="9"/>
  <c r="Z101" i="9"/>
  <c r="O101" i="9"/>
  <c r="AP101" i="9"/>
  <c r="BC101" i="9"/>
  <c r="H101" i="9"/>
  <c r="AG101" i="9"/>
  <c r="AH101" i="9"/>
  <c r="AA101" i="9"/>
  <c r="BB101" i="9"/>
  <c r="BO101" i="9"/>
  <c r="T101" i="9"/>
  <c r="AS101" i="9"/>
  <c r="AT101" i="9"/>
  <c r="AM101" i="9"/>
  <c r="BN101" i="9"/>
  <c r="AF101" i="9"/>
  <c r="BE101" i="9"/>
  <c r="BF101" i="9"/>
  <c r="AY101" i="9"/>
  <c r="AR101" i="9"/>
  <c r="BQ101" i="9"/>
  <c r="BK101" i="9"/>
  <c r="BD101" i="9"/>
  <c r="BP101" i="9"/>
  <c r="AC101" i="9"/>
  <c r="AO101" i="9"/>
  <c r="S101" i="9"/>
  <c r="BA101" i="9"/>
  <c r="R101" i="9"/>
  <c r="AE101" i="9"/>
  <c r="I101" i="9"/>
  <c r="J101" i="9"/>
  <c r="AQ101" i="9"/>
  <c r="AD101" i="9"/>
  <c r="U101" i="9"/>
  <c r="V101" i="9"/>
  <c r="BM101" i="9"/>
  <c r="AM84" i="12"/>
  <c r="AG84" i="12"/>
  <c r="BR84" i="12"/>
  <c r="I6" i="2"/>
  <c r="AE72" i="12"/>
  <c r="AT42" i="11"/>
  <c r="BB42" i="11"/>
  <c r="AI78" i="8"/>
  <c r="U78" i="8"/>
  <c r="N78" i="8"/>
  <c r="BQ78" i="8"/>
  <c r="T78" i="8"/>
  <c r="BO78" i="8"/>
  <c r="AX78" i="8"/>
  <c r="BS78" i="8"/>
  <c r="Z78" i="8"/>
  <c r="BG78" i="8"/>
  <c r="K78" i="8"/>
  <c r="AS78" i="8"/>
  <c r="BN78" i="8"/>
  <c r="AR78" i="8"/>
  <c r="BP78" i="8"/>
  <c r="AQ78" i="8"/>
  <c r="AL78" i="8"/>
  <c r="BJ78" i="8"/>
  <c r="AW78" i="8"/>
  <c r="BE78" i="8"/>
  <c r="BM78" i="8"/>
  <c r="BL78" i="8"/>
  <c r="AK78" i="8"/>
  <c r="V78" i="8"/>
  <c r="AZ78" i="8"/>
  <c r="Y78" i="8"/>
  <c r="AT78" i="8"/>
  <c r="AN78" i="8"/>
  <c r="M78" i="8"/>
  <c r="BR78" i="8"/>
  <c r="AB78" i="8"/>
  <c r="BT78" i="8"/>
  <c r="H78" i="8"/>
  <c r="R78" i="8"/>
  <c r="P78" i="8"/>
  <c r="BH78" i="8"/>
  <c r="AF78" i="8"/>
  <c r="J78" i="8"/>
  <c r="AD78" i="8"/>
  <c r="BK78" i="8"/>
  <c r="AV78" i="8"/>
  <c r="BD78" i="8"/>
  <c r="AH78" i="8"/>
  <c r="AP78" i="8"/>
  <c r="AY78" i="8"/>
  <c r="AJ78" i="8"/>
  <c r="BF78" i="8"/>
  <c r="BB78" i="8"/>
  <c r="W78" i="8"/>
  <c r="AM78" i="8"/>
  <c r="X78" i="8"/>
  <c r="Q78" i="8"/>
  <c r="AU78" i="8"/>
  <c r="AA78" i="8"/>
  <c r="L78" i="8"/>
  <c r="AC78" i="8"/>
  <c r="O78" i="8"/>
  <c r="AE78" i="8"/>
  <c r="I78" i="8"/>
  <c r="AO78" i="8"/>
  <c r="BA78" i="8"/>
  <c r="BI78" i="8"/>
  <c r="BC78" i="8"/>
  <c r="AG78" i="8"/>
  <c r="BL89" i="8"/>
  <c r="I89" i="8"/>
  <c r="O89" i="8"/>
  <c r="AZ89" i="8"/>
  <c r="AX89" i="8"/>
  <c r="BM89" i="8"/>
  <c r="BK89" i="8"/>
  <c r="BR89" i="8"/>
  <c r="BI89" i="8"/>
  <c r="BS89" i="8"/>
  <c r="AL89" i="8"/>
  <c r="T89" i="8"/>
  <c r="AK89" i="8"/>
  <c r="BF89" i="8"/>
  <c r="AU89" i="8"/>
  <c r="BC89" i="8"/>
  <c r="X89" i="8"/>
  <c r="AW89" i="8"/>
  <c r="AT89" i="8"/>
  <c r="AE89" i="8"/>
  <c r="AO89" i="8"/>
  <c r="H89" i="8"/>
  <c r="S89" i="8"/>
  <c r="AI89" i="8"/>
  <c r="AJ89" i="8"/>
  <c r="AH89" i="8"/>
  <c r="Q89" i="8"/>
  <c r="AA89" i="8"/>
  <c r="BJ89" i="8"/>
  <c r="AV89" i="8"/>
  <c r="V89" i="8"/>
  <c r="BH89" i="8"/>
  <c r="M89" i="8"/>
  <c r="AF89" i="8"/>
  <c r="R89" i="8"/>
  <c r="J89" i="8"/>
  <c r="AR89" i="8"/>
  <c r="BP89" i="8"/>
  <c r="BD89" i="8"/>
  <c r="BT89" i="8"/>
  <c r="BQ89" i="8"/>
  <c r="AD89" i="8"/>
  <c r="BB89" i="8"/>
  <c r="AB89" i="8"/>
  <c r="AP89" i="8"/>
  <c r="BE89" i="8"/>
  <c r="P89" i="8"/>
  <c r="AN89" i="8"/>
  <c r="BA89" i="8"/>
  <c r="N89" i="8"/>
  <c r="AS89" i="8"/>
  <c r="BG89" i="8"/>
  <c r="Z89" i="8"/>
  <c r="Y89" i="8"/>
  <c r="BO89" i="8"/>
  <c r="AG89" i="8"/>
  <c r="AQ89" i="8"/>
  <c r="L89" i="8"/>
  <c r="AY89" i="8"/>
  <c r="AM89" i="8"/>
  <c r="U89" i="8"/>
  <c r="AC89" i="8"/>
  <c r="BN89" i="8"/>
  <c r="W89" i="8"/>
  <c r="K89" i="8"/>
  <c r="AI41" i="5"/>
  <c r="P82" i="10"/>
  <c r="L82" i="10"/>
  <c r="M82" i="10"/>
  <c r="BD82" i="10"/>
  <c r="W82" i="10"/>
  <c r="I83" i="11"/>
  <c r="AT83" i="11"/>
  <c r="AR83" i="11"/>
  <c r="BA83" i="11"/>
  <c r="AQ83" i="11"/>
  <c r="AE86" i="7"/>
  <c r="S86" i="7"/>
  <c r="AD86" i="7"/>
  <c r="BC86" i="7"/>
  <c r="H51" i="5"/>
  <c r="BA51" i="5"/>
  <c r="AA51" i="5"/>
  <c r="F81" i="2"/>
  <c r="BT101" i="8"/>
  <c r="BG101" i="8"/>
  <c r="BS101" i="8"/>
  <c r="AB101" i="8"/>
  <c r="AI101" i="8"/>
  <c r="AX101" i="8"/>
  <c r="BN101" i="8"/>
  <c r="H101" i="8"/>
  <c r="BJ101" i="8"/>
  <c r="T101" i="8"/>
  <c r="AF101" i="8"/>
  <c r="N101" i="8"/>
  <c r="P101" i="8"/>
  <c r="O101" i="8"/>
  <c r="AR101" i="8"/>
  <c r="I101" i="8"/>
  <c r="J101" i="8"/>
  <c r="M101" i="8"/>
  <c r="AV101" i="8"/>
  <c r="AW101" i="8"/>
  <c r="Q101" i="8"/>
  <c r="AA101" i="8"/>
  <c r="BD101" i="8"/>
  <c r="U101" i="8"/>
  <c r="V101" i="8"/>
  <c r="AU101" i="8"/>
  <c r="AM101" i="8"/>
  <c r="S101" i="8"/>
  <c r="BP101" i="8"/>
  <c r="AG101" i="8"/>
  <c r="AH101" i="8"/>
  <c r="AY101" i="8"/>
  <c r="AN101" i="8"/>
  <c r="AE101" i="8"/>
  <c r="AS101" i="8"/>
  <c r="AT101" i="8"/>
  <c r="L101" i="8"/>
  <c r="X101" i="8"/>
  <c r="BK101" i="8"/>
  <c r="AZ101" i="8"/>
  <c r="AO101" i="8"/>
  <c r="AQ101" i="8"/>
  <c r="BE101" i="8"/>
  <c r="BF101" i="8"/>
  <c r="AK101" i="8"/>
  <c r="BI101" i="8"/>
  <c r="BL101" i="8"/>
  <c r="BA101" i="8"/>
  <c r="R101" i="8"/>
  <c r="BC101" i="8"/>
  <c r="BQ101" i="8"/>
  <c r="BM101" i="8"/>
  <c r="AD101" i="8"/>
  <c r="BO101" i="8"/>
  <c r="K101" i="8"/>
  <c r="W101" i="8"/>
  <c r="Z101" i="8"/>
  <c r="AP101" i="8"/>
  <c r="AC101" i="8"/>
  <c r="BR101" i="8"/>
  <c r="BH101" i="8"/>
  <c r="AJ101" i="8"/>
  <c r="AL101" i="8"/>
  <c r="Y101" i="8"/>
  <c r="BB101" i="8"/>
  <c r="AC93" i="7"/>
  <c r="BN93" i="7"/>
  <c r="BO93" i="7"/>
  <c r="BS93" i="7"/>
  <c r="M93" i="7"/>
  <c r="F90" i="2"/>
  <c r="S89" i="11"/>
  <c r="AC89" i="11"/>
  <c r="AW89" i="11"/>
  <c r="AR89" i="11"/>
  <c r="AA89" i="11"/>
  <c r="AG90" i="7"/>
  <c r="BM90" i="7"/>
  <c r="AK90" i="7"/>
  <c r="AI90" i="7"/>
  <c r="N90" i="7"/>
  <c r="BG90" i="7"/>
  <c r="S90" i="7"/>
  <c r="AC90" i="7"/>
  <c r="AZ90" i="7"/>
  <c r="BR90" i="7"/>
  <c r="BQ90" i="7"/>
  <c r="M90" i="7"/>
  <c r="Z90" i="7"/>
  <c r="AO90" i="7"/>
  <c r="BP90" i="7"/>
  <c r="BA90" i="7"/>
  <c r="BK90" i="7"/>
  <c r="AY90" i="7"/>
  <c r="P90" i="7"/>
  <c r="BD90" i="7"/>
  <c r="AM90" i="7"/>
  <c r="AT90" i="7"/>
  <c r="X90" i="7"/>
  <c r="BN90" i="7"/>
  <c r="AR90" i="7"/>
  <c r="Y90" i="7"/>
  <c r="AB90" i="7"/>
  <c r="AX90" i="7"/>
  <c r="AN90" i="7"/>
  <c r="AF90" i="7"/>
  <c r="K90" i="7"/>
  <c r="L90" i="7"/>
  <c r="W90" i="7"/>
  <c r="O90" i="7"/>
  <c r="BB90" i="7"/>
  <c r="T90" i="7"/>
  <c r="BJ90" i="7"/>
  <c r="BI90" i="7"/>
  <c r="BT90" i="7"/>
  <c r="BH90" i="7"/>
  <c r="H90" i="7"/>
  <c r="AV90" i="7"/>
  <c r="AS90" i="7"/>
  <c r="AW90" i="7"/>
  <c r="AJ90" i="7"/>
  <c r="BO90" i="7"/>
  <c r="AH90" i="7"/>
  <c r="AA90" i="7"/>
  <c r="U90" i="7"/>
  <c r="J90" i="7"/>
  <c r="AD90" i="7"/>
  <c r="BF90" i="7"/>
  <c r="BC90" i="7"/>
  <c r="R90" i="7"/>
  <c r="BE90" i="7"/>
  <c r="BS90" i="7"/>
  <c r="AQ90" i="7"/>
  <c r="BL90" i="7"/>
  <c r="AL90" i="7"/>
  <c r="AP90" i="7"/>
  <c r="AE90" i="7"/>
  <c r="AU90" i="7"/>
  <c r="V90" i="7"/>
  <c r="Q90" i="7"/>
  <c r="BN84" i="12"/>
  <c r="BJ84" i="12"/>
  <c r="AN84" i="12"/>
  <c r="L84" i="12"/>
  <c r="AD84" i="12"/>
  <c r="F82" i="2"/>
  <c r="AQ66" i="5"/>
  <c r="L6" i="2"/>
  <c r="I5" i="2"/>
  <c r="BA63" i="9"/>
  <c r="AH72" i="12"/>
  <c r="Q72" i="12"/>
  <c r="AA72" i="12"/>
  <c r="AW42" i="11"/>
  <c r="AC42" i="11"/>
  <c r="AJ42" i="11"/>
  <c r="AP42" i="11"/>
  <c r="AK78" i="9"/>
  <c r="AV78" i="9"/>
  <c r="AO78" i="9"/>
  <c r="Q78" i="9"/>
  <c r="AB78" i="9"/>
  <c r="H78" i="9"/>
  <c r="BH78" i="9"/>
  <c r="N78" i="9"/>
  <c r="BQ78" i="9"/>
  <c r="L78" i="9"/>
  <c r="U78" i="9"/>
  <c r="AT78" i="9"/>
  <c r="AZ78" i="9"/>
  <c r="AW78" i="9"/>
  <c r="AI78" i="9"/>
  <c r="BM78" i="9"/>
  <c r="AF78" i="9"/>
  <c r="AH78" i="9"/>
  <c r="Y78" i="9"/>
  <c r="P78" i="9"/>
  <c r="J78" i="9"/>
  <c r="BL78" i="9"/>
  <c r="M78" i="9"/>
  <c r="X78" i="9"/>
  <c r="BG78" i="9"/>
  <c r="BS78" i="9"/>
  <c r="AN78" i="9"/>
  <c r="BA78" i="9"/>
  <c r="AJ78" i="9"/>
  <c r="AS78" i="9"/>
  <c r="AY78" i="9"/>
  <c r="V78" i="9"/>
  <c r="K78" i="9"/>
  <c r="BP78" i="9"/>
  <c r="AC78" i="9"/>
  <c r="AA78" i="9"/>
  <c r="AL78" i="9"/>
  <c r="BK78" i="9"/>
  <c r="W78" i="9"/>
  <c r="BO78" i="9"/>
  <c r="O78" i="9"/>
  <c r="I78" i="9"/>
  <c r="AM78" i="9"/>
  <c r="BD78" i="9"/>
  <c r="BJ78" i="9"/>
  <c r="BI78" i="9"/>
  <c r="BT78" i="9"/>
  <c r="BR78" i="9"/>
  <c r="BE78" i="9"/>
  <c r="AU78" i="9"/>
  <c r="BF78" i="9"/>
  <c r="AX78" i="9"/>
  <c r="T78" i="9"/>
  <c r="AG78" i="9"/>
  <c r="AR78" i="9"/>
  <c r="Z78" i="9"/>
  <c r="S78" i="9"/>
  <c r="AE78" i="9"/>
  <c r="AQ78" i="9"/>
  <c r="BC78" i="9"/>
  <c r="R78" i="9"/>
  <c r="AD78" i="9"/>
  <c r="AP78" i="9"/>
  <c r="BB78" i="9"/>
  <c r="BN78" i="9"/>
  <c r="BN81" i="8"/>
  <c r="I81" i="8"/>
  <c r="AJ81" i="8"/>
  <c r="AR81" i="8"/>
  <c r="AT81" i="8"/>
  <c r="AU81" i="8"/>
  <c r="W81" i="8"/>
  <c r="X81" i="8"/>
  <c r="Y81" i="8"/>
  <c r="BM81" i="8"/>
  <c r="BI81" i="8"/>
  <c r="AK81" i="8"/>
  <c r="AL81" i="8"/>
  <c r="AN81" i="8"/>
  <c r="BA81" i="8"/>
  <c r="H81" i="8"/>
  <c r="AZ81" i="8"/>
  <c r="BB81" i="8"/>
  <c r="BC81" i="8"/>
  <c r="AD81" i="8"/>
  <c r="BH81" i="8"/>
  <c r="AO81" i="8"/>
  <c r="U81" i="8"/>
  <c r="BO81" i="8"/>
  <c r="BP81" i="8"/>
  <c r="BQ81" i="8"/>
  <c r="AC81" i="8"/>
  <c r="AI81" i="8"/>
  <c r="BE81" i="8"/>
  <c r="BK81" i="8"/>
  <c r="AW81" i="8"/>
  <c r="N81" i="8"/>
  <c r="P81" i="8"/>
  <c r="AB81" i="8"/>
  <c r="AY81" i="8"/>
  <c r="BL81" i="8"/>
  <c r="M81" i="8"/>
  <c r="BS81" i="8"/>
  <c r="BT81" i="8"/>
  <c r="V81" i="8"/>
  <c r="AM81" i="8"/>
  <c r="Z81" i="8"/>
  <c r="Q81" i="8"/>
  <c r="AA81" i="8"/>
  <c r="T81" i="8"/>
  <c r="AP81" i="8"/>
  <c r="AE81" i="8"/>
  <c r="O81" i="8"/>
  <c r="AH81" i="8"/>
  <c r="BD81" i="8"/>
  <c r="AX81" i="8"/>
  <c r="AS81" i="8"/>
  <c r="R81" i="8"/>
  <c r="S81" i="8"/>
  <c r="AV81" i="8"/>
  <c r="BR81" i="8"/>
  <c r="AG81" i="8"/>
  <c r="J81" i="8"/>
  <c r="L81" i="8"/>
  <c r="BG81" i="8"/>
  <c r="BJ81" i="8"/>
  <c r="K81" i="8"/>
  <c r="AQ81" i="8"/>
  <c r="AF81" i="8"/>
  <c r="J83" i="11"/>
  <c r="AS83" i="11"/>
  <c r="BQ83" i="11"/>
  <c r="AZ83" i="11"/>
  <c r="AV83" i="11"/>
  <c r="V51" i="5"/>
  <c r="AH51" i="5"/>
  <c r="F92" i="2"/>
  <c r="AH89" i="11"/>
  <c r="AO89" i="11"/>
  <c r="BI89" i="11"/>
  <c r="W89" i="11"/>
  <c r="Y89" i="11"/>
  <c r="Z84" i="12"/>
  <c r="AI84" i="12"/>
  <c r="BD84" i="12"/>
  <c r="V84" i="12"/>
  <c r="AE84" i="12"/>
  <c r="AI97" i="8"/>
  <c r="AX97" i="8"/>
  <c r="AY97" i="8"/>
  <c r="AB97" i="8"/>
  <c r="AM97" i="8"/>
  <c r="K97" i="8"/>
  <c r="AA97" i="8"/>
  <c r="AV97" i="8"/>
  <c r="BB97" i="8"/>
  <c r="P97" i="8"/>
  <c r="H97" i="8"/>
  <c r="BE97" i="8"/>
  <c r="Z97" i="8"/>
  <c r="AS97" i="8"/>
  <c r="BK97" i="8"/>
  <c r="AJ97" i="8"/>
  <c r="V97" i="8"/>
  <c r="W97" i="8"/>
  <c r="BT97" i="8"/>
  <c r="AR97" i="8"/>
  <c r="BH97" i="8"/>
  <c r="AK97" i="8"/>
  <c r="AL97" i="8"/>
  <c r="J97" i="8"/>
  <c r="BG97" i="8"/>
  <c r="M97" i="8"/>
  <c r="BC97" i="8"/>
  <c r="BD97" i="8"/>
  <c r="Y97" i="8"/>
  <c r="AE97" i="8"/>
  <c r="BR97" i="8"/>
  <c r="BS97" i="8"/>
  <c r="AQ97" i="8"/>
  <c r="AT97" i="8"/>
  <c r="S97" i="8"/>
  <c r="BP97" i="8"/>
  <c r="BQ97" i="8"/>
  <c r="BF97" i="8"/>
  <c r="BI97" i="8"/>
  <c r="N97" i="8"/>
  <c r="AH97" i="8"/>
  <c r="Q97" i="8"/>
  <c r="AF97" i="8"/>
  <c r="AW97" i="8"/>
  <c r="AC97" i="8"/>
  <c r="AU97" i="8"/>
  <c r="BO97" i="8"/>
  <c r="AO97" i="8"/>
  <c r="T97" i="8"/>
  <c r="BL97" i="8"/>
  <c r="BJ97" i="8"/>
  <c r="BA97" i="8"/>
  <c r="R97" i="8"/>
  <c r="BN97" i="8"/>
  <c r="U97" i="8"/>
  <c r="AZ97" i="8"/>
  <c r="I97" i="8"/>
  <c r="O97" i="8"/>
  <c r="BM97" i="8"/>
  <c r="AD97" i="8"/>
  <c r="X97" i="8"/>
  <c r="L97" i="8"/>
  <c r="AP97" i="8"/>
  <c r="AN97" i="8"/>
  <c r="AG97" i="8"/>
  <c r="L5" i="2"/>
  <c r="X4" i="2"/>
  <c r="AZ63" i="9"/>
  <c r="W72" i="12"/>
  <c r="V72" i="12"/>
  <c r="AI42" i="11"/>
  <c r="AV42" i="11"/>
  <c r="F59" i="2"/>
  <c r="F70" i="2"/>
  <c r="W79" i="9"/>
  <c r="U79" i="9"/>
  <c r="I79" i="9"/>
  <c r="BM79" i="9"/>
  <c r="BI79" i="9"/>
  <c r="BK79" i="9"/>
  <c r="AY79" i="9"/>
  <c r="Q79" i="9"/>
  <c r="AK79" i="9"/>
  <c r="AI79" i="9"/>
  <c r="AG79" i="9"/>
  <c r="BH79" i="9"/>
  <c r="AD79" i="9"/>
  <c r="P79" i="9"/>
  <c r="AW79" i="9"/>
  <c r="AT79" i="9"/>
  <c r="BO79" i="9"/>
  <c r="AB79" i="9"/>
  <c r="BQ79" i="9"/>
  <c r="AJ79" i="9"/>
  <c r="BC79" i="9"/>
  <c r="N79" i="9"/>
  <c r="BA79" i="9"/>
  <c r="V79" i="9"/>
  <c r="AQ79" i="9"/>
  <c r="BS79" i="9"/>
  <c r="AM79" i="9"/>
  <c r="BJ79" i="9"/>
  <c r="AE79" i="9"/>
  <c r="BE79" i="9"/>
  <c r="Y79" i="9"/>
  <c r="AV79" i="9"/>
  <c r="S79" i="9"/>
  <c r="AO79" i="9"/>
  <c r="K79" i="9"/>
  <c r="AH79" i="9"/>
  <c r="BG79" i="9"/>
  <c r="AA79" i="9"/>
  <c r="BN79" i="9"/>
  <c r="R79" i="9"/>
  <c r="BP79" i="9"/>
  <c r="AS79" i="9"/>
  <c r="M79" i="9"/>
  <c r="AZ79" i="9"/>
  <c r="AU79" i="9"/>
  <c r="BD79" i="9"/>
  <c r="AC79" i="9"/>
  <c r="BR79" i="9"/>
  <c r="AL79" i="9"/>
  <c r="AR79" i="9"/>
  <c r="O79" i="9"/>
  <c r="BB79" i="9"/>
  <c r="X79" i="9"/>
  <c r="AF79" i="9"/>
  <c r="BT79" i="9"/>
  <c r="AN79" i="9"/>
  <c r="J79" i="9"/>
  <c r="T79" i="9"/>
  <c r="BF79" i="9"/>
  <c r="Z79" i="9"/>
  <c r="BL79" i="9"/>
  <c r="H79" i="9"/>
  <c r="AP79" i="9"/>
  <c r="L79" i="9"/>
  <c r="AX79" i="9"/>
  <c r="R81" i="9"/>
  <c r="Y81" i="9"/>
  <c r="BB81" i="9"/>
  <c r="AJ81" i="9"/>
  <c r="S81" i="9"/>
  <c r="BT81" i="9"/>
  <c r="AM81" i="9"/>
  <c r="AK81" i="9"/>
  <c r="AP81" i="9"/>
  <c r="AZ81" i="9"/>
  <c r="W81" i="9"/>
  <c r="J81" i="9"/>
  <c r="BA81" i="9"/>
  <c r="O81" i="9"/>
  <c r="BQ81" i="9"/>
  <c r="AO81" i="9"/>
  <c r="L81" i="9"/>
  <c r="AD81" i="9"/>
  <c r="P81" i="9"/>
  <c r="AV81" i="9"/>
  <c r="BE81" i="9"/>
  <c r="AC81" i="9"/>
  <c r="Z81" i="9"/>
  <c r="M81" i="9"/>
  <c r="AW81" i="9"/>
  <c r="AF81" i="9"/>
  <c r="Q81" i="9"/>
  <c r="AB81" i="9"/>
  <c r="AS81" i="9"/>
  <c r="T81" i="9"/>
  <c r="AR81" i="9"/>
  <c r="AA81" i="9"/>
  <c r="BN81" i="9"/>
  <c r="AX81" i="9"/>
  <c r="AI81" i="9"/>
  <c r="N81" i="9"/>
  <c r="AG81" i="9"/>
  <c r="AL81" i="9"/>
  <c r="BJ81" i="9"/>
  <c r="AU81" i="9"/>
  <c r="BP81" i="9"/>
  <c r="AY81" i="9"/>
  <c r="BG81" i="9"/>
  <c r="U81" i="9"/>
  <c r="BD81" i="9"/>
  <c r="BK81" i="9"/>
  <c r="BL81" i="9"/>
  <c r="BS81" i="9"/>
  <c r="I81" i="9"/>
  <c r="H81" i="9"/>
  <c r="BR81" i="9"/>
  <c r="BO81" i="9"/>
  <c r="X81" i="9"/>
  <c r="K81" i="9"/>
  <c r="BF81" i="9"/>
  <c r="BC81" i="9"/>
  <c r="AN81" i="9"/>
  <c r="BI81" i="9"/>
  <c r="AT81" i="9"/>
  <c r="AQ81" i="9"/>
  <c r="BH81" i="9"/>
  <c r="AH81" i="9"/>
  <c r="AE81" i="9"/>
  <c r="V81" i="9"/>
  <c r="BM81" i="9"/>
  <c r="AX86" i="8"/>
  <c r="AY86" i="8"/>
  <c r="BO86" i="8"/>
  <c r="N86" i="8"/>
  <c r="BS86" i="8"/>
  <c r="BH86" i="8"/>
  <c r="AI86" i="8"/>
  <c r="AE86" i="8"/>
  <c r="O86" i="8"/>
  <c r="AG86" i="8"/>
  <c r="AC86" i="8"/>
  <c r="Z86" i="8"/>
  <c r="X86" i="8"/>
  <c r="U86" i="8"/>
  <c r="Q86" i="8"/>
  <c r="AQ86" i="8"/>
  <c r="K86" i="8"/>
  <c r="L86" i="8"/>
  <c r="AN86" i="8"/>
  <c r="I86" i="8"/>
  <c r="Y86" i="8"/>
  <c r="BJ86" i="8"/>
  <c r="AA86" i="8"/>
  <c r="AB86" i="8"/>
  <c r="BR86" i="8"/>
  <c r="BP86" i="8"/>
  <c r="AP86" i="8"/>
  <c r="AU86" i="8"/>
  <c r="AV86" i="8"/>
  <c r="BF86" i="8"/>
  <c r="BD86" i="8"/>
  <c r="BI86" i="8"/>
  <c r="BK86" i="8"/>
  <c r="BL86" i="8"/>
  <c r="AT86" i="8"/>
  <c r="AR86" i="8"/>
  <c r="AH86" i="8"/>
  <c r="AF86" i="8"/>
  <c r="W86" i="8"/>
  <c r="V86" i="8"/>
  <c r="T86" i="8"/>
  <c r="P86" i="8"/>
  <c r="AM86" i="8"/>
  <c r="J86" i="8"/>
  <c r="H86" i="8"/>
  <c r="M86" i="8"/>
  <c r="AJ86" i="8"/>
  <c r="R86" i="8"/>
  <c r="S86" i="8"/>
  <c r="BG86" i="8"/>
  <c r="BQ86" i="8"/>
  <c r="BM86" i="8"/>
  <c r="AD86" i="8"/>
  <c r="AZ86" i="8"/>
  <c r="AK86" i="8"/>
  <c r="AL86" i="8"/>
  <c r="BE86" i="8"/>
  <c r="BA86" i="8"/>
  <c r="AW86" i="8"/>
  <c r="AO86" i="8"/>
  <c r="BC86" i="8"/>
  <c r="BT86" i="8"/>
  <c r="BN86" i="8"/>
  <c r="BB86" i="8"/>
  <c r="AS86" i="8"/>
  <c r="U83" i="11"/>
  <c r="AW83" i="11"/>
  <c r="N83" i="11"/>
  <c r="AP83" i="11"/>
  <c r="BJ83" i="11"/>
  <c r="BQ96" i="9"/>
  <c r="K96" i="9"/>
  <c r="BS96" i="9"/>
  <c r="J96" i="9"/>
  <c r="BE96" i="9"/>
  <c r="BH96" i="9"/>
  <c r="BB96" i="9"/>
  <c r="BC96" i="9"/>
  <c r="AQ96" i="9"/>
  <c r="AM96" i="9"/>
  <c r="AA96" i="9"/>
  <c r="AL96" i="9"/>
  <c r="BK96" i="9"/>
  <c r="Y96" i="9"/>
  <c r="X96" i="9"/>
  <c r="BP96" i="9"/>
  <c r="M96" i="9"/>
  <c r="O96" i="9"/>
  <c r="AU96" i="9"/>
  <c r="AC96" i="9"/>
  <c r="H96" i="9"/>
  <c r="AE96" i="9"/>
  <c r="BI96" i="9"/>
  <c r="Q96" i="9"/>
  <c r="V96" i="9"/>
  <c r="AS96" i="9"/>
  <c r="BL96" i="9"/>
  <c r="U96" i="9"/>
  <c r="AJ96" i="9"/>
  <c r="N96" i="9"/>
  <c r="BG96" i="9"/>
  <c r="AZ96" i="9"/>
  <c r="AI96" i="9"/>
  <c r="AX96" i="9"/>
  <c r="AD96" i="9"/>
  <c r="AN96" i="9"/>
  <c r="AW96" i="9"/>
  <c r="BN96" i="9"/>
  <c r="I96" i="9"/>
  <c r="L96" i="9"/>
  <c r="AR96" i="9"/>
  <c r="AB96" i="9"/>
  <c r="W96" i="9"/>
  <c r="Z96" i="9"/>
  <c r="BF96" i="9"/>
  <c r="P96" i="9"/>
  <c r="AK96" i="9"/>
  <c r="AP96" i="9"/>
  <c r="BT96" i="9"/>
  <c r="T96" i="9"/>
  <c r="AY96" i="9"/>
  <c r="BD96" i="9"/>
  <c r="AH96" i="9"/>
  <c r="BO96" i="9"/>
  <c r="BR96" i="9"/>
  <c r="R96" i="9"/>
  <c r="BM96" i="9"/>
  <c r="AV96" i="9"/>
  <c r="AF96" i="9"/>
  <c r="S96" i="9"/>
  <c r="BA96" i="9"/>
  <c r="BJ96" i="9"/>
  <c r="AT96" i="9"/>
  <c r="AG96" i="9"/>
  <c r="AO96" i="9"/>
  <c r="AK103" i="9"/>
  <c r="BT103" i="9"/>
  <c r="Z103" i="9"/>
  <c r="Y103" i="9"/>
  <c r="N103" i="9"/>
  <c r="M103" i="9"/>
  <c r="BI103" i="9"/>
  <c r="BJ103" i="9"/>
  <c r="AX103" i="9"/>
  <c r="AW103" i="9"/>
  <c r="AL103" i="9"/>
  <c r="AO103" i="9"/>
  <c r="BD103" i="9"/>
  <c r="BE103" i="9"/>
  <c r="J103" i="9"/>
  <c r="AI103" i="9"/>
  <c r="BH103" i="9"/>
  <c r="BA103" i="9"/>
  <c r="BP103" i="9"/>
  <c r="BQ103" i="9"/>
  <c r="V103" i="9"/>
  <c r="AU103" i="9"/>
  <c r="O103" i="9"/>
  <c r="BM103" i="9"/>
  <c r="AH103" i="9"/>
  <c r="BG103" i="9"/>
  <c r="AA103" i="9"/>
  <c r="R103" i="9"/>
  <c r="AT103" i="9"/>
  <c r="BS103" i="9"/>
  <c r="AM103" i="9"/>
  <c r="AD103" i="9"/>
  <c r="BF103" i="9"/>
  <c r="AY103" i="9"/>
  <c r="AP103" i="9"/>
  <c r="S103" i="9"/>
  <c r="BR103" i="9"/>
  <c r="BK103" i="9"/>
  <c r="BB103" i="9"/>
  <c r="AE103" i="9"/>
  <c r="P103" i="9"/>
  <c r="BN103" i="9"/>
  <c r="AQ103" i="9"/>
  <c r="AB103" i="9"/>
  <c r="BC103" i="9"/>
  <c r="H103" i="9"/>
  <c r="I103" i="9"/>
  <c r="L103" i="9"/>
  <c r="AN103" i="9"/>
  <c r="BO103" i="9"/>
  <c r="T103" i="9"/>
  <c r="U103" i="9"/>
  <c r="X103" i="9"/>
  <c r="AZ103" i="9"/>
  <c r="Q103" i="9"/>
  <c r="AF103" i="9"/>
  <c r="AG103" i="9"/>
  <c r="K103" i="9"/>
  <c r="AJ103" i="9"/>
  <c r="AR103" i="9"/>
  <c r="AS103" i="9"/>
  <c r="W103" i="9"/>
  <c r="BL103" i="9"/>
  <c r="AC103" i="9"/>
  <c r="AV103" i="9"/>
  <c r="AO94" i="9"/>
  <c r="AB94" i="9"/>
  <c r="AP94" i="9"/>
  <c r="Y94" i="9"/>
  <c r="BT94" i="9"/>
  <c r="P94" i="9"/>
  <c r="BF94" i="9"/>
  <c r="BD94" i="9"/>
  <c r="BC94" i="9"/>
  <c r="K94" i="9"/>
  <c r="AR94" i="9"/>
  <c r="BR94" i="9"/>
  <c r="L94" i="9"/>
  <c r="BI94" i="9"/>
  <c r="BQ94" i="9"/>
  <c r="AD94" i="9"/>
  <c r="Z94" i="9"/>
  <c r="N94" i="9"/>
  <c r="T94" i="9"/>
  <c r="I94" i="9"/>
  <c r="S94" i="9"/>
  <c r="AH94" i="9"/>
  <c r="U94" i="9"/>
  <c r="W94" i="9"/>
  <c r="R94" i="9"/>
  <c r="AG94" i="9"/>
  <c r="BK94" i="9"/>
  <c r="AV94" i="9"/>
  <c r="AI94" i="9"/>
  <c r="AK94" i="9"/>
  <c r="AF94" i="9"/>
  <c r="AU94" i="9"/>
  <c r="AY94" i="9"/>
  <c r="BL94" i="9"/>
  <c r="AW94" i="9"/>
  <c r="BA94" i="9"/>
  <c r="Q94" i="9"/>
  <c r="AT94" i="9"/>
  <c r="AM94" i="9"/>
  <c r="BM94" i="9"/>
  <c r="H94" i="9"/>
  <c r="BO94" i="9"/>
  <c r="J94" i="9"/>
  <c r="M94" i="9"/>
  <c r="AE94" i="9"/>
  <c r="BH94" i="9"/>
  <c r="AA94" i="9"/>
  <c r="V94" i="9"/>
  <c r="X94" i="9"/>
  <c r="AC94" i="9"/>
  <c r="AS94" i="9"/>
  <c r="O94" i="9"/>
  <c r="AJ94" i="9"/>
  <c r="AN94" i="9"/>
  <c r="AQ94" i="9"/>
  <c r="BG94" i="9"/>
  <c r="BJ94" i="9"/>
  <c r="AZ94" i="9"/>
  <c r="BB94" i="9"/>
  <c r="BE94" i="9"/>
  <c r="AX94" i="9"/>
  <c r="BN94" i="9"/>
  <c r="BP94" i="9"/>
  <c r="AL94" i="9"/>
  <c r="BS94" i="9"/>
  <c r="AP84" i="12"/>
  <c r="AC84" i="12"/>
  <c r="BM84" i="12"/>
  <c r="BC84" i="12"/>
  <c r="AQ84" i="12"/>
  <c r="F89" i="2"/>
  <c r="AT97" i="9"/>
  <c r="AR97" i="9"/>
  <c r="AE97" i="9"/>
  <c r="J97" i="9"/>
  <c r="BI97" i="9"/>
  <c r="AQ97" i="9"/>
  <c r="Z97" i="9"/>
  <c r="Y97" i="9"/>
  <c r="M97" i="9"/>
  <c r="BQ97" i="9"/>
  <c r="K97" i="9"/>
  <c r="BG97" i="9"/>
  <c r="BF97" i="9"/>
  <c r="AS97" i="9"/>
  <c r="S97" i="9"/>
  <c r="U97" i="9"/>
  <c r="AN97" i="9"/>
  <c r="BE97" i="9"/>
  <c r="BH97" i="9"/>
  <c r="AH97" i="9"/>
  <c r="AJ97" i="9"/>
  <c r="AB97" i="9"/>
  <c r="BT97" i="9"/>
  <c r="AW97" i="9"/>
  <c r="T97" i="9"/>
  <c r="AY97" i="9"/>
  <c r="P97" i="9"/>
  <c r="BO97" i="9"/>
  <c r="AI97" i="9"/>
  <c r="V97" i="9"/>
  <c r="O97" i="9"/>
  <c r="AX97" i="9"/>
  <c r="AK97" i="9"/>
  <c r="R97" i="9"/>
  <c r="AG97" i="9"/>
  <c r="BP97" i="9"/>
  <c r="BM97" i="9"/>
  <c r="BC97" i="9"/>
  <c r="H97" i="9"/>
  <c r="AD97" i="9"/>
  <c r="AV97" i="9"/>
  <c r="BA97" i="9"/>
  <c r="BR97" i="9"/>
  <c r="W97" i="9"/>
  <c r="AP97" i="9"/>
  <c r="BK97" i="9"/>
  <c r="AO97" i="9"/>
  <c r="AL97" i="9"/>
  <c r="BB97" i="9"/>
  <c r="N97" i="9"/>
  <c r="AC97" i="9"/>
  <c r="BD97" i="9"/>
  <c r="AF97" i="9"/>
  <c r="Q97" i="9"/>
  <c r="BS97" i="9"/>
  <c r="I97" i="9"/>
  <c r="L97" i="9"/>
  <c r="AU97" i="9"/>
  <c r="BL97" i="9"/>
  <c r="X97" i="9"/>
  <c r="AA97" i="9"/>
  <c r="BJ97" i="9"/>
  <c r="AM97" i="9"/>
  <c r="BN97" i="9"/>
  <c r="AZ97" i="9"/>
  <c r="R5" i="2"/>
  <c r="R6" i="2"/>
  <c r="F46" i="2"/>
  <c r="P72" i="12"/>
  <c r="BF42" i="11"/>
  <c r="BD42" i="11"/>
  <c r="AQ42" i="11"/>
  <c r="AY42" i="11"/>
  <c r="X7" i="2"/>
  <c r="H79" i="8"/>
  <c r="V79" i="8"/>
  <c r="AX79" i="8"/>
  <c r="BL79" i="8"/>
  <c r="AJ79" i="8"/>
  <c r="BK79" i="8"/>
  <c r="AO79" i="8"/>
  <c r="U79" i="8"/>
  <c r="I79" i="8"/>
  <c r="J79" i="8"/>
  <c r="L79" i="8"/>
  <c r="BE79" i="8"/>
  <c r="T79" i="8"/>
  <c r="AI79" i="8"/>
  <c r="BM79" i="8"/>
  <c r="R79" i="8"/>
  <c r="W79" i="8"/>
  <c r="X79" i="8"/>
  <c r="K79" i="8"/>
  <c r="Z79" i="8"/>
  <c r="BT79" i="8"/>
  <c r="AH79" i="8"/>
  <c r="AW79" i="8"/>
  <c r="AD79" i="8"/>
  <c r="AK79" i="8"/>
  <c r="AL79" i="8"/>
  <c r="Y79" i="8"/>
  <c r="AN79" i="8"/>
  <c r="AV79" i="8"/>
  <c r="AP79" i="8"/>
  <c r="AY79" i="8"/>
  <c r="AZ79" i="8"/>
  <c r="AM79" i="8"/>
  <c r="BD79" i="8"/>
  <c r="BJ79" i="8"/>
  <c r="BB79" i="8"/>
  <c r="BP79" i="8"/>
  <c r="BQ79" i="8"/>
  <c r="BA79" i="8"/>
  <c r="BS79" i="8"/>
  <c r="BN79" i="8"/>
  <c r="BR79" i="8"/>
  <c r="Q79" i="8"/>
  <c r="O79" i="8"/>
  <c r="AG79" i="8"/>
  <c r="N79" i="8"/>
  <c r="AC79" i="8"/>
  <c r="P79" i="8"/>
  <c r="AU79" i="8"/>
  <c r="S79" i="8"/>
  <c r="AB79" i="8"/>
  <c r="AS79" i="8"/>
  <c r="AF79" i="8"/>
  <c r="BI79" i="8"/>
  <c r="AE79" i="8"/>
  <c r="M79" i="8"/>
  <c r="AR79" i="8"/>
  <c r="BG79" i="8"/>
  <c r="AT79" i="8"/>
  <c r="AQ79" i="8"/>
  <c r="BH79" i="8"/>
  <c r="BO79" i="8"/>
  <c r="BC79" i="8"/>
  <c r="AA79" i="8"/>
  <c r="BF79" i="8"/>
  <c r="AE86" i="9"/>
  <c r="Y86" i="9"/>
  <c r="Q86" i="9"/>
  <c r="BE86" i="9"/>
  <c r="BB86" i="9"/>
  <c r="L86" i="9"/>
  <c r="AA86" i="9"/>
  <c r="BP86" i="9"/>
  <c r="BS86" i="9"/>
  <c r="BL86" i="9"/>
  <c r="BN86" i="9"/>
  <c r="J86" i="9"/>
  <c r="X86" i="9"/>
  <c r="AM86" i="9"/>
  <c r="BD86" i="9"/>
  <c r="AU86" i="9"/>
  <c r="AN86" i="9"/>
  <c r="V86" i="9"/>
  <c r="AJ86" i="9"/>
  <c r="AY86" i="9"/>
  <c r="AR86" i="9"/>
  <c r="W86" i="9"/>
  <c r="P86" i="9"/>
  <c r="AH86" i="9"/>
  <c r="AV86" i="9"/>
  <c r="AF86" i="9"/>
  <c r="BQ86" i="9"/>
  <c r="BI86" i="9"/>
  <c r="AT86" i="9"/>
  <c r="BH86" i="9"/>
  <c r="T86" i="9"/>
  <c r="AS86" i="9"/>
  <c r="AK86" i="9"/>
  <c r="BF86" i="9"/>
  <c r="BT86" i="9"/>
  <c r="H86" i="9"/>
  <c r="U86" i="9"/>
  <c r="M86" i="9"/>
  <c r="BR86" i="9"/>
  <c r="N86" i="9"/>
  <c r="BA86" i="9"/>
  <c r="BO86" i="9"/>
  <c r="BG86" i="9"/>
  <c r="BK86" i="9"/>
  <c r="Z86" i="9"/>
  <c r="AC86" i="9"/>
  <c r="AQ86" i="9"/>
  <c r="AI86" i="9"/>
  <c r="AG86" i="9"/>
  <c r="AL86" i="9"/>
  <c r="AZ86" i="9"/>
  <c r="S86" i="9"/>
  <c r="K86" i="9"/>
  <c r="R86" i="9"/>
  <c r="AX86" i="9"/>
  <c r="AB86" i="9"/>
  <c r="BM86" i="9"/>
  <c r="I86" i="9"/>
  <c r="BC86" i="9"/>
  <c r="AD86" i="9"/>
  <c r="BJ86" i="9"/>
  <c r="AW86" i="9"/>
  <c r="AO86" i="9"/>
  <c r="AP86" i="9"/>
  <c r="O86" i="9"/>
  <c r="F75" i="2"/>
  <c r="Y83" i="11"/>
  <c r="BG83" i="11"/>
  <c r="AE83" i="11"/>
  <c r="X83" i="11"/>
  <c r="O83" i="11"/>
  <c r="BP96" i="8"/>
  <c r="AV96" i="8"/>
  <c r="W96" i="8"/>
  <c r="AE96" i="8"/>
  <c r="N96" i="8"/>
  <c r="T96" i="8"/>
  <c r="AW96" i="8"/>
  <c r="BS96" i="8"/>
  <c r="M96" i="8"/>
  <c r="AD96" i="8"/>
  <c r="BJ96" i="8"/>
  <c r="AU96" i="8"/>
  <c r="BO96" i="8"/>
  <c r="AS96" i="8"/>
  <c r="H96" i="8"/>
  <c r="AL96" i="8"/>
  <c r="S96" i="8"/>
  <c r="AF96" i="8"/>
  <c r="BH96" i="8"/>
  <c r="BR96" i="8"/>
  <c r="AG96" i="8"/>
  <c r="BI96" i="8"/>
  <c r="L96" i="8"/>
  <c r="AI96" i="8"/>
  <c r="BN96" i="8"/>
  <c r="AH96" i="8"/>
  <c r="R96" i="8"/>
  <c r="AN96" i="8"/>
  <c r="AB96" i="8"/>
  <c r="I96" i="8"/>
  <c r="K96" i="8"/>
  <c r="P96" i="8"/>
  <c r="X96" i="8"/>
  <c r="Z96" i="8"/>
  <c r="BD96" i="8"/>
  <c r="BK96" i="8"/>
  <c r="AP96" i="8"/>
  <c r="AR96" i="8"/>
  <c r="AY96" i="8"/>
  <c r="BE96" i="8"/>
  <c r="BG96" i="8"/>
  <c r="BM96" i="8"/>
  <c r="AM96" i="8"/>
  <c r="BT96" i="8"/>
  <c r="BA96" i="8"/>
  <c r="AA96" i="8"/>
  <c r="J96" i="8"/>
  <c r="AO96" i="8"/>
  <c r="O96" i="8"/>
  <c r="Y96" i="8"/>
  <c r="AC96" i="8"/>
  <c r="U96" i="8"/>
  <c r="V96" i="8"/>
  <c r="AQ96" i="8"/>
  <c r="Q96" i="8"/>
  <c r="AJ96" i="8"/>
  <c r="AK96" i="8"/>
  <c r="BF96" i="8"/>
  <c r="AT96" i="8"/>
  <c r="BL96" i="8"/>
  <c r="BB96" i="8"/>
  <c r="BC96" i="8"/>
  <c r="AZ96" i="8"/>
  <c r="BQ96" i="8"/>
  <c r="BJ103" i="8"/>
  <c r="Z103" i="8"/>
  <c r="AA103" i="8"/>
  <c r="AK103" i="8"/>
  <c r="AM103" i="8"/>
  <c r="O103" i="8"/>
  <c r="J103" i="8"/>
  <c r="AL103" i="8"/>
  <c r="Q103" i="8"/>
  <c r="V103" i="8"/>
  <c r="L103" i="8"/>
  <c r="AC103" i="8"/>
  <c r="R103" i="8"/>
  <c r="AH103" i="8"/>
  <c r="X103" i="8"/>
  <c r="AO103" i="8"/>
  <c r="AD103" i="8"/>
  <c r="S103" i="8"/>
  <c r="AT103" i="8"/>
  <c r="K103" i="8"/>
  <c r="AJ103" i="8"/>
  <c r="BA103" i="8"/>
  <c r="AP103" i="8"/>
  <c r="AE103" i="8"/>
  <c r="I103" i="8"/>
  <c r="BF103" i="8"/>
  <c r="W103" i="8"/>
  <c r="AV103" i="8"/>
  <c r="BT103" i="8"/>
  <c r="N103" i="8"/>
  <c r="BM103" i="8"/>
  <c r="BB103" i="8"/>
  <c r="AQ103" i="8"/>
  <c r="U103" i="8"/>
  <c r="BR103" i="8"/>
  <c r="AI103" i="8"/>
  <c r="BH103" i="8"/>
  <c r="AY103" i="8"/>
  <c r="M103" i="8"/>
  <c r="BN103" i="8"/>
  <c r="BC103" i="8"/>
  <c r="H103" i="8"/>
  <c r="AG103" i="8"/>
  <c r="AU103" i="8"/>
  <c r="AX103" i="8"/>
  <c r="BI103" i="8"/>
  <c r="P103" i="8"/>
  <c r="BO103" i="8"/>
  <c r="T103" i="8"/>
  <c r="AS103" i="8"/>
  <c r="BG103" i="8"/>
  <c r="AB103" i="8"/>
  <c r="AF103" i="8"/>
  <c r="BE103" i="8"/>
  <c r="BS103" i="8"/>
  <c r="AW103" i="8"/>
  <c r="BK103" i="8"/>
  <c r="AN103" i="8"/>
  <c r="AR103" i="8"/>
  <c r="BQ103" i="8"/>
  <c r="Y103" i="8"/>
  <c r="AZ103" i="8"/>
  <c r="BD103" i="8"/>
  <c r="BL103" i="8"/>
  <c r="BP103" i="8"/>
  <c r="AX102" i="8"/>
  <c r="BS102" i="8"/>
  <c r="AW102" i="8"/>
  <c r="BI102" i="8"/>
  <c r="M102" i="8"/>
  <c r="N102" i="8"/>
  <c r="X102" i="8"/>
  <c r="BH102" i="8"/>
  <c r="AK102" i="8"/>
  <c r="AJ102" i="8"/>
  <c r="AV102" i="8"/>
  <c r="BL102" i="8"/>
  <c r="BA102" i="8"/>
  <c r="AP102" i="8"/>
  <c r="AF102" i="8"/>
  <c r="AT102" i="8"/>
  <c r="BG102" i="8"/>
  <c r="BM102" i="8"/>
  <c r="BB102" i="8"/>
  <c r="S102" i="8"/>
  <c r="AR102" i="8"/>
  <c r="BF102" i="8"/>
  <c r="BJ102" i="8"/>
  <c r="O102" i="8"/>
  <c r="BN102" i="8"/>
  <c r="AE102" i="8"/>
  <c r="BD102" i="8"/>
  <c r="BR102" i="8"/>
  <c r="AA102" i="8"/>
  <c r="AQ102" i="8"/>
  <c r="BP102" i="8"/>
  <c r="AM102" i="8"/>
  <c r="BC102" i="8"/>
  <c r="Z102" i="8"/>
  <c r="AY102" i="8"/>
  <c r="BO102" i="8"/>
  <c r="BT102" i="8"/>
  <c r="BK102" i="8"/>
  <c r="I102" i="8"/>
  <c r="L102" i="8"/>
  <c r="U102" i="8"/>
  <c r="P102" i="8"/>
  <c r="AG102" i="8"/>
  <c r="K102" i="8"/>
  <c r="AL102" i="8"/>
  <c r="AB102" i="8"/>
  <c r="Q102" i="8"/>
  <c r="AS102" i="8"/>
  <c r="J102" i="8"/>
  <c r="W102" i="8"/>
  <c r="AN102" i="8"/>
  <c r="AC102" i="8"/>
  <c r="R102" i="8"/>
  <c r="H102" i="8"/>
  <c r="BE102" i="8"/>
  <c r="V102" i="8"/>
  <c r="AI102" i="8"/>
  <c r="Y102" i="8"/>
  <c r="T102" i="8"/>
  <c r="BQ102" i="8"/>
  <c r="AH102" i="8"/>
  <c r="AZ102" i="8"/>
  <c r="AO102" i="8"/>
  <c r="AD102" i="8"/>
  <c r="AU102" i="8"/>
  <c r="AG94" i="8"/>
  <c r="BA94" i="8"/>
  <c r="BP94" i="8"/>
  <c r="S94" i="8"/>
  <c r="AO94" i="8"/>
  <c r="BO94" i="8"/>
  <c r="K94" i="8"/>
  <c r="AV94" i="8"/>
  <c r="BN94" i="8"/>
  <c r="H94" i="8"/>
  <c r="BG94" i="8"/>
  <c r="T94" i="8"/>
  <c r="AC94" i="8"/>
  <c r="AZ94" i="8"/>
  <c r="BS94" i="8"/>
  <c r="AI94" i="8"/>
  <c r="AR94" i="8"/>
  <c r="W94" i="8"/>
  <c r="R94" i="8"/>
  <c r="AX94" i="8"/>
  <c r="BQ94" i="8"/>
  <c r="I94" i="8"/>
  <c r="AL94" i="8"/>
  <c r="X94" i="8"/>
  <c r="Z94" i="8"/>
  <c r="AP94" i="8"/>
  <c r="P94" i="8"/>
  <c r="Q94" i="8"/>
  <c r="N94" i="8"/>
  <c r="BE94" i="8"/>
  <c r="AE94" i="8"/>
  <c r="AF94" i="8"/>
  <c r="BI94" i="8"/>
  <c r="BT94" i="8"/>
  <c r="J94" i="8"/>
  <c r="AT94" i="8"/>
  <c r="AU94" i="8"/>
  <c r="AW94" i="8"/>
  <c r="AB94" i="8"/>
  <c r="BL94" i="8"/>
  <c r="BM94" i="8"/>
  <c r="AH94" i="8"/>
  <c r="BK94" i="8"/>
  <c r="AK94" i="8"/>
  <c r="V94" i="8"/>
  <c r="AQ94" i="8"/>
  <c r="L94" i="8"/>
  <c r="AY94" i="8"/>
  <c r="Y94" i="8"/>
  <c r="AN94" i="8"/>
  <c r="BF94" i="8"/>
  <c r="AD94" i="8"/>
  <c r="AM94" i="8"/>
  <c r="M94" i="8"/>
  <c r="BC94" i="8"/>
  <c r="AS94" i="8"/>
  <c r="AA94" i="8"/>
  <c r="U94" i="8"/>
  <c r="BR94" i="8"/>
  <c r="BH94" i="8"/>
  <c r="O94" i="8"/>
  <c r="AJ94" i="8"/>
  <c r="BB94" i="8"/>
  <c r="BJ94" i="8"/>
  <c r="BF99" i="8"/>
  <c r="AT99" i="8"/>
  <c r="BH99" i="8"/>
  <c r="M99" i="8"/>
  <c r="BI99" i="8"/>
  <c r="AB99" i="8"/>
  <c r="U99" i="8"/>
  <c r="AK99" i="8"/>
  <c r="AL99" i="8"/>
  <c r="X99" i="8"/>
  <c r="AJ99" i="8"/>
  <c r="AZ99" i="8"/>
  <c r="BA99" i="8"/>
  <c r="AM99" i="8"/>
  <c r="AY99" i="8"/>
  <c r="BR99" i="8"/>
  <c r="BS99" i="8"/>
  <c r="BE99" i="8"/>
  <c r="R99" i="8"/>
  <c r="Q99" i="8"/>
  <c r="BQ99" i="8"/>
  <c r="BT99" i="8"/>
  <c r="K99" i="8"/>
  <c r="AD99" i="8"/>
  <c r="AI99" i="8"/>
  <c r="Z99" i="8"/>
  <c r="AP99" i="8"/>
  <c r="S99" i="8"/>
  <c r="AX99" i="8"/>
  <c r="AO99" i="8"/>
  <c r="BB99" i="8"/>
  <c r="AE99" i="8"/>
  <c r="H99" i="8"/>
  <c r="P99" i="8"/>
  <c r="BM99" i="8"/>
  <c r="BG99" i="8"/>
  <c r="BN99" i="8"/>
  <c r="AQ99" i="8"/>
  <c r="T99" i="8"/>
  <c r="N99" i="8"/>
  <c r="O99" i="8"/>
  <c r="AH99" i="8"/>
  <c r="J99" i="8"/>
  <c r="BC99" i="8"/>
  <c r="AF99" i="8"/>
  <c r="AC99" i="8"/>
  <c r="AG99" i="8"/>
  <c r="AW99" i="8"/>
  <c r="Y99" i="8"/>
  <c r="L99" i="8"/>
  <c r="BO99" i="8"/>
  <c r="AR99" i="8"/>
  <c r="AU99" i="8"/>
  <c r="AV99" i="8"/>
  <c r="BL99" i="8"/>
  <c r="AN99" i="8"/>
  <c r="AA99" i="8"/>
  <c r="BD99" i="8"/>
  <c r="BJ99" i="8"/>
  <c r="BK99" i="8"/>
  <c r="BP99" i="8"/>
  <c r="AS99" i="8"/>
  <c r="I99" i="8"/>
  <c r="W99" i="8"/>
  <c r="V99" i="8"/>
  <c r="AA98" i="8"/>
  <c r="BO98" i="8"/>
  <c r="AY98" i="8"/>
  <c r="BL98" i="8"/>
  <c r="AS98" i="8"/>
  <c r="BR98" i="8"/>
  <c r="Q98" i="8"/>
  <c r="BQ98" i="8"/>
  <c r="X98" i="8"/>
  <c r="AH98" i="8"/>
  <c r="H98" i="8"/>
  <c r="M98" i="8"/>
  <c r="AF98" i="8"/>
  <c r="AX98" i="8"/>
  <c r="AW98" i="8"/>
  <c r="AJ98" i="8"/>
  <c r="AZ98" i="8"/>
  <c r="T98" i="8"/>
  <c r="BT98" i="8"/>
  <c r="K98" i="8"/>
  <c r="BH98" i="8"/>
  <c r="AM98" i="8"/>
  <c r="Y98" i="8"/>
  <c r="J98" i="8"/>
  <c r="BP98" i="8"/>
  <c r="AN98" i="8"/>
  <c r="L98" i="8"/>
  <c r="I98" i="8"/>
  <c r="AI98" i="8"/>
  <c r="P98" i="8"/>
  <c r="BF98" i="8"/>
  <c r="Z98" i="8"/>
  <c r="AG98" i="8"/>
  <c r="BE98" i="8"/>
  <c r="AL98" i="8"/>
  <c r="W98" i="8"/>
  <c r="AR98" i="8"/>
  <c r="N98" i="8"/>
  <c r="BD98" i="8"/>
  <c r="O98" i="8"/>
  <c r="BK98" i="8"/>
  <c r="AV98" i="8"/>
  <c r="BG98" i="8"/>
  <c r="AB98" i="8"/>
  <c r="AK98" i="8"/>
  <c r="BS98" i="8"/>
  <c r="AT98" i="8"/>
  <c r="BJ98" i="8"/>
  <c r="V98" i="8"/>
  <c r="BI98" i="8"/>
  <c r="BA98" i="8"/>
  <c r="AD98" i="8"/>
  <c r="BM98" i="8"/>
  <c r="AP98" i="8"/>
  <c r="S98" i="8"/>
  <c r="BB98" i="8"/>
  <c r="AE98" i="8"/>
  <c r="U98" i="8"/>
  <c r="BN98" i="8"/>
  <c r="AQ98" i="8"/>
  <c r="AU98" i="8"/>
  <c r="BC98" i="8"/>
  <c r="AC98" i="8"/>
  <c r="AO98" i="8"/>
  <c r="R98" i="8"/>
  <c r="Z90" i="8"/>
  <c r="S90" i="8"/>
  <c r="X90" i="8"/>
  <c r="BK90" i="8"/>
  <c r="BB90" i="8"/>
  <c r="AC90" i="8"/>
  <c r="AZ90" i="8"/>
  <c r="AG90" i="8"/>
  <c r="AY90" i="8"/>
  <c r="T90" i="8"/>
  <c r="O90" i="8"/>
  <c r="AN90" i="8"/>
  <c r="AX90" i="8"/>
  <c r="L90" i="8"/>
  <c r="AW90" i="8"/>
  <c r="U90" i="8"/>
  <c r="AQ90" i="8"/>
  <c r="BP90" i="8"/>
  <c r="W90" i="8"/>
  <c r="BI90" i="8"/>
  <c r="N90" i="8"/>
  <c r="BL90" i="8"/>
  <c r="K90" i="8"/>
  <c r="AS90" i="8"/>
  <c r="BQ90" i="8"/>
  <c r="BR90" i="8"/>
  <c r="AE90" i="8"/>
  <c r="BC90" i="8"/>
  <c r="BF90" i="8"/>
  <c r="Q90" i="8"/>
  <c r="AO90" i="8"/>
  <c r="H90" i="8"/>
  <c r="AT90" i="8"/>
  <c r="BH90" i="8"/>
  <c r="AA90" i="8"/>
  <c r="AL90" i="8"/>
  <c r="AH90" i="8"/>
  <c r="AR90" i="8"/>
  <c r="M90" i="8"/>
  <c r="BN90" i="8"/>
  <c r="V90" i="8"/>
  <c r="AD90" i="8"/>
  <c r="BO90" i="8"/>
  <c r="J90" i="8"/>
  <c r="P90" i="8"/>
  <c r="BA90" i="8"/>
  <c r="BS90" i="8"/>
  <c r="BJ90" i="8"/>
  <c r="BT90" i="8"/>
  <c r="AM90" i="8"/>
  <c r="AK90" i="8"/>
  <c r="BG90" i="8"/>
  <c r="AV90" i="8"/>
  <c r="BD90" i="8"/>
  <c r="Y90" i="8"/>
  <c r="BM90" i="8"/>
  <c r="AU90" i="8"/>
  <c r="AF90" i="8"/>
  <c r="AP90" i="8"/>
  <c r="I90" i="8"/>
  <c r="AJ90" i="8"/>
  <c r="AI90" i="8"/>
  <c r="R90" i="8"/>
  <c r="AB90" i="8"/>
  <c r="BF51" i="5"/>
  <c r="O4" i="2"/>
  <c r="R4" i="2"/>
  <c r="BK63" i="9"/>
  <c r="S72" i="12"/>
  <c r="AO42" i="11"/>
  <c r="AS42" i="11"/>
  <c r="F13" i="2"/>
  <c r="BL77" i="9"/>
  <c r="AG77" i="9"/>
  <c r="S77" i="9"/>
  <c r="BI77" i="9"/>
  <c r="AZ77" i="9"/>
  <c r="BP77" i="9"/>
  <c r="AX77" i="9"/>
  <c r="AV77" i="9"/>
  <c r="BJ77" i="9"/>
  <c r="AU77" i="9"/>
  <c r="T77" i="9"/>
  <c r="H77" i="9"/>
  <c r="J77" i="9"/>
  <c r="V77" i="9"/>
  <c r="BN77" i="9"/>
  <c r="AL77" i="9"/>
  <c r="X77" i="9"/>
  <c r="AJ77" i="9"/>
  <c r="AH77" i="9"/>
  <c r="AO77" i="9"/>
  <c r="BQ77" i="9"/>
  <c r="BD77" i="9"/>
  <c r="M77" i="9"/>
  <c r="BG77" i="9"/>
  <c r="AT77" i="9"/>
  <c r="AP77" i="9"/>
  <c r="AC77" i="9"/>
  <c r="I77" i="9"/>
  <c r="BR77" i="9"/>
  <c r="AA77" i="9"/>
  <c r="BH77" i="9"/>
  <c r="BB77" i="9"/>
  <c r="Q77" i="9"/>
  <c r="W77" i="9"/>
  <c r="AQ77" i="9"/>
  <c r="U77" i="9"/>
  <c r="AK77" i="9"/>
  <c r="BE77" i="9"/>
  <c r="AI77" i="9"/>
  <c r="AY77" i="9"/>
  <c r="BS77" i="9"/>
  <c r="AW77" i="9"/>
  <c r="BO77" i="9"/>
  <c r="BK77" i="9"/>
  <c r="N77" i="9"/>
  <c r="K77" i="9"/>
  <c r="AB77" i="9"/>
  <c r="Y77" i="9"/>
  <c r="L77" i="9"/>
  <c r="AR77" i="9"/>
  <c r="O77" i="9"/>
  <c r="BM77" i="9"/>
  <c r="AM77" i="9"/>
  <c r="Z77" i="9"/>
  <c r="BF77" i="9"/>
  <c r="AE77" i="9"/>
  <c r="P77" i="9"/>
  <c r="R77" i="9"/>
  <c r="BA77" i="9"/>
  <c r="BT77" i="9"/>
  <c r="AS77" i="9"/>
  <c r="AD77" i="9"/>
  <c r="AF77" i="9"/>
  <c r="BC77" i="9"/>
  <c r="AN77" i="9"/>
  <c r="BH76" i="8"/>
  <c r="BF76" i="8"/>
  <c r="T76" i="8"/>
  <c r="BE76" i="8"/>
  <c r="S76" i="8"/>
  <c r="AD76" i="8"/>
  <c r="R76" i="8"/>
  <c r="BQ76" i="8"/>
  <c r="AP76" i="8"/>
  <c r="U76" i="8"/>
  <c r="V76" i="8"/>
  <c r="H76" i="8"/>
  <c r="BM76" i="8"/>
  <c r="BN76" i="8"/>
  <c r="AO76" i="8"/>
  <c r="AV76" i="8"/>
  <c r="AJ76" i="8"/>
  <c r="BA76" i="8"/>
  <c r="AR76" i="8"/>
  <c r="AQ76" i="8"/>
  <c r="AB76" i="8"/>
  <c r="BI76" i="8"/>
  <c r="AS76" i="8"/>
  <c r="BR76" i="8"/>
  <c r="J76" i="8"/>
  <c r="P76" i="8"/>
  <c r="AW76" i="8"/>
  <c r="BO76" i="8"/>
  <c r="AF76" i="8"/>
  <c r="BK76" i="8"/>
  <c r="AK76" i="8"/>
  <c r="BB76" i="8"/>
  <c r="Q76" i="8"/>
  <c r="AY76" i="8"/>
  <c r="Y76" i="8"/>
  <c r="BT76" i="8"/>
  <c r="AH76" i="8"/>
  <c r="AM76" i="8"/>
  <c r="M76" i="8"/>
  <c r="BD76" i="8"/>
  <c r="AA76" i="8"/>
  <c r="BS76" i="8"/>
  <c r="AC76" i="8"/>
  <c r="O76" i="8"/>
  <c r="BG76" i="8"/>
  <c r="AT76" i="8"/>
  <c r="BJ76" i="8"/>
  <c r="AU76" i="8"/>
  <c r="BP76" i="8"/>
  <c r="L76" i="8"/>
  <c r="AX76" i="8"/>
  <c r="AI76" i="8"/>
  <c r="AG76" i="8"/>
  <c r="BL76" i="8"/>
  <c r="AL76" i="8"/>
  <c r="W76" i="8"/>
  <c r="BC76" i="8"/>
  <c r="AZ76" i="8"/>
  <c r="Z76" i="8"/>
  <c r="K76" i="8"/>
  <c r="I76" i="8"/>
  <c r="AN76" i="8"/>
  <c r="N76" i="8"/>
  <c r="X76" i="8"/>
  <c r="AE76" i="8"/>
  <c r="BT82" i="8"/>
  <c r="AI83" i="11"/>
  <c r="Q83" i="11"/>
  <c r="BD83" i="11"/>
  <c r="AL83" i="11"/>
  <c r="R83" i="11"/>
  <c r="AL102" i="9"/>
  <c r="Z102" i="9"/>
  <c r="Q102" i="9"/>
  <c r="AY102" i="9"/>
  <c r="AM102" i="9"/>
  <c r="BM102" i="9"/>
  <c r="Y102" i="9"/>
  <c r="BK102" i="9"/>
  <c r="BJ102" i="9"/>
  <c r="AO102" i="9"/>
  <c r="AX102" i="9"/>
  <c r="X102" i="9"/>
  <c r="AK102" i="9"/>
  <c r="AW102" i="9"/>
  <c r="N102" i="9"/>
  <c r="AV102" i="9"/>
  <c r="BS102" i="9"/>
  <c r="O102" i="9"/>
  <c r="AJ102" i="9"/>
  <c r="BI102" i="9"/>
  <c r="AC102" i="9"/>
  <c r="BH102" i="9"/>
  <c r="AA102" i="9"/>
  <c r="BT102" i="9"/>
  <c r="BA102" i="9"/>
  <c r="R102" i="9"/>
  <c r="AD102" i="9"/>
  <c r="AP102" i="9"/>
  <c r="H102" i="9"/>
  <c r="BB102" i="9"/>
  <c r="S102" i="9"/>
  <c r="T102" i="9"/>
  <c r="K102" i="9"/>
  <c r="BN102" i="9"/>
  <c r="AE102" i="9"/>
  <c r="AF102" i="9"/>
  <c r="J102" i="9"/>
  <c r="W102" i="9"/>
  <c r="L102" i="9"/>
  <c r="P102" i="9"/>
  <c r="AQ102" i="9"/>
  <c r="AR102" i="9"/>
  <c r="V102" i="9"/>
  <c r="AI102" i="9"/>
  <c r="M102" i="9"/>
  <c r="AB102" i="9"/>
  <c r="BC102" i="9"/>
  <c r="BD102" i="9"/>
  <c r="I102" i="9"/>
  <c r="AH102" i="9"/>
  <c r="AU102" i="9"/>
  <c r="AN102" i="9"/>
  <c r="BO102" i="9"/>
  <c r="BP102" i="9"/>
  <c r="U102" i="9"/>
  <c r="AT102" i="9"/>
  <c r="BG102" i="9"/>
  <c r="AZ102" i="9"/>
  <c r="AG102" i="9"/>
  <c r="BF102" i="9"/>
  <c r="BL102" i="9"/>
  <c r="AS102" i="9"/>
  <c r="BR102" i="9"/>
  <c r="BE102" i="9"/>
  <c r="BQ102" i="9"/>
  <c r="AN99" i="9"/>
  <c r="N99" i="9"/>
  <c r="BL99" i="9"/>
  <c r="BQ99" i="9"/>
  <c r="Z99" i="9"/>
  <c r="AC99" i="9"/>
  <c r="AX99" i="9"/>
  <c r="BT99" i="9"/>
  <c r="BJ99" i="9"/>
  <c r="AV99" i="9"/>
  <c r="BG99" i="9"/>
  <c r="K99" i="9"/>
  <c r="BR99" i="9"/>
  <c r="X99" i="9"/>
  <c r="AG99" i="9"/>
  <c r="AS99" i="9"/>
  <c r="AT99" i="9"/>
  <c r="BH99" i="9"/>
  <c r="AH99" i="9"/>
  <c r="O99" i="9"/>
  <c r="I99" i="9"/>
  <c r="W99" i="9"/>
  <c r="BK99" i="9"/>
  <c r="AB99" i="9"/>
  <c r="AL99" i="9"/>
  <c r="L99" i="9"/>
  <c r="M99" i="9"/>
  <c r="BF99" i="9"/>
  <c r="AW99" i="9"/>
  <c r="BI99" i="9"/>
  <c r="U99" i="9"/>
  <c r="BP99" i="9"/>
  <c r="AA99" i="9"/>
  <c r="AJ99" i="9"/>
  <c r="V99" i="9"/>
  <c r="AM99" i="9"/>
  <c r="BE99" i="9"/>
  <c r="Q99" i="9"/>
  <c r="AY99" i="9"/>
  <c r="AK99" i="9"/>
  <c r="BS99" i="9"/>
  <c r="AU99" i="9"/>
  <c r="J99" i="9"/>
  <c r="P99" i="9"/>
  <c r="AI99" i="9"/>
  <c r="AO99" i="9"/>
  <c r="Y99" i="9"/>
  <c r="AZ99" i="9"/>
  <c r="AE99" i="9"/>
  <c r="H99" i="9"/>
  <c r="AQ99" i="9"/>
  <c r="T99" i="9"/>
  <c r="BA99" i="9"/>
  <c r="R99" i="9"/>
  <c r="BC99" i="9"/>
  <c r="AF99" i="9"/>
  <c r="BM99" i="9"/>
  <c r="AD99" i="9"/>
  <c r="BO99" i="9"/>
  <c r="AR99" i="9"/>
  <c r="AP99" i="9"/>
  <c r="BD99" i="9"/>
  <c r="BB99" i="9"/>
  <c r="BN99" i="9"/>
  <c r="S99" i="9"/>
  <c r="BM98" i="9"/>
  <c r="H98" i="9"/>
  <c r="AZ98" i="9"/>
  <c r="M98" i="9"/>
  <c r="BP98" i="9"/>
  <c r="BL98" i="9"/>
  <c r="J98" i="9"/>
  <c r="U98" i="9"/>
  <c r="I98" i="9"/>
  <c r="AN98" i="9"/>
  <c r="BD98" i="9"/>
  <c r="AI98" i="9"/>
  <c r="V98" i="9"/>
  <c r="AJ98" i="9"/>
  <c r="BO98" i="9"/>
  <c r="AW98" i="9"/>
  <c r="BG98" i="9"/>
  <c r="L98" i="9"/>
  <c r="T98" i="9"/>
  <c r="Z98" i="9"/>
  <c r="AA98" i="9"/>
  <c r="AM98" i="9"/>
  <c r="BA98" i="9"/>
  <c r="Q98" i="9"/>
  <c r="AH98" i="9"/>
  <c r="BR98" i="9"/>
  <c r="O98" i="9"/>
  <c r="AC98" i="9"/>
  <c r="P98" i="9"/>
  <c r="AG98" i="9"/>
  <c r="AV98" i="9"/>
  <c r="AX98" i="9"/>
  <c r="BT98" i="9"/>
  <c r="K98" i="9"/>
  <c r="AF98" i="9"/>
  <c r="AU98" i="9"/>
  <c r="BJ98" i="9"/>
  <c r="AL98" i="9"/>
  <c r="AB98" i="9"/>
  <c r="AT98" i="9"/>
  <c r="Y98" i="9"/>
  <c r="N98" i="9"/>
  <c r="W98" i="9"/>
  <c r="BI98" i="9"/>
  <c r="BH98" i="9"/>
  <c r="BS98" i="9"/>
  <c r="AY98" i="9"/>
  <c r="BQ98" i="9"/>
  <c r="BE98" i="9"/>
  <c r="BF98" i="9"/>
  <c r="AO98" i="9"/>
  <c r="X98" i="9"/>
  <c r="AS98" i="9"/>
  <c r="AR98" i="9"/>
  <c r="BK98" i="9"/>
  <c r="AK98" i="9"/>
  <c r="R98" i="9"/>
  <c r="AD98" i="9"/>
  <c r="AP98" i="9"/>
  <c r="S98" i="9"/>
  <c r="BB98" i="9"/>
  <c r="AE98" i="9"/>
  <c r="BN98" i="9"/>
  <c r="AQ98" i="9"/>
  <c r="BC98" i="9"/>
  <c r="I84" i="12"/>
  <c r="O84" i="12"/>
  <c r="AY84" i="12"/>
  <c r="BI84" i="12"/>
  <c r="AS84" i="12"/>
  <c r="AC90" i="9"/>
  <c r="BB90" i="9"/>
  <c r="L90" i="9"/>
  <c r="AQ90" i="9"/>
  <c r="BQ90" i="9"/>
  <c r="Z90" i="9"/>
  <c r="BJ90" i="9"/>
  <c r="BK90" i="9"/>
  <c r="AW90" i="9"/>
  <c r="S90" i="9"/>
  <c r="AN90" i="9"/>
  <c r="AO90" i="9"/>
  <c r="BE90" i="9"/>
  <c r="AA90" i="9"/>
  <c r="BP90" i="9"/>
  <c r="AG90" i="9"/>
  <c r="O90" i="9"/>
  <c r="BM90" i="9"/>
  <c r="BC90" i="9"/>
  <c r="Q90" i="9"/>
  <c r="BR90" i="9"/>
  <c r="X90" i="9"/>
  <c r="AE90" i="9"/>
  <c r="BF90" i="9"/>
  <c r="AL90" i="9"/>
  <c r="N90" i="9"/>
  <c r="P90" i="9"/>
  <c r="AS90" i="9"/>
  <c r="AT90" i="9"/>
  <c r="AZ90" i="9"/>
  <c r="AB90" i="9"/>
  <c r="AD90" i="9"/>
  <c r="BI90" i="9"/>
  <c r="AH90" i="9"/>
  <c r="U90" i="9"/>
  <c r="BN90" i="9"/>
  <c r="I90" i="9"/>
  <c r="AP90" i="9"/>
  <c r="AR90" i="9"/>
  <c r="V90" i="9"/>
  <c r="AK90" i="9"/>
  <c r="Y90" i="9"/>
  <c r="BD90" i="9"/>
  <c r="BH90" i="9"/>
  <c r="J90" i="9"/>
  <c r="AY90" i="9"/>
  <c r="AM90" i="9"/>
  <c r="BT90" i="9"/>
  <c r="BS90" i="9"/>
  <c r="T90" i="9"/>
  <c r="BA90" i="9"/>
  <c r="M90" i="9"/>
  <c r="R90" i="9"/>
  <c r="BG90" i="9"/>
  <c r="AJ90" i="9"/>
  <c r="BO90" i="9"/>
  <c r="AF90" i="9"/>
  <c r="AU90" i="9"/>
  <c r="AX90" i="9"/>
  <c r="AV90" i="9"/>
  <c r="AI90" i="9"/>
  <c r="BL90" i="9"/>
  <c r="W90" i="9"/>
  <c r="H90" i="9"/>
  <c r="K90" i="9"/>
  <c r="F96" i="2"/>
  <c r="BR93" i="7"/>
  <c r="F24" i="2"/>
  <c r="F32" i="2"/>
  <c r="F79" i="2"/>
  <c r="BP77" i="8"/>
  <c r="AN77" i="8"/>
  <c r="N77" i="8"/>
  <c r="BI77" i="8"/>
  <c r="BC77" i="8"/>
  <c r="H77" i="8"/>
  <c r="AB77" i="8"/>
  <c r="BT77" i="8"/>
  <c r="AP77" i="8"/>
  <c r="AG77" i="8"/>
  <c r="BQ77" i="8"/>
  <c r="P77" i="8"/>
  <c r="BH77" i="8"/>
  <c r="T77" i="8"/>
  <c r="K77" i="8"/>
  <c r="AT77" i="8"/>
  <c r="BK77" i="8"/>
  <c r="AV77" i="8"/>
  <c r="BF77" i="8"/>
  <c r="BB77" i="8"/>
  <c r="Y77" i="8"/>
  <c r="AY77" i="8"/>
  <c r="AJ77" i="8"/>
  <c r="AK77" i="8"/>
  <c r="AF77" i="8"/>
  <c r="V77" i="8"/>
  <c r="BM77" i="8"/>
  <c r="AM77" i="8"/>
  <c r="X77" i="8"/>
  <c r="S77" i="8"/>
  <c r="J77" i="8"/>
  <c r="W77" i="8"/>
  <c r="BA77" i="8"/>
  <c r="AA77" i="8"/>
  <c r="L77" i="8"/>
  <c r="BE77" i="8"/>
  <c r="AW77" i="8"/>
  <c r="AR77" i="8"/>
  <c r="AO77" i="8"/>
  <c r="O77" i="8"/>
  <c r="BS77" i="8"/>
  <c r="AI77" i="8"/>
  <c r="AE77" i="8"/>
  <c r="AS77" i="8"/>
  <c r="AC77" i="8"/>
  <c r="BJ77" i="8"/>
  <c r="BG77" i="8"/>
  <c r="R77" i="8"/>
  <c r="I77" i="8"/>
  <c r="BO77" i="8"/>
  <c r="Q77" i="8"/>
  <c r="AX77" i="8"/>
  <c r="BN77" i="8"/>
  <c r="BD77" i="8"/>
  <c r="BR77" i="8"/>
  <c r="BL77" i="8"/>
  <c r="AL77" i="8"/>
  <c r="AQ77" i="8"/>
  <c r="AH77" i="8"/>
  <c r="AU77" i="8"/>
  <c r="AZ77" i="8"/>
  <c r="Z77" i="8"/>
  <c r="U77" i="8"/>
  <c r="M77" i="8"/>
  <c r="AD77" i="8"/>
  <c r="BI76" i="9"/>
  <c r="BJ76" i="9"/>
  <c r="T76" i="9"/>
  <c r="AX76" i="9"/>
  <c r="X76" i="9"/>
  <c r="BP76" i="9"/>
  <c r="V76" i="9"/>
  <c r="S76" i="9"/>
  <c r="AL76" i="9"/>
  <c r="J76" i="9"/>
  <c r="H76" i="9"/>
  <c r="BN76" i="9"/>
  <c r="AJ76" i="9"/>
  <c r="AV76" i="9"/>
  <c r="BB76" i="9"/>
  <c r="AH76" i="9"/>
  <c r="AG76" i="9"/>
  <c r="AZ76" i="9"/>
  <c r="BT76" i="9"/>
  <c r="AP76" i="9"/>
  <c r="I76" i="9"/>
  <c r="AN76" i="9"/>
  <c r="BF76" i="9"/>
  <c r="Z76" i="9"/>
  <c r="BK76" i="9"/>
  <c r="AB76" i="9"/>
  <c r="AR76" i="9"/>
  <c r="L76" i="9"/>
  <c r="AW76" i="9"/>
  <c r="P76" i="9"/>
  <c r="AD76" i="9"/>
  <c r="BQ76" i="9"/>
  <c r="AI76" i="9"/>
  <c r="BH76" i="9"/>
  <c r="N76" i="9"/>
  <c r="BC76" i="9"/>
  <c r="U76" i="9"/>
  <c r="AT76" i="9"/>
  <c r="BS76" i="9"/>
  <c r="AM76" i="9"/>
  <c r="AU76" i="9"/>
  <c r="BM76" i="9"/>
  <c r="AF76" i="9"/>
  <c r="BE76" i="9"/>
  <c r="Y76" i="9"/>
  <c r="BA76" i="9"/>
  <c r="R76" i="9"/>
  <c r="AQ76" i="9"/>
  <c r="K76" i="9"/>
  <c r="AO76" i="9"/>
  <c r="BG76" i="9"/>
  <c r="AA76" i="9"/>
  <c r="BO76" i="9"/>
  <c r="AC76" i="9"/>
  <c r="AS76" i="9"/>
  <c r="M76" i="9"/>
  <c r="AY76" i="9"/>
  <c r="Q76" i="9"/>
  <c r="AE76" i="9"/>
  <c r="BR76" i="9"/>
  <c r="AK76" i="9"/>
  <c r="BL76" i="9"/>
  <c r="O76" i="9"/>
  <c r="BD76" i="9"/>
  <c r="W76" i="9"/>
  <c r="BK83" i="11"/>
  <c r="AB83" i="11"/>
  <c r="BB83" i="11"/>
  <c r="T83" i="11"/>
  <c r="BP83" i="11"/>
  <c r="U51" i="5"/>
  <c r="S51" i="5"/>
  <c r="AZ51" i="5"/>
  <c r="Z51" i="5"/>
  <c r="L51" i="5"/>
  <c r="F94" i="2"/>
  <c r="BE99" i="7"/>
  <c r="AT99" i="7"/>
  <c r="BK87" i="8"/>
  <c r="BM87" i="8"/>
  <c r="AK87" i="8"/>
  <c r="AO87" i="8"/>
  <c r="BJ87" i="8"/>
  <c r="M87" i="8"/>
  <c r="AS87" i="8"/>
  <c r="BF87" i="8"/>
  <c r="AC87" i="8"/>
  <c r="BE87" i="8"/>
  <c r="BR87" i="8"/>
  <c r="BS87" i="8"/>
  <c r="N87" i="8"/>
  <c r="O87" i="8"/>
  <c r="AY87" i="8"/>
  <c r="BQ87" i="8"/>
  <c r="AL87" i="8"/>
  <c r="AM87" i="8"/>
  <c r="AN87" i="8"/>
  <c r="BO87" i="8"/>
  <c r="K87" i="8"/>
  <c r="BP87" i="8"/>
  <c r="Y87" i="8"/>
  <c r="BC87" i="8"/>
  <c r="W87" i="8"/>
  <c r="S87" i="8"/>
  <c r="T87" i="8"/>
  <c r="BI87" i="8"/>
  <c r="AQ87" i="8"/>
  <c r="H87" i="8"/>
  <c r="L87" i="8"/>
  <c r="AI87" i="8"/>
  <c r="BA87" i="8"/>
  <c r="BD87" i="8"/>
  <c r="X87" i="8"/>
  <c r="AE87" i="8"/>
  <c r="AA87" i="8"/>
  <c r="AB87" i="8"/>
  <c r="AU87" i="8"/>
  <c r="BH87" i="8"/>
  <c r="AJ87" i="8"/>
  <c r="BL87" i="8"/>
  <c r="AW87" i="8"/>
  <c r="AX87" i="8"/>
  <c r="R87" i="8"/>
  <c r="BG87" i="8"/>
  <c r="Q87" i="8"/>
  <c r="AZ87" i="8"/>
  <c r="AD87" i="8"/>
  <c r="J87" i="8"/>
  <c r="AR87" i="8"/>
  <c r="Z87" i="8"/>
  <c r="AP87" i="8"/>
  <c r="I87" i="8"/>
  <c r="V87" i="8"/>
  <c r="AV87" i="8"/>
  <c r="BB87" i="8"/>
  <c r="U87" i="8"/>
  <c r="AH87" i="8"/>
  <c r="BN87" i="8"/>
  <c r="BT87" i="8"/>
  <c r="AF87" i="8"/>
  <c r="P87" i="8"/>
  <c r="AG87" i="8"/>
  <c r="AT87" i="8"/>
  <c r="N89" i="11"/>
  <c r="BE89" i="11"/>
  <c r="L89" i="11"/>
  <c r="BN89" i="11"/>
  <c r="AF89" i="11"/>
  <c r="AJ84" i="12"/>
  <c r="AL84" i="12"/>
  <c r="U84" i="12"/>
  <c r="Q84" i="12"/>
  <c r="S84" i="12"/>
  <c r="AT84" i="12"/>
  <c r="BE90" i="8"/>
  <c r="O5" i="2"/>
  <c r="F31" i="2"/>
  <c r="AG33" i="7"/>
  <c r="BP80" i="8"/>
  <c r="BK80" i="8"/>
  <c r="BC80" i="8"/>
  <c r="AO80" i="8"/>
  <c r="AC80" i="8"/>
  <c r="AK80" i="8"/>
  <c r="W80" i="8"/>
  <c r="AZ80" i="8"/>
  <c r="BI80" i="8"/>
  <c r="U80" i="8"/>
  <c r="AH80" i="8"/>
  <c r="BM80" i="8"/>
  <c r="AN80" i="8"/>
  <c r="O80" i="8"/>
  <c r="AU80" i="8"/>
  <c r="V80" i="8"/>
  <c r="AW80" i="8"/>
  <c r="AA80" i="8"/>
  <c r="Y80" i="8"/>
  <c r="BO80" i="8"/>
  <c r="AM80" i="8"/>
  <c r="L80" i="8"/>
  <c r="I80" i="8"/>
  <c r="AJ80" i="8"/>
  <c r="N80" i="8"/>
  <c r="BA80" i="8"/>
  <c r="BL80" i="8"/>
  <c r="K80" i="8"/>
  <c r="BB80" i="8"/>
  <c r="AY80" i="8"/>
  <c r="AP80" i="8"/>
  <c r="BN80" i="8"/>
  <c r="P80" i="8"/>
  <c r="M80" i="8"/>
  <c r="X80" i="8"/>
  <c r="AI80" i="8"/>
  <c r="BH80" i="8"/>
  <c r="AB80" i="8"/>
  <c r="AV80" i="8"/>
  <c r="BQ80" i="8"/>
  <c r="J80" i="8"/>
  <c r="H80" i="8"/>
  <c r="T80" i="8"/>
  <c r="BJ80" i="8"/>
  <c r="AG80" i="8"/>
  <c r="AX80" i="8"/>
  <c r="AT80" i="8"/>
  <c r="AL80" i="8"/>
  <c r="BG80" i="8"/>
  <c r="Z80" i="8"/>
  <c r="BT80" i="8"/>
  <c r="R80" i="8"/>
  <c r="S80" i="8"/>
  <c r="Q80" i="8"/>
  <c r="AE80" i="8"/>
  <c r="AF80" i="8"/>
  <c r="AD80" i="8"/>
  <c r="AR80" i="8"/>
  <c r="AS80" i="8"/>
  <c r="AQ80" i="8"/>
  <c r="BE80" i="8"/>
  <c r="BF80" i="8"/>
  <c r="BD80" i="8"/>
  <c r="BR80" i="8"/>
  <c r="BS80" i="8"/>
  <c r="U83" i="8"/>
  <c r="BQ83" i="8"/>
  <c r="AJ83" i="8"/>
  <c r="AY83" i="8"/>
  <c r="BP83" i="8"/>
  <c r="BR83" i="8"/>
  <c r="BS83" i="8"/>
  <c r="BT83" i="8"/>
  <c r="M83" i="8"/>
  <c r="AG83" i="8"/>
  <c r="Q83" i="8"/>
  <c r="AP83" i="8"/>
  <c r="L83" i="8"/>
  <c r="AB83" i="8"/>
  <c r="N83" i="8"/>
  <c r="AV83" i="8"/>
  <c r="AC83" i="8"/>
  <c r="BB83" i="8"/>
  <c r="AA83" i="8"/>
  <c r="AT83" i="8"/>
  <c r="AF83" i="8"/>
  <c r="BK83" i="8"/>
  <c r="AO83" i="8"/>
  <c r="BN83" i="8"/>
  <c r="AS83" i="8"/>
  <c r="BI83" i="8"/>
  <c r="AU83" i="8"/>
  <c r="BA83" i="8"/>
  <c r="K83" i="8"/>
  <c r="BH83" i="8"/>
  <c r="BJ83" i="8"/>
  <c r="T83" i="8"/>
  <c r="BM83" i="8"/>
  <c r="Z83" i="8"/>
  <c r="AI83" i="8"/>
  <c r="AR83" i="8"/>
  <c r="P83" i="8"/>
  <c r="AX83" i="8"/>
  <c r="S83" i="8"/>
  <c r="J83" i="8"/>
  <c r="BG83" i="8"/>
  <c r="AH83" i="8"/>
  <c r="AE83" i="8"/>
  <c r="BO83" i="8"/>
  <c r="H83" i="8"/>
  <c r="I83" i="8"/>
  <c r="Y83" i="8"/>
  <c r="AW83" i="8"/>
  <c r="AQ83" i="8"/>
  <c r="V83" i="8"/>
  <c r="W83" i="8"/>
  <c r="X83" i="8"/>
  <c r="AN83" i="8"/>
  <c r="BL83" i="8"/>
  <c r="BC83" i="8"/>
  <c r="AK83" i="8"/>
  <c r="AL83" i="8"/>
  <c r="AM83" i="8"/>
  <c r="BF83" i="8"/>
  <c r="R83" i="8"/>
  <c r="BD83" i="8"/>
  <c r="O83" i="8"/>
  <c r="AZ83" i="8"/>
  <c r="BE83" i="8"/>
  <c r="AD83" i="8"/>
  <c r="AZ82" i="10"/>
  <c r="R82" i="10"/>
  <c r="O82" i="10"/>
  <c r="AV82" i="10"/>
  <c r="AI82" i="10"/>
  <c r="K82" i="10"/>
  <c r="BN83" i="11"/>
  <c r="BM83" i="11"/>
  <c r="AA83" i="11"/>
  <c r="S83" i="11"/>
  <c r="BC83" i="11"/>
  <c r="I51" i="5"/>
  <c r="BN51" i="5"/>
  <c r="AN51" i="5"/>
  <c r="N51" i="5"/>
  <c r="BS51" i="5"/>
  <c r="AB92" i="8"/>
  <c r="BO92" i="8"/>
  <c r="BB92" i="8"/>
  <c r="BA92" i="8"/>
  <c r="AS92" i="8"/>
  <c r="AP92" i="8"/>
  <c r="AZ92" i="8"/>
  <c r="AL92" i="8"/>
  <c r="I92" i="8"/>
  <c r="W92" i="8"/>
  <c r="V92" i="8"/>
  <c r="H92" i="8"/>
  <c r="U92" i="8"/>
  <c r="BP92" i="8"/>
  <c r="BK92" i="8"/>
  <c r="AE92" i="8"/>
  <c r="Q92" i="8"/>
  <c r="N92" i="8"/>
  <c r="BE92" i="8"/>
  <c r="BL92" i="8"/>
  <c r="BJ92" i="8"/>
  <c r="BR92" i="8"/>
  <c r="M92" i="8"/>
  <c r="AY92" i="8"/>
  <c r="AR92" i="8"/>
  <c r="BC92" i="8"/>
  <c r="BT92" i="8"/>
  <c r="BN92" i="8"/>
  <c r="AD92" i="8"/>
  <c r="AN92" i="8"/>
  <c r="BH92" i="8"/>
  <c r="AI92" i="8"/>
  <c r="P92" i="8"/>
  <c r="Z92" i="8"/>
  <c r="R92" i="8"/>
  <c r="AV92" i="8"/>
  <c r="BQ92" i="8"/>
  <c r="BF92" i="8"/>
  <c r="J92" i="8"/>
  <c r="AF92" i="8"/>
  <c r="AJ92" i="8"/>
  <c r="AQ92" i="8"/>
  <c r="AM92" i="8"/>
  <c r="AT92" i="8"/>
  <c r="X92" i="8"/>
  <c r="AC92" i="8"/>
  <c r="L92" i="8"/>
  <c r="O92" i="8"/>
  <c r="BS92" i="8"/>
  <c r="BM92" i="8"/>
  <c r="BD92" i="8"/>
  <c r="BI92" i="8"/>
  <c r="BG92" i="8"/>
  <c r="AX92" i="8"/>
  <c r="AO92" i="8"/>
  <c r="AW92" i="8"/>
  <c r="AU92" i="8"/>
  <c r="AG92" i="8"/>
  <c r="AA92" i="8"/>
  <c r="AK92" i="8"/>
  <c r="T92" i="8"/>
  <c r="Y92" i="8"/>
  <c r="AH92" i="8"/>
  <c r="S92" i="8"/>
  <c r="K92" i="8"/>
  <c r="AX96" i="8"/>
  <c r="BR51" i="5"/>
  <c r="F91" i="2"/>
  <c r="BL93" i="7"/>
  <c r="AN93" i="7"/>
  <c r="BK93" i="7"/>
  <c r="X93" i="7"/>
  <c r="BH93" i="7"/>
  <c r="P87" i="9"/>
  <c r="BG87" i="9"/>
  <c r="BC87" i="9"/>
  <c r="T87" i="9"/>
  <c r="L87" i="9"/>
  <c r="Z87" i="9"/>
  <c r="BK87" i="9"/>
  <c r="AU87" i="9"/>
  <c r="AQ87" i="9"/>
  <c r="BN87" i="9"/>
  <c r="BF87" i="9"/>
  <c r="AY87" i="9"/>
  <c r="AI87" i="9"/>
  <c r="AE87" i="9"/>
  <c r="AP87" i="9"/>
  <c r="AH87" i="9"/>
  <c r="AM87" i="9"/>
  <c r="W87" i="9"/>
  <c r="S87" i="9"/>
  <c r="R87" i="9"/>
  <c r="J87" i="9"/>
  <c r="AA87" i="9"/>
  <c r="K87" i="9"/>
  <c r="BT87" i="9"/>
  <c r="BM87" i="9"/>
  <c r="BD87" i="9"/>
  <c r="O87" i="9"/>
  <c r="BQ87" i="9"/>
  <c r="AV87" i="9"/>
  <c r="AO87" i="9"/>
  <c r="AF87" i="9"/>
  <c r="BI87" i="9"/>
  <c r="BE87" i="9"/>
  <c r="X87" i="9"/>
  <c r="Q87" i="9"/>
  <c r="H87" i="9"/>
  <c r="AW87" i="9"/>
  <c r="AS87" i="9"/>
  <c r="BR87" i="9"/>
  <c r="BJ87" i="9"/>
  <c r="BB87" i="9"/>
  <c r="BL87" i="9"/>
  <c r="AK87" i="9"/>
  <c r="AG87" i="9"/>
  <c r="AT87" i="9"/>
  <c r="AL87" i="9"/>
  <c r="AD87" i="9"/>
  <c r="AZ87" i="9"/>
  <c r="Y87" i="9"/>
  <c r="U87" i="9"/>
  <c r="V87" i="9"/>
  <c r="N87" i="9"/>
  <c r="BA87" i="9"/>
  <c r="AN87" i="9"/>
  <c r="M87" i="9"/>
  <c r="I87" i="9"/>
  <c r="BP87" i="9"/>
  <c r="BH87" i="9"/>
  <c r="AX87" i="9"/>
  <c r="AB87" i="9"/>
  <c r="BS87" i="9"/>
  <c r="BO87" i="9"/>
  <c r="AR87" i="9"/>
  <c r="AJ87" i="9"/>
  <c r="AC87" i="9"/>
  <c r="M89" i="11"/>
  <c r="O89" i="11"/>
  <c r="AJ89" i="11"/>
  <c r="BL89" i="11"/>
  <c r="X89" i="11"/>
  <c r="BJ93" i="7"/>
  <c r="AK93" i="7"/>
  <c r="BQ84" i="12"/>
  <c r="R84" i="12"/>
  <c r="BO84" i="12"/>
  <c r="BE84" i="12"/>
  <c r="T84" i="12"/>
  <c r="AY31" i="11"/>
  <c r="AQ31" i="11"/>
  <c r="AU31" i="11"/>
  <c r="AE66" i="11"/>
  <c r="AI66" i="11"/>
  <c r="AM66" i="11"/>
  <c r="BA31" i="7"/>
  <c r="AY31" i="7"/>
  <c r="AV35" i="12"/>
  <c r="AP35" i="12"/>
  <c r="AE69" i="7"/>
  <c r="BP25" i="9"/>
  <c r="AN25" i="9"/>
  <c r="AC25" i="9"/>
  <c r="S25" i="9"/>
  <c r="AD25" i="9"/>
  <c r="AY25" i="9"/>
  <c r="AZ25" i="9"/>
  <c r="AE25" i="9"/>
  <c r="AO25" i="9"/>
  <c r="K25" i="9"/>
  <c r="BS25" i="9"/>
  <c r="BK25" i="9"/>
  <c r="R25" i="9"/>
  <c r="W25" i="9"/>
  <c r="O25" i="9"/>
  <c r="BJ25" i="9"/>
  <c r="AV25" i="9"/>
  <c r="AS25" i="9"/>
  <c r="BL25" i="9"/>
  <c r="BA25" i="9"/>
  <c r="AX25" i="9"/>
  <c r="AJ25" i="9"/>
  <c r="AG25" i="9"/>
  <c r="AP25" i="9"/>
  <c r="AL25" i="9"/>
  <c r="X25" i="9"/>
  <c r="U25" i="9"/>
  <c r="T25" i="9"/>
  <c r="Z25" i="9"/>
  <c r="L25" i="9"/>
  <c r="I25" i="9"/>
  <c r="BD25" i="9"/>
  <c r="H25" i="9"/>
  <c r="N25" i="9"/>
  <c r="BR25" i="9"/>
  <c r="AB25" i="9"/>
  <c r="AM25" i="9"/>
  <c r="BG25" i="9"/>
  <c r="BI25" i="9"/>
  <c r="BF25" i="9"/>
  <c r="AU25" i="9"/>
  <c r="Q25" i="9"/>
  <c r="AW25" i="9"/>
  <c r="AT25" i="9"/>
  <c r="BO25" i="9"/>
  <c r="BN25" i="9"/>
  <c r="BC25" i="9"/>
  <c r="AK25" i="9"/>
  <c r="AH25" i="9"/>
  <c r="AR25" i="9"/>
  <c r="AI25" i="9"/>
  <c r="Y25" i="9"/>
  <c r="V25" i="9"/>
  <c r="AA25" i="9"/>
  <c r="P25" i="9"/>
  <c r="M25" i="9"/>
  <c r="J25" i="9"/>
  <c r="BM25" i="9"/>
  <c r="BB25" i="9"/>
  <c r="BT25" i="9"/>
  <c r="BQ25" i="9"/>
  <c r="AQ25" i="9"/>
  <c r="AF25" i="9"/>
  <c r="BH25" i="9"/>
  <c r="BE25" i="9"/>
  <c r="Z66" i="7"/>
  <c r="W66" i="7"/>
  <c r="Z20" i="5"/>
  <c r="Q20" i="5"/>
  <c r="AT20" i="5"/>
  <c r="AM20" i="5"/>
  <c r="AP20" i="5"/>
  <c r="AG20" i="5"/>
  <c r="AJ20" i="5"/>
  <c r="AK20" i="5"/>
  <c r="R20" i="5"/>
  <c r="AH20" i="5"/>
  <c r="AF20" i="5"/>
  <c r="AU20" i="5"/>
  <c r="AC20" i="5"/>
  <c r="T20" i="5"/>
  <c r="AO20" i="5"/>
  <c r="AA20" i="5"/>
  <c r="P20" i="5"/>
  <c r="U20" i="5"/>
  <c r="S20" i="5"/>
  <c r="AA27" i="10"/>
  <c r="AG27" i="10"/>
  <c r="BA27" i="10"/>
  <c r="BF60" i="9"/>
  <c r="N60" i="9"/>
  <c r="BP60" i="9"/>
  <c r="BA60" i="9"/>
  <c r="BN60" i="9"/>
  <c r="Q60" i="9"/>
  <c r="BM60" i="9"/>
  <c r="BO60" i="9"/>
  <c r="BJ60" i="9"/>
  <c r="J60" i="9"/>
  <c r="R60" i="9"/>
  <c r="AQ60" i="9"/>
  <c r="AB60" i="9"/>
  <c r="L60" i="9"/>
  <c r="AO60" i="9"/>
  <c r="Z60" i="9"/>
  <c r="P60" i="9"/>
  <c r="U60" i="9"/>
  <c r="BD60" i="9"/>
  <c r="K60" i="9"/>
  <c r="AE60" i="9"/>
  <c r="BK60" i="9"/>
  <c r="AK60" i="9"/>
  <c r="BS60" i="9"/>
  <c r="AC60" i="9"/>
  <c r="AU60" i="9"/>
  <c r="AY60" i="9"/>
  <c r="BB60" i="9"/>
  <c r="V60" i="9"/>
  <c r="AR60" i="9"/>
  <c r="AI60" i="9"/>
  <c r="AM60" i="9"/>
  <c r="BQ60" i="9"/>
  <c r="AL60" i="9"/>
  <c r="BG60" i="9"/>
  <c r="AF60" i="9"/>
  <c r="S60" i="9"/>
  <c r="AA60" i="9"/>
  <c r="BC60" i="9"/>
  <c r="I60" i="9"/>
  <c r="M60" i="9"/>
  <c r="T60" i="9"/>
  <c r="AH60" i="9"/>
  <c r="O60" i="9"/>
  <c r="BR60" i="9"/>
  <c r="Y60" i="9"/>
  <c r="AD60" i="9"/>
  <c r="AT60" i="9"/>
  <c r="AX60" i="9"/>
  <c r="BT60" i="9"/>
  <c r="AP60" i="9"/>
  <c r="AS60" i="9"/>
  <c r="AG60" i="9"/>
  <c r="BH60" i="9"/>
  <c r="BE60" i="9"/>
  <c r="BI60" i="9"/>
  <c r="BL60" i="9"/>
  <c r="AV60" i="9"/>
  <c r="AZ60" i="9"/>
  <c r="AJ60" i="9"/>
  <c r="H60" i="9"/>
  <c r="AW60" i="9"/>
  <c r="AN60" i="9"/>
  <c r="X60" i="9"/>
  <c r="W60" i="9"/>
  <c r="AD28" i="12"/>
  <c r="AP28" i="12"/>
  <c r="AX45" i="7"/>
  <c r="AS45" i="7"/>
  <c r="AI48" i="11"/>
  <c r="X25" i="7"/>
  <c r="AN48" i="8"/>
  <c r="BR48" i="8"/>
  <c r="BS48" i="8"/>
  <c r="AH48" i="8"/>
  <c r="AE48" i="8"/>
  <c r="AB48" i="8"/>
  <c r="V48" i="8"/>
  <c r="BI48" i="8"/>
  <c r="BG48" i="8"/>
  <c r="S48" i="8"/>
  <c r="P48" i="8"/>
  <c r="J48" i="8"/>
  <c r="AW48" i="8"/>
  <c r="AU48" i="8"/>
  <c r="BN48" i="8"/>
  <c r="BK48" i="8"/>
  <c r="BE48" i="8"/>
  <c r="BQ48" i="8"/>
  <c r="AK48" i="8"/>
  <c r="AI48" i="8"/>
  <c r="AY48" i="8"/>
  <c r="AS48" i="8"/>
  <c r="AP48" i="8"/>
  <c r="Y48" i="8"/>
  <c r="W48" i="8"/>
  <c r="AG48" i="8"/>
  <c r="AD48" i="8"/>
  <c r="AA48" i="8"/>
  <c r="M48" i="8"/>
  <c r="K48" i="8"/>
  <c r="R48" i="8"/>
  <c r="O48" i="8"/>
  <c r="I48" i="8"/>
  <c r="BT48" i="8"/>
  <c r="BP48" i="8"/>
  <c r="BM48" i="8"/>
  <c r="BJ48" i="8"/>
  <c r="BD48" i="8"/>
  <c r="BH48" i="8"/>
  <c r="BA48" i="8"/>
  <c r="AX48" i="8"/>
  <c r="AR48" i="8"/>
  <c r="AO48" i="8"/>
  <c r="AV48" i="8"/>
  <c r="AL48" i="8"/>
  <c r="AF48" i="8"/>
  <c r="AC48" i="8"/>
  <c r="Z48" i="8"/>
  <c r="AJ48" i="8"/>
  <c r="T48" i="8"/>
  <c r="Q48" i="8"/>
  <c r="N48" i="8"/>
  <c r="H48" i="8"/>
  <c r="U48" i="8"/>
  <c r="AM48" i="8"/>
  <c r="BC48" i="8"/>
  <c r="X48" i="8"/>
  <c r="BO48" i="8"/>
  <c r="BL48" i="8"/>
  <c r="BF48" i="8"/>
  <c r="L48" i="8"/>
  <c r="AZ48" i="8"/>
  <c r="AT48" i="8"/>
  <c r="AQ48" i="8"/>
  <c r="AZ21" i="11"/>
  <c r="AX25" i="12"/>
  <c r="AI25" i="12"/>
  <c r="AR27" i="7"/>
  <c r="Z27" i="7"/>
  <c r="X40" i="7"/>
  <c r="AU40" i="11"/>
  <c r="BT55" i="8"/>
  <c r="AJ55" i="8"/>
  <c r="M55" i="8"/>
  <c r="L55" i="8"/>
  <c r="K55" i="8"/>
  <c r="N55" i="8"/>
  <c r="BS55" i="8"/>
  <c r="AL55" i="8"/>
  <c r="AU55" i="8"/>
  <c r="AW55" i="8"/>
  <c r="Q55" i="8"/>
  <c r="BM55" i="8"/>
  <c r="AA55" i="8"/>
  <c r="AC55" i="8"/>
  <c r="V55" i="8"/>
  <c r="J55" i="8"/>
  <c r="AK55" i="8"/>
  <c r="Y55" i="8"/>
  <c r="BR55" i="8"/>
  <c r="O55" i="8"/>
  <c r="AM55" i="8"/>
  <c r="AY55" i="8"/>
  <c r="AX55" i="8"/>
  <c r="Z55" i="8"/>
  <c r="BK55" i="8"/>
  <c r="BF55" i="8"/>
  <c r="X55" i="8"/>
  <c r="BI55" i="8"/>
  <c r="W55" i="8"/>
  <c r="AV55" i="8"/>
  <c r="BQ55" i="8"/>
  <c r="AO55" i="8"/>
  <c r="AT55" i="8"/>
  <c r="AI55" i="8"/>
  <c r="BH55" i="8"/>
  <c r="BG55" i="8"/>
  <c r="BJ55" i="8"/>
  <c r="AH55" i="8"/>
  <c r="AB55" i="8"/>
  <c r="R55" i="8"/>
  <c r="AN55" i="8"/>
  <c r="AD55" i="8"/>
  <c r="H55" i="8"/>
  <c r="AZ55" i="8"/>
  <c r="AP55" i="8"/>
  <c r="T55" i="8"/>
  <c r="I55" i="8"/>
  <c r="BL55" i="8"/>
  <c r="BB55" i="8"/>
  <c r="AF55" i="8"/>
  <c r="U55" i="8"/>
  <c r="BN55" i="8"/>
  <c r="AR55" i="8"/>
  <c r="AG55" i="8"/>
  <c r="BD55" i="8"/>
  <c r="AS55" i="8"/>
  <c r="BP55" i="8"/>
  <c r="BE55" i="8"/>
  <c r="S55" i="8"/>
  <c r="AE55" i="8"/>
  <c r="AQ55" i="8"/>
  <c r="BC55" i="8"/>
  <c r="P55" i="8"/>
  <c r="BO55" i="8"/>
  <c r="BT65" i="8"/>
  <c r="BG65" i="8"/>
  <c r="BB65" i="8"/>
  <c r="BN65" i="8"/>
  <c r="AD65" i="8"/>
  <c r="R65" i="8"/>
  <c r="W65" i="8"/>
  <c r="AT65" i="8"/>
  <c r="AR65" i="8"/>
  <c r="AC65" i="8"/>
  <c r="BJ65" i="8"/>
  <c r="AP65" i="8"/>
  <c r="AH65" i="8"/>
  <c r="AF65" i="8"/>
  <c r="Q65" i="8"/>
  <c r="AX65" i="8"/>
  <c r="V65" i="8"/>
  <c r="T65" i="8"/>
  <c r="BL65" i="8"/>
  <c r="AL65" i="8"/>
  <c r="Y65" i="8"/>
  <c r="J65" i="8"/>
  <c r="H65" i="8"/>
  <c r="AZ65" i="8"/>
  <c r="Z65" i="8"/>
  <c r="BI65" i="8"/>
  <c r="BQ65" i="8"/>
  <c r="BO65" i="8"/>
  <c r="AN65" i="8"/>
  <c r="N65" i="8"/>
  <c r="BE65" i="8"/>
  <c r="BC65" i="8"/>
  <c r="AB65" i="8"/>
  <c r="AK65" i="8"/>
  <c r="X65" i="8"/>
  <c r="AI65" i="8"/>
  <c r="AS65" i="8"/>
  <c r="AQ65" i="8"/>
  <c r="P65" i="8"/>
  <c r="BH65" i="8"/>
  <c r="BS65" i="8"/>
  <c r="AG65" i="8"/>
  <c r="AE65" i="8"/>
  <c r="BK65" i="8"/>
  <c r="L65" i="8"/>
  <c r="AJ65" i="8"/>
  <c r="U65" i="8"/>
  <c r="S65" i="8"/>
  <c r="AY65" i="8"/>
  <c r="AV65" i="8"/>
  <c r="M65" i="8"/>
  <c r="I65" i="8"/>
  <c r="BM65" i="8"/>
  <c r="AM65" i="8"/>
  <c r="K65" i="8"/>
  <c r="AW65" i="8"/>
  <c r="BR65" i="8"/>
  <c r="BP65" i="8"/>
  <c r="BA65" i="8"/>
  <c r="AA65" i="8"/>
  <c r="AU65" i="8"/>
  <c r="BF65" i="8"/>
  <c r="BD65" i="8"/>
  <c r="AO65" i="8"/>
  <c r="O65" i="8"/>
  <c r="AD22" i="10"/>
  <c r="R22" i="10"/>
  <c r="AE44" i="7"/>
  <c r="AO44" i="7"/>
  <c r="AM44" i="7"/>
  <c r="AD21" i="10"/>
  <c r="AR21" i="10"/>
  <c r="AS21" i="10"/>
  <c r="AG19" i="5"/>
  <c r="AC18" i="10"/>
  <c r="R18" i="10"/>
  <c r="U18" i="10"/>
  <c r="AN62" i="10"/>
  <c r="T33" i="12"/>
  <c r="AM33" i="12"/>
  <c r="AF33" i="12"/>
  <c r="AU37" i="12"/>
  <c r="AS37" i="12"/>
  <c r="T20" i="10"/>
  <c r="X20" i="10"/>
  <c r="AN20" i="10"/>
  <c r="M61" i="7"/>
  <c r="AB69" i="7"/>
  <c r="AV42" i="10"/>
  <c r="AZ42" i="10"/>
  <c r="AC54" i="7"/>
  <c r="Q54" i="7"/>
  <c r="AS54" i="12"/>
  <c r="AT54" i="12"/>
  <c r="AR54" i="12"/>
  <c r="AD51" i="10"/>
  <c r="AL51" i="10"/>
  <c r="Z19" i="11"/>
  <c r="BR45" i="9"/>
  <c r="AI45" i="9"/>
  <c r="V45" i="9"/>
  <c r="BA45" i="9"/>
  <c r="AY45" i="9"/>
  <c r="AN45" i="9"/>
  <c r="AZ45" i="9"/>
  <c r="BD45" i="9"/>
  <c r="N45" i="9"/>
  <c r="U45" i="9"/>
  <c r="BF45" i="9"/>
  <c r="AD45" i="9"/>
  <c r="AO45" i="9"/>
  <c r="BI45" i="9"/>
  <c r="AM45" i="9"/>
  <c r="O45" i="9"/>
  <c r="W45" i="9"/>
  <c r="AW45" i="9"/>
  <c r="BB45" i="9"/>
  <c r="BG45" i="9"/>
  <c r="H45" i="9"/>
  <c r="AK45" i="9"/>
  <c r="BQ45" i="9"/>
  <c r="AR45" i="9"/>
  <c r="BC45" i="9"/>
  <c r="Y45" i="9"/>
  <c r="AC45" i="9"/>
  <c r="M45" i="9"/>
  <c r="K45" i="9"/>
  <c r="AG45" i="9"/>
  <c r="BT45" i="9"/>
  <c r="BE45" i="9"/>
  <c r="R45" i="9"/>
  <c r="AH45" i="9"/>
  <c r="BH45" i="9"/>
  <c r="AP45" i="9"/>
  <c r="BN45" i="9"/>
  <c r="S45" i="9"/>
  <c r="BJ45" i="9"/>
  <c r="AV45" i="9"/>
  <c r="AA45" i="9"/>
  <c r="BO45" i="9"/>
  <c r="AX45" i="9"/>
  <c r="AJ45" i="9"/>
  <c r="J45" i="9"/>
  <c r="I45" i="9"/>
  <c r="T45" i="9"/>
  <c r="AL45" i="9"/>
  <c r="X45" i="9"/>
  <c r="AB45" i="9"/>
  <c r="BS45" i="9"/>
  <c r="BP45" i="9"/>
  <c r="Z45" i="9"/>
  <c r="L45" i="9"/>
  <c r="AQ45" i="9"/>
  <c r="BL45" i="9"/>
  <c r="Q45" i="9"/>
  <c r="AF45" i="9"/>
  <c r="AU45" i="9"/>
  <c r="BM45" i="9"/>
  <c r="P45" i="9"/>
  <c r="AS45" i="9"/>
  <c r="AE45" i="9"/>
  <c r="BK45" i="9"/>
  <c r="AT45" i="9"/>
  <c r="BF63" i="11"/>
  <c r="AK53" i="7"/>
  <c r="AQ53" i="7"/>
  <c r="AN53" i="7"/>
  <c r="AM47" i="11"/>
  <c r="U47" i="11"/>
  <c r="O21" i="7"/>
  <c r="Z21" i="7"/>
  <c r="AS24" i="10"/>
  <c r="AJ24" i="10"/>
  <c r="AU24" i="10"/>
  <c r="S24" i="11"/>
  <c r="AU24" i="11"/>
  <c r="AR24" i="11"/>
  <c r="AH32" i="7"/>
  <c r="AV32" i="7"/>
  <c r="AG52" i="10"/>
  <c r="AD47" i="7"/>
  <c r="AA72" i="11"/>
  <c r="T72" i="11"/>
  <c r="AL62" i="11"/>
  <c r="AN62" i="11"/>
  <c r="AU62" i="11"/>
  <c r="AQ47" i="10"/>
  <c r="BG58" i="11"/>
  <c r="AW58" i="11"/>
  <c r="AX58" i="11"/>
  <c r="AY19" i="7"/>
  <c r="AI19" i="7"/>
  <c r="AK19" i="7"/>
  <c r="AS19" i="7"/>
  <c r="AP19" i="7"/>
  <c r="BB57" i="10"/>
  <c r="AP57" i="10"/>
  <c r="AI29" i="10"/>
  <c r="Y29" i="10"/>
  <c r="AW29" i="10"/>
  <c r="AG29" i="10"/>
  <c r="AC43" i="7"/>
  <c r="AH43" i="7"/>
  <c r="AO69" i="8"/>
  <c r="AU69" i="8"/>
  <c r="AN69" i="8"/>
  <c r="BL69" i="8"/>
  <c r="AC69" i="8"/>
  <c r="K69" i="8"/>
  <c r="BG69" i="8"/>
  <c r="AB69" i="8"/>
  <c r="BK69" i="8"/>
  <c r="AI69" i="8"/>
  <c r="AZ69" i="8"/>
  <c r="BA69" i="8"/>
  <c r="W69" i="8"/>
  <c r="BS69" i="8"/>
  <c r="Q69" i="8"/>
  <c r="P69" i="8"/>
  <c r="BM69" i="8"/>
  <c r="BB69" i="8"/>
  <c r="U69" i="8"/>
  <c r="AH69" i="8"/>
  <c r="AV69" i="8"/>
  <c r="BI69" i="8"/>
  <c r="BN69" i="8"/>
  <c r="AG69" i="8"/>
  <c r="AT69" i="8"/>
  <c r="BH69" i="8"/>
  <c r="AS69" i="8"/>
  <c r="BF69" i="8"/>
  <c r="BT69" i="8"/>
  <c r="BE69" i="8"/>
  <c r="BR69" i="8"/>
  <c r="N69" i="8"/>
  <c r="BQ69" i="8"/>
  <c r="Z69" i="8"/>
  <c r="AL69" i="8"/>
  <c r="H69" i="8"/>
  <c r="AX69" i="8"/>
  <c r="O69" i="8"/>
  <c r="S69" i="8"/>
  <c r="T69" i="8"/>
  <c r="BJ69" i="8"/>
  <c r="AA69" i="8"/>
  <c r="AE69" i="8"/>
  <c r="AF69" i="8"/>
  <c r="M69" i="8"/>
  <c r="AM69" i="8"/>
  <c r="R69" i="8"/>
  <c r="AQ69" i="8"/>
  <c r="AR69" i="8"/>
  <c r="L69" i="8"/>
  <c r="Y69" i="8"/>
  <c r="AY69" i="8"/>
  <c r="AD69" i="8"/>
  <c r="BC69" i="8"/>
  <c r="BD69" i="8"/>
  <c r="J69" i="8"/>
  <c r="X69" i="8"/>
  <c r="AK69" i="8"/>
  <c r="AP69" i="8"/>
  <c r="BO69" i="8"/>
  <c r="BP69" i="8"/>
  <c r="I69" i="8"/>
  <c r="V69" i="8"/>
  <c r="AJ69" i="8"/>
  <c r="AW69" i="8"/>
  <c r="AW31" i="11"/>
  <c r="AT31" i="11"/>
  <c r="BA66" i="11"/>
  <c r="AP66" i="11"/>
  <c r="AK66" i="11"/>
  <c r="BQ68" i="8"/>
  <c r="AL68" i="8"/>
  <c r="AM68" i="8"/>
  <c r="N68" i="8"/>
  <c r="AX68" i="8"/>
  <c r="Z68" i="8"/>
  <c r="I68" i="8"/>
  <c r="BJ68" i="8"/>
  <c r="AB68" i="8"/>
  <c r="AG68" i="8"/>
  <c r="BI68" i="8"/>
  <c r="AS68" i="8"/>
  <c r="BL68" i="8"/>
  <c r="AN68" i="8"/>
  <c r="U68" i="8"/>
  <c r="BE68" i="8"/>
  <c r="P68" i="8"/>
  <c r="O68" i="8"/>
  <c r="AZ68" i="8"/>
  <c r="AY68" i="8"/>
  <c r="AA68" i="8"/>
  <c r="BK68" i="8"/>
  <c r="BA68" i="8"/>
  <c r="BN68" i="8"/>
  <c r="S68" i="8"/>
  <c r="AF68" i="8"/>
  <c r="AT68" i="8"/>
  <c r="BG68" i="8"/>
  <c r="AK68" i="8"/>
  <c r="BM68" i="8"/>
  <c r="AE68" i="8"/>
  <c r="AR68" i="8"/>
  <c r="BF68" i="8"/>
  <c r="BS68" i="8"/>
  <c r="AW68" i="8"/>
  <c r="AQ68" i="8"/>
  <c r="BD68" i="8"/>
  <c r="BR68" i="8"/>
  <c r="BC68" i="8"/>
  <c r="BP68" i="8"/>
  <c r="BO68" i="8"/>
  <c r="L68" i="8"/>
  <c r="X68" i="8"/>
  <c r="AJ68" i="8"/>
  <c r="AV68" i="8"/>
  <c r="R68" i="8"/>
  <c r="K68" i="8"/>
  <c r="BH68" i="8"/>
  <c r="Q68" i="8"/>
  <c r="AD68" i="8"/>
  <c r="J68" i="8"/>
  <c r="W68" i="8"/>
  <c r="BT68" i="8"/>
  <c r="AC68" i="8"/>
  <c r="AP68" i="8"/>
  <c r="H68" i="8"/>
  <c r="V68" i="8"/>
  <c r="AI68" i="8"/>
  <c r="M68" i="8"/>
  <c r="AO68" i="8"/>
  <c r="BB68" i="8"/>
  <c r="T68" i="8"/>
  <c r="AH68" i="8"/>
  <c r="AU68" i="8"/>
  <c r="Y68" i="8"/>
  <c r="BB23" i="8"/>
  <c r="BG23" i="8"/>
  <c r="BF23" i="8"/>
  <c r="BR23" i="8"/>
  <c r="BI23" i="8"/>
  <c r="K23" i="8"/>
  <c r="AY23" i="8"/>
  <c r="AT23" i="8"/>
  <c r="AO23" i="8"/>
  <c r="AN23" i="8"/>
  <c r="AM23" i="8"/>
  <c r="M23" i="8"/>
  <c r="J23" i="8"/>
  <c r="BN23" i="8"/>
  <c r="AK23" i="8"/>
  <c r="AB23" i="8"/>
  <c r="AJ23" i="8"/>
  <c r="Z23" i="8"/>
  <c r="Y23" i="8"/>
  <c r="X23" i="8"/>
  <c r="I23" i="8"/>
  <c r="W23" i="8"/>
  <c r="AD23" i="8"/>
  <c r="BP23" i="8"/>
  <c r="AL23" i="8"/>
  <c r="L23" i="8"/>
  <c r="AV23" i="8"/>
  <c r="BD23" i="8"/>
  <c r="BA23" i="8"/>
  <c r="AA23" i="8"/>
  <c r="BK23" i="8"/>
  <c r="AR23" i="8"/>
  <c r="BS23" i="8"/>
  <c r="AP23" i="8"/>
  <c r="AF23" i="8"/>
  <c r="BH23" i="8"/>
  <c r="N23" i="8"/>
  <c r="Q23" i="8"/>
  <c r="V23" i="8"/>
  <c r="T23" i="8"/>
  <c r="AC23" i="8"/>
  <c r="P23" i="8"/>
  <c r="AI23" i="8"/>
  <c r="R23" i="8"/>
  <c r="H23" i="8"/>
  <c r="AU23" i="8"/>
  <c r="AH23" i="8"/>
  <c r="AX23" i="8"/>
  <c r="BQ23" i="8"/>
  <c r="BO23" i="8"/>
  <c r="BJ23" i="8"/>
  <c r="AW23" i="8"/>
  <c r="BM23" i="8"/>
  <c r="BE23" i="8"/>
  <c r="BC23" i="8"/>
  <c r="BL23" i="8"/>
  <c r="AS23" i="8"/>
  <c r="AQ23" i="8"/>
  <c r="AG23" i="8"/>
  <c r="AE23" i="8"/>
  <c r="U23" i="8"/>
  <c r="S23" i="8"/>
  <c r="BT23" i="8"/>
  <c r="O23" i="8"/>
  <c r="BF35" i="12"/>
  <c r="AU35" i="12"/>
  <c r="AG28" i="5"/>
  <c r="AW51" i="8"/>
  <c r="AD51" i="8"/>
  <c r="BA51" i="8"/>
  <c r="AA51" i="8"/>
  <c r="L51" i="8"/>
  <c r="V51" i="8"/>
  <c r="M51" i="8"/>
  <c r="AO51" i="8"/>
  <c r="O51" i="8"/>
  <c r="BP51" i="8"/>
  <c r="BQ51" i="8"/>
  <c r="BG51" i="8"/>
  <c r="AC51" i="8"/>
  <c r="BJ51" i="8"/>
  <c r="BD51" i="8"/>
  <c r="AS51" i="8"/>
  <c r="AI51" i="8"/>
  <c r="Q51" i="8"/>
  <c r="AX51" i="8"/>
  <c r="AR51" i="8"/>
  <c r="U51" i="8"/>
  <c r="K51" i="8"/>
  <c r="BL51" i="8"/>
  <c r="AL51" i="8"/>
  <c r="AF51" i="8"/>
  <c r="BO51" i="8"/>
  <c r="BF51" i="8"/>
  <c r="AZ51" i="8"/>
  <c r="Z51" i="8"/>
  <c r="T51" i="8"/>
  <c r="AQ51" i="8"/>
  <c r="AH51" i="8"/>
  <c r="AN51" i="8"/>
  <c r="N51" i="8"/>
  <c r="H51" i="8"/>
  <c r="S51" i="8"/>
  <c r="J51" i="8"/>
  <c r="AB51" i="8"/>
  <c r="BT51" i="8"/>
  <c r="BS51" i="8"/>
  <c r="BN51" i="8"/>
  <c r="BE51" i="8"/>
  <c r="P51" i="8"/>
  <c r="BH51" i="8"/>
  <c r="AU51" i="8"/>
  <c r="AP51" i="8"/>
  <c r="AG51" i="8"/>
  <c r="Y51" i="8"/>
  <c r="BK51" i="8"/>
  <c r="AV51" i="8"/>
  <c r="W51" i="8"/>
  <c r="R51" i="8"/>
  <c r="I51" i="8"/>
  <c r="AY51" i="8"/>
  <c r="AJ51" i="8"/>
  <c r="BR51" i="8"/>
  <c r="BI51" i="8"/>
  <c r="BC51" i="8"/>
  <c r="BB51" i="8"/>
  <c r="BM51" i="8"/>
  <c r="AM51" i="8"/>
  <c r="X51" i="8"/>
  <c r="AT51" i="8"/>
  <c r="AK51" i="8"/>
  <c r="AE51" i="8"/>
  <c r="AL25" i="5"/>
  <c r="AU25" i="5"/>
  <c r="AX25" i="5"/>
  <c r="AB26" i="9"/>
  <c r="AV26" i="9"/>
  <c r="AS26" i="9"/>
  <c r="AO26" i="9"/>
  <c r="AJ26" i="9"/>
  <c r="AC26" i="9"/>
  <c r="BJ26" i="9"/>
  <c r="AU26" i="9"/>
  <c r="P26" i="9"/>
  <c r="BN26" i="9"/>
  <c r="BE26" i="9"/>
  <c r="AN26" i="9"/>
  <c r="AX26" i="9"/>
  <c r="AI26" i="9"/>
  <c r="BB26" i="9"/>
  <c r="AR26" i="9"/>
  <c r="AL26" i="9"/>
  <c r="W26" i="9"/>
  <c r="AF26" i="9"/>
  <c r="X26" i="9"/>
  <c r="R26" i="9"/>
  <c r="Z26" i="9"/>
  <c r="K26" i="9"/>
  <c r="L26" i="9"/>
  <c r="BM26" i="9"/>
  <c r="BO26" i="9"/>
  <c r="N26" i="9"/>
  <c r="BR26" i="9"/>
  <c r="BT26" i="9"/>
  <c r="AQ26" i="9"/>
  <c r="BI26" i="9"/>
  <c r="BF26" i="9"/>
  <c r="BA26" i="9"/>
  <c r="U26" i="9"/>
  <c r="AW26" i="9"/>
  <c r="AT26" i="9"/>
  <c r="AE26" i="9"/>
  <c r="BL26" i="9"/>
  <c r="S26" i="9"/>
  <c r="BK26" i="9"/>
  <c r="AK26" i="9"/>
  <c r="AH26" i="9"/>
  <c r="I26" i="9"/>
  <c r="AP26" i="9"/>
  <c r="BP26" i="9"/>
  <c r="AY26" i="9"/>
  <c r="Y26" i="9"/>
  <c r="V26" i="9"/>
  <c r="BQ26" i="9"/>
  <c r="T26" i="9"/>
  <c r="Q26" i="9"/>
  <c r="AM26" i="9"/>
  <c r="M26" i="9"/>
  <c r="J26" i="9"/>
  <c r="AZ26" i="9"/>
  <c r="BD26" i="9"/>
  <c r="BH26" i="9"/>
  <c r="AA26" i="9"/>
  <c r="BS26" i="9"/>
  <c r="BC26" i="9"/>
  <c r="AD26" i="9"/>
  <c r="O26" i="9"/>
  <c r="BG26" i="9"/>
  <c r="AG26" i="9"/>
  <c r="H26" i="9"/>
  <c r="AD66" i="7"/>
  <c r="K66" i="7"/>
  <c r="X27" i="10"/>
  <c r="AC27" i="10"/>
  <c r="AD27" i="10"/>
  <c r="AS43" i="8"/>
  <c r="BG43" i="8"/>
  <c r="BF43" i="8"/>
  <c r="BT43" i="8"/>
  <c r="BS43" i="8"/>
  <c r="AR43" i="8"/>
  <c r="AU43" i="8"/>
  <c r="BI43" i="8"/>
  <c r="AZ43" i="8"/>
  <c r="AT43" i="8"/>
  <c r="BP43" i="8"/>
  <c r="BH43" i="8"/>
  <c r="BD43" i="8"/>
  <c r="AY43" i="8"/>
  <c r="BR43" i="8"/>
  <c r="BM43" i="8"/>
  <c r="AW43" i="8"/>
  <c r="AX43" i="8"/>
  <c r="BK43" i="8"/>
  <c r="BL43" i="8"/>
  <c r="BO43" i="8"/>
  <c r="BE43" i="8"/>
  <c r="AV43" i="8"/>
  <c r="BA43" i="8"/>
  <c r="BJ43" i="8"/>
  <c r="BQ43" i="8"/>
  <c r="AO43" i="8"/>
  <c r="AK43" i="8"/>
  <c r="P43" i="8"/>
  <c r="AA43" i="8"/>
  <c r="W43" i="8"/>
  <c r="N43" i="8"/>
  <c r="M43" i="8"/>
  <c r="I43" i="8"/>
  <c r="AC43" i="8"/>
  <c r="AN43" i="8"/>
  <c r="AJ43" i="8"/>
  <c r="AB43" i="8"/>
  <c r="Z43" i="8"/>
  <c r="V43" i="8"/>
  <c r="Q43" i="8"/>
  <c r="L43" i="8"/>
  <c r="H43" i="8"/>
  <c r="O43" i="8"/>
  <c r="AM43" i="8"/>
  <c r="AI43" i="8"/>
  <c r="Y43" i="8"/>
  <c r="U43" i="8"/>
  <c r="K43" i="8"/>
  <c r="AH43" i="8"/>
  <c r="AL43" i="8"/>
  <c r="T43" i="8"/>
  <c r="X43" i="8"/>
  <c r="AG43" i="8"/>
  <c r="J43" i="8"/>
  <c r="AF43" i="8"/>
  <c r="R43" i="8"/>
  <c r="S43" i="8"/>
  <c r="AD43" i="8"/>
  <c r="AE43" i="8"/>
  <c r="AP43" i="8"/>
  <c r="AQ43" i="8"/>
  <c r="BB43" i="8"/>
  <c r="BC43" i="8"/>
  <c r="BN43" i="8"/>
  <c r="AC28" i="12"/>
  <c r="AN43" i="7"/>
  <c r="AW45" i="7"/>
  <c r="AT45" i="7"/>
  <c r="Z45" i="7"/>
  <c r="AQ48" i="11"/>
  <c r="AF25" i="7"/>
  <c r="AB53" i="9"/>
  <c r="R53" i="9"/>
  <c r="AF53" i="9"/>
  <c r="X53" i="9"/>
  <c r="BD53" i="9"/>
  <c r="BN53" i="9"/>
  <c r="W53" i="9"/>
  <c r="AH53" i="9"/>
  <c r="T53" i="9"/>
  <c r="AZ53" i="9"/>
  <c r="AC53" i="9"/>
  <c r="Q53" i="9"/>
  <c r="L53" i="9"/>
  <c r="BT53" i="9"/>
  <c r="BG53" i="9"/>
  <c r="BA53" i="9"/>
  <c r="AP53" i="9"/>
  <c r="BL53" i="9"/>
  <c r="AG53" i="9"/>
  <c r="BP53" i="9"/>
  <c r="AV53" i="9"/>
  <c r="BF53" i="9"/>
  <c r="P53" i="9"/>
  <c r="AT53" i="9"/>
  <c r="BH53" i="9"/>
  <c r="AO53" i="9"/>
  <c r="BO53" i="9"/>
  <c r="AE53" i="9"/>
  <c r="BM53" i="9"/>
  <c r="BE53" i="9"/>
  <c r="AD53" i="9"/>
  <c r="AU53" i="9"/>
  <c r="J53" i="9"/>
  <c r="AS53" i="9"/>
  <c r="K53" i="9"/>
  <c r="H53" i="9"/>
  <c r="AQ53" i="9"/>
  <c r="I53" i="9"/>
  <c r="BS53" i="9"/>
  <c r="AR53" i="9"/>
  <c r="S53" i="9"/>
  <c r="AI53" i="9"/>
  <c r="AW53" i="9"/>
  <c r="BK53" i="9"/>
  <c r="AK53" i="9"/>
  <c r="AY53" i="9"/>
  <c r="Y53" i="9"/>
  <c r="AM53" i="9"/>
  <c r="M53" i="9"/>
  <c r="AA53" i="9"/>
  <c r="U53" i="9"/>
  <c r="V53" i="9"/>
  <c r="O53" i="9"/>
  <c r="AJ53" i="9"/>
  <c r="AN53" i="9"/>
  <c r="BJ53" i="9"/>
  <c r="BB53" i="9"/>
  <c r="BC53" i="9"/>
  <c r="AX53" i="9"/>
  <c r="BQ53" i="9"/>
  <c r="BR53" i="9"/>
  <c r="AL53" i="9"/>
  <c r="Z53" i="9"/>
  <c r="N53" i="9"/>
  <c r="BI53" i="9"/>
  <c r="AL31" i="5"/>
  <c r="AJ28" i="5"/>
  <c r="AL71" i="8"/>
  <c r="BN71" i="8"/>
  <c r="AK71" i="8"/>
  <c r="AM71" i="8"/>
  <c r="P71" i="8"/>
  <c r="R71" i="8"/>
  <c r="M71" i="8"/>
  <c r="AY71" i="8"/>
  <c r="BG71" i="8"/>
  <c r="AX71" i="8"/>
  <c r="AN71" i="8"/>
  <c r="AI71" i="8"/>
  <c r="N71" i="8"/>
  <c r="BB71" i="8"/>
  <c r="AD71" i="8"/>
  <c r="BA71" i="8"/>
  <c r="AC71" i="8"/>
  <c r="AZ71" i="8"/>
  <c r="BT71" i="8"/>
  <c r="X71" i="8"/>
  <c r="BS71" i="8"/>
  <c r="W71" i="8"/>
  <c r="BH71" i="8"/>
  <c r="BM71" i="8"/>
  <c r="O71" i="8"/>
  <c r="AJ71" i="8"/>
  <c r="Q71" i="8"/>
  <c r="AG71" i="8"/>
  <c r="AE71" i="8"/>
  <c r="AA71" i="8"/>
  <c r="AB71" i="8"/>
  <c r="U71" i="8"/>
  <c r="S71" i="8"/>
  <c r="AU71" i="8"/>
  <c r="AV71" i="8"/>
  <c r="I71" i="8"/>
  <c r="Y71" i="8"/>
  <c r="BK71" i="8"/>
  <c r="BL71" i="8"/>
  <c r="BR71" i="8"/>
  <c r="BP71" i="8"/>
  <c r="AO71" i="8"/>
  <c r="BF71" i="8"/>
  <c r="BD71" i="8"/>
  <c r="BI71" i="8"/>
  <c r="Z71" i="8"/>
  <c r="AT71" i="8"/>
  <c r="AR71" i="8"/>
  <c r="AP71" i="8"/>
  <c r="AH71" i="8"/>
  <c r="AF71" i="8"/>
  <c r="BJ71" i="8"/>
  <c r="V71" i="8"/>
  <c r="T71" i="8"/>
  <c r="J71" i="8"/>
  <c r="H71" i="8"/>
  <c r="BQ71" i="8"/>
  <c r="BO71" i="8"/>
  <c r="BE71" i="8"/>
  <c r="BC71" i="8"/>
  <c r="AS71" i="8"/>
  <c r="AQ71" i="8"/>
  <c r="K71" i="8"/>
  <c r="L71" i="8"/>
  <c r="BN34" i="8"/>
  <c r="S34" i="8"/>
  <c r="AP34" i="8"/>
  <c r="AD34" i="8"/>
  <c r="AE34" i="8"/>
  <c r="BC34" i="8"/>
  <c r="BB34" i="8"/>
  <c r="AQ34" i="8"/>
  <c r="P34" i="8"/>
  <c r="AW34" i="8"/>
  <c r="AU34" i="8"/>
  <c r="AS34" i="8"/>
  <c r="BK34" i="8"/>
  <c r="AK34" i="8"/>
  <c r="AI34" i="8"/>
  <c r="AG34" i="8"/>
  <c r="AY34" i="8"/>
  <c r="Y34" i="8"/>
  <c r="W34" i="8"/>
  <c r="U34" i="8"/>
  <c r="BM34" i="8"/>
  <c r="AM34" i="8"/>
  <c r="M34" i="8"/>
  <c r="K34" i="8"/>
  <c r="I34" i="8"/>
  <c r="BA34" i="8"/>
  <c r="AA34" i="8"/>
  <c r="BT34" i="8"/>
  <c r="BR34" i="8"/>
  <c r="BP34" i="8"/>
  <c r="AO34" i="8"/>
  <c r="O34" i="8"/>
  <c r="BH34" i="8"/>
  <c r="BF34" i="8"/>
  <c r="BD34" i="8"/>
  <c r="AC34" i="8"/>
  <c r="BJ34" i="8"/>
  <c r="AV34" i="8"/>
  <c r="AT34" i="8"/>
  <c r="AR34" i="8"/>
  <c r="Q34" i="8"/>
  <c r="AX34" i="8"/>
  <c r="AJ34" i="8"/>
  <c r="AH34" i="8"/>
  <c r="AF34" i="8"/>
  <c r="R34" i="8"/>
  <c r="BL34" i="8"/>
  <c r="AL34" i="8"/>
  <c r="X34" i="8"/>
  <c r="V34" i="8"/>
  <c r="T34" i="8"/>
  <c r="AZ34" i="8"/>
  <c r="Z34" i="8"/>
  <c r="L34" i="8"/>
  <c r="J34" i="8"/>
  <c r="H34" i="8"/>
  <c r="AN34" i="8"/>
  <c r="N34" i="8"/>
  <c r="BS34" i="8"/>
  <c r="BQ34" i="8"/>
  <c r="AB34" i="8"/>
  <c r="BI34" i="8"/>
  <c r="BG34" i="8"/>
  <c r="BE34" i="8"/>
  <c r="F47" i="2"/>
  <c r="BC21" i="11"/>
  <c r="AE21" i="11"/>
  <c r="AL25" i="12"/>
  <c r="BA25" i="12"/>
  <c r="BD25" i="12"/>
  <c r="AB27" i="7"/>
  <c r="AQ27" i="7"/>
  <c r="AT27" i="7"/>
  <c r="AJ27" i="7"/>
  <c r="AM27" i="7"/>
  <c r="U40" i="7"/>
  <c r="W40" i="7"/>
  <c r="BB40" i="11"/>
  <c r="BF40" i="11"/>
  <c r="BS21" i="9"/>
  <c r="BA21" i="9"/>
  <c r="AD21" i="9"/>
  <c r="BD21" i="9"/>
  <c r="BQ21" i="9"/>
  <c r="AB21" i="9"/>
  <c r="BM21" i="9"/>
  <c r="AO21" i="9"/>
  <c r="AA21" i="9"/>
  <c r="AZ21" i="9"/>
  <c r="BB21" i="9"/>
  <c r="Q21" i="9"/>
  <c r="S21" i="9"/>
  <c r="BF21" i="9"/>
  <c r="BN21" i="9"/>
  <c r="M21" i="9"/>
  <c r="AQ21" i="9"/>
  <c r="AN21" i="9"/>
  <c r="O21" i="9"/>
  <c r="AS21" i="9"/>
  <c r="Y21" i="9"/>
  <c r="L21" i="9"/>
  <c r="AK21" i="9"/>
  <c r="I21" i="9"/>
  <c r="BE21" i="9"/>
  <c r="X21" i="9"/>
  <c r="BH21" i="9"/>
  <c r="AR21" i="9"/>
  <c r="K21" i="9"/>
  <c r="AU21" i="9"/>
  <c r="AE21" i="9"/>
  <c r="BK21" i="9"/>
  <c r="AH21" i="9"/>
  <c r="R21" i="9"/>
  <c r="AW21" i="9"/>
  <c r="U21" i="9"/>
  <c r="BP21" i="9"/>
  <c r="AF21" i="9"/>
  <c r="BJ21" i="9"/>
  <c r="AJ21" i="9"/>
  <c r="H21" i="9"/>
  <c r="BC21" i="9"/>
  <c r="AX21" i="9"/>
  <c r="W21" i="9"/>
  <c r="BT21" i="9"/>
  <c r="AP21" i="9"/>
  <c r="AL21" i="9"/>
  <c r="J21" i="9"/>
  <c r="BG21" i="9"/>
  <c r="AC21" i="9"/>
  <c r="Z21" i="9"/>
  <c r="BI21" i="9"/>
  <c r="AT21" i="9"/>
  <c r="P21" i="9"/>
  <c r="N21" i="9"/>
  <c r="AV21" i="9"/>
  <c r="AG21" i="9"/>
  <c r="AM21" i="9"/>
  <c r="BL21" i="9"/>
  <c r="AI21" i="9"/>
  <c r="T21" i="9"/>
  <c r="BO21" i="9"/>
  <c r="AY21" i="9"/>
  <c r="V21" i="9"/>
  <c r="BR21" i="9"/>
  <c r="AQ45" i="7"/>
  <c r="P43" i="7"/>
  <c r="BR72" i="9"/>
  <c r="V72" i="9"/>
  <c r="BJ72" i="9"/>
  <c r="BK72" i="9"/>
  <c r="Z72" i="9"/>
  <c r="BL72" i="9"/>
  <c r="AE72" i="9"/>
  <c r="BC72" i="9"/>
  <c r="AN72" i="9"/>
  <c r="AL72" i="9"/>
  <c r="AD72" i="9"/>
  <c r="U72" i="9"/>
  <c r="R72" i="9"/>
  <c r="BS72" i="9"/>
  <c r="AF72" i="9"/>
  <c r="BO72" i="9"/>
  <c r="BI72" i="9"/>
  <c r="BG72" i="9"/>
  <c r="T72" i="9"/>
  <c r="AX72" i="9"/>
  <c r="AW72" i="9"/>
  <c r="AU72" i="9"/>
  <c r="H72" i="9"/>
  <c r="AC72" i="9"/>
  <c r="O72" i="9"/>
  <c r="AK72" i="9"/>
  <c r="AI72" i="9"/>
  <c r="BF72" i="9"/>
  <c r="J72" i="9"/>
  <c r="AZ72" i="9"/>
  <c r="Y72" i="9"/>
  <c r="W72" i="9"/>
  <c r="AM72" i="9"/>
  <c r="BN72" i="9"/>
  <c r="M72" i="9"/>
  <c r="K72" i="9"/>
  <c r="S72" i="9"/>
  <c r="AT72" i="9"/>
  <c r="N72" i="9"/>
  <c r="BT72" i="9"/>
  <c r="BQ72" i="9"/>
  <c r="BB72" i="9"/>
  <c r="AB72" i="9"/>
  <c r="AY72" i="9"/>
  <c r="BH72" i="9"/>
  <c r="BE72" i="9"/>
  <c r="AH72" i="9"/>
  <c r="I72" i="9"/>
  <c r="AP72" i="9"/>
  <c r="AV72" i="9"/>
  <c r="AS72" i="9"/>
  <c r="Q72" i="9"/>
  <c r="BM72" i="9"/>
  <c r="AJ72" i="9"/>
  <c r="BP72" i="9"/>
  <c r="BA72" i="9"/>
  <c r="AQ72" i="9"/>
  <c r="X72" i="9"/>
  <c r="BD72" i="9"/>
  <c r="AG72" i="9"/>
  <c r="AA72" i="9"/>
  <c r="L72" i="9"/>
  <c r="AR72" i="9"/>
  <c r="P72" i="9"/>
  <c r="AO72" i="9"/>
  <c r="V22" i="10"/>
  <c r="AR44" i="7"/>
  <c r="AL21" i="10"/>
  <c r="AL18" i="10"/>
  <c r="AN18" i="10"/>
  <c r="AK18" i="10"/>
  <c r="AQ62" i="10"/>
  <c r="AD33" i="12"/>
  <c r="Z33" i="12"/>
  <c r="AG33" i="12"/>
  <c r="AK33" i="12"/>
  <c r="AJ37" i="12"/>
  <c r="AP37" i="12"/>
  <c r="AF20" i="10"/>
  <c r="AE20" i="10"/>
  <c r="AB43" i="7"/>
  <c r="P61" i="7"/>
  <c r="BA63" i="10"/>
  <c r="AT63" i="10"/>
  <c r="AN63" i="10"/>
  <c r="AS42" i="10"/>
  <c r="AX42" i="10"/>
  <c r="AP54" i="7"/>
  <c r="AI54" i="7"/>
  <c r="AH54" i="7"/>
  <c r="AU54" i="12"/>
  <c r="AM54" i="12"/>
  <c r="AL54" i="12"/>
  <c r="AT51" i="10"/>
  <c r="AR51" i="10"/>
  <c r="AJ51" i="10"/>
  <c r="AU19" i="11"/>
  <c r="BG69" i="7"/>
  <c r="AA28" i="5"/>
  <c r="BE63" i="11"/>
  <c r="AZ63" i="11"/>
  <c r="AV69" i="7"/>
  <c r="AG53" i="7"/>
  <c r="U53" i="7"/>
  <c r="X47" i="11"/>
  <c r="S47" i="11"/>
  <c r="AK21" i="7"/>
  <c r="R21" i="7"/>
  <c r="X24" i="10"/>
  <c r="AT24" i="10"/>
  <c r="Y24" i="11"/>
  <c r="AN24" i="11"/>
  <c r="T24" i="11"/>
  <c r="BK45" i="8"/>
  <c r="AU32" i="7"/>
  <c r="AG53" i="8"/>
  <c r="Q53" i="8"/>
  <c r="T53" i="8"/>
  <c r="AV53" i="8"/>
  <c r="BJ53" i="8"/>
  <c r="BI53" i="8"/>
  <c r="BH53" i="8"/>
  <c r="AU53" i="8"/>
  <c r="I53" i="8"/>
  <c r="AZ53" i="8"/>
  <c r="BA53" i="8"/>
  <c r="AB53" i="8"/>
  <c r="W53" i="8"/>
  <c r="BP53" i="8"/>
  <c r="BQ53" i="8"/>
  <c r="AR53" i="8"/>
  <c r="AK53" i="8"/>
  <c r="BF53" i="8"/>
  <c r="H53" i="8"/>
  <c r="AY53" i="8"/>
  <c r="M53" i="8"/>
  <c r="BT53" i="8"/>
  <c r="V53" i="8"/>
  <c r="BM53" i="8"/>
  <c r="AA53" i="8"/>
  <c r="BO53" i="8"/>
  <c r="AJ53" i="8"/>
  <c r="AO53" i="8"/>
  <c r="O53" i="8"/>
  <c r="U53" i="8"/>
  <c r="AX53" i="8"/>
  <c r="BE53" i="8"/>
  <c r="AC53" i="8"/>
  <c r="AI53" i="8"/>
  <c r="BL53" i="8"/>
  <c r="L53" i="8"/>
  <c r="BS53" i="8"/>
  <c r="AS53" i="8"/>
  <c r="AW53" i="8"/>
  <c r="Z53" i="8"/>
  <c r="BG53" i="8"/>
  <c r="BK53" i="8"/>
  <c r="J53" i="8"/>
  <c r="K53" i="8"/>
  <c r="AN53" i="8"/>
  <c r="P53" i="8"/>
  <c r="X53" i="8"/>
  <c r="Y53" i="8"/>
  <c r="BD53" i="8"/>
  <c r="AF53" i="8"/>
  <c r="AL53" i="8"/>
  <c r="AM53" i="8"/>
  <c r="AT53" i="8"/>
  <c r="N53" i="8"/>
  <c r="BR53" i="8"/>
  <c r="R53" i="8"/>
  <c r="AD53" i="8"/>
  <c r="AP53" i="8"/>
  <c r="S53" i="8"/>
  <c r="BB53" i="8"/>
  <c r="AE53" i="8"/>
  <c r="BN53" i="8"/>
  <c r="AQ53" i="8"/>
  <c r="BC53" i="8"/>
  <c r="AO52" i="10"/>
  <c r="Q72" i="11"/>
  <c r="U72" i="11"/>
  <c r="AB72" i="11"/>
  <c r="AP62" i="11"/>
  <c r="AR62" i="11"/>
  <c r="AZ68" i="11"/>
  <c r="AN47" i="10"/>
  <c r="X47" i="10"/>
  <c r="AI47" i="10"/>
  <c r="BC58" i="11"/>
  <c r="AV58" i="8"/>
  <c r="AL58" i="8"/>
  <c r="AD58" i="8"/>
  <c r="O58" i="8"/>
  <c r="AM58" i="8"/>
  <c r="BT58" i="8"/>
  <c r="BB58" i="8"/>
  <c r="BK58" i="8"/>
  <c r="BA58" i="8"/>
  <c r="AT58" i="8"/>
  <c r="AK58" i="8"/>
  <c r="AE58" i="8"/>
  <c r="AA58" i="8"/>
  <c r="AH58" i="8"/>
  <c r="S58" i="8"/>
  <c r="P58" i="8"/>
  <c r="L58" i="8"/>
  <c r="V58" i="8"/>
  <c r="BN58" i="8"/>
  <c r="BJ58" i="8"/>
  <c r="BD58" i="8"/>
  <c r="J58" i="8"/>
  <c r="AY58" i="8"/>
  <c r="AR58" i="8"/>
  <c r="AO58" i="8"/>
  <c r="BS58" i="8"/>
  <c r="BQ58" i="8"/>
  <c r="AJ58" i="8"/>
  <c r="AC58" i="8"/>
  <c r="Z58" i="8"/>
  <c r="BG58" i="8"/>
  <c r="BE58" i="8"/>
  <c r="R58" i="8"/>
  <c r="N58" i="8"/>
  <c r="H58" i="8"/>
  <c r="AU58" i="8"/>
  <c r="AS58" i="8"/>
  <c r="BM58" i="8"/>
  <c r="BI58" i="8"/>
  <c r="BC58" i="8"/>
  <c r="AI58" i="8"/>
  <c r="AG58" i="8"/>
  <c r="AX58" i="8"/>
  <c r="AQ58" i="8"/>
  <c r="AN58" i="8"/>
  <c r="T58" i="8"/>
  <c r="W58" i="8"/>
  <c r="U58" i="8"/>
  <c r="AF58" i="8"/>
  <c r="AB58" i="8"/>
  <c r="Y58" i="8"/>
  <c r="K58" i="8"/>
  <c r="I58" i="8"/>
  <c r="Q58" i="8"/>
  <c r="M58" i="8"/>
  <c r="BP58" i="8"/>
  <c r="BR58" i="8"/>
  <c r="BO58" i="8"/>
  <c r="BL58" i="8"/>
  <c r="BH58" i="8"/>
  <c r="BF58" i="8"/>
  <c r="AZ58" i="8"/>
  <c r="AW58" i="8"/>
  <c r="AP58" i="8"/>
  <c r="AN19" i="7"/>
  <c r="AM57" i="10"/>
  <c r="AX57" i="10"/>
  <c r="BA29" i="10"/>
  <c r="BC29" i="10"/>
  <c r="AL29" i="10"/>
  <c r="AI43" i="7"/>
  <c r="BS52" i="8"/>
  <c r="AU52" i="8"/>
  <c r="Z52" i="8"/>
  <c r="AT52" i="8"/>
  <c r="BR52" i="8"/>
  <c r="X52" i="8"/>
  <c r="AV52" i="8"/>
  <c r="AX52" i="8"/>
  <c r="W52" i="8"/>
  <c r="V52" i="8"/>
  <c r="BN52" i="8"/>
  <c r="BT52" i="8"/>
  <c r="AY52" i="8"/>
  <c r="AG52" i="8"/>
  <c r="BM52" i="8"/>
  <c r="AM52" i="8"/>
  <c r="U52" i="8"/>
  <c r="BA52" i="8"/>
  <c r="AA52" i="8"/>
  <c r="I52" i="8"/>
  <c r="AO52" i="8"/>
  <c r="O52" i="8"/>
  <c r="AE52" i="8"/>
  <c r="AC52" i="8"/>
  <c r="BI52" i="8"/>
  <c r="BC52" i="8"/>
  <c r="Q52" i="8"/>
  <c r="AW52" i="8"/>
  <c r="BL52" i="8"/>
  <c r="AK52" i="8"/>
  <c r="AZ52" i="8"/>
  <c r="Y52" i="8"/>
  <c r="AN52" i="8"/>
  <c r="M52" i="8"/>
  <c r="AB52" i="8"/>
  <c r="BQ52" i="8"/>
  <c r="P52" i="8"/>
  <c r="BE52" i="8"/>
  <c r="BK52" i="8"/>
  <c r="AS52" i="8"/>
  <c r="AH52" i="8"/>
  <c r="BG52" i="8"/>
  <c r="BF52" i="8"/>
  <c r="S52" i="8"/>
  <c r="R52" i="8"/>
  <c r="AQ52" i="8"/>
  <c r="AD52" i="8"/>
  <c r="BO52" i="8"/>
  <c r="AP52" i="8"/>
  <c r="T52" i="8"/>
  <c r="BB52" i="8"/>
  <c r="H52" i="8"/>
  <c r="AR52" i="8"/>
  <c r="AF52" i="8"/>
  <c r="BP52" i="8"/>
  <c r="BD52" i="8"/>
  <c r="L52" i="8"/>
  <c r="N52" i="8"/>
  <c r="K52" i="8"/>
  <c r="AJ52" i="8"/>
  <c r="AL52" i="8"/>
  <c r="J52" i="8"/>
  <c r="AI52" i="8"/>
  <c r="BH52" i="8"/>
  <c r="BJ52" i="8"/>
  <c r="BS28" i="9"/>
  <c r="AI28" i="9"/>
  <c r="AA28" i="9"/>
  <c r="X28" i="9"/>
  <c r="T28" i="9"/>
  <c r="BG28" i="9"/>
  <c r="AJ28" i="9"/>
  <c r="BR28" i="9"/>
  <c r="H28" i="9"/>
  <c r="BF28" i="9"/>
  <c r="AM28" i="9"/>
  <c r="S28" i="9"/>
  <c r="AU28" i="9"/>
  <c r="AT28" i="9"/>
  <c r="O28" i="9"/>
  <c r="P28" i="9"/>
  <c r="AH28" i="9"/>
  <c r="BO28" i="9"/>
  <c r="AP28" i="9"/>
  <c r="BJ28" i="9"/>
  <c r="L28" i="9"/>
  <c r="AS28" i="9"/>
  <c r="BB28" i="9"/>
  <c r="AX28" i="9"/>
  <c r="BC28" i="9"/>
  <c r="W28" i="9"/>
  <c r="BN28" i="9"/>
  <c r="AL28" i="9"/>
  <c r="AG28" i="9"/>
  <c r="BK28" i="9"/>
  <c r="Z28" i="9"/>
  <c r="K28" i="9"/>
  <c r="AR28" i="9"/>
  <c r="N28" i="9"/>
  <c r="AY28" i="9"/>
  <c r="V28" i="9"/>
  <c r="BI28" i="9"/>
  <c r="AF28" i="9"/>
  <c r="BH28" i="9"/>
  <c r="AW28" i="9"/>
  <c r="J28" i="9"/>
  <c r="AQ28" i="9"/>
  <c r="BL28" i="9"/>
  <c r="AK28" i="9"/>
  <c r="BT28" i="9"/>
  <c r="U28" i="9"/>
  <c r="BM28" i="9"/>
  <c r="Q28" i="9"/>
  <c r="BQ28" i="9"/>
  <c r="AZ28" i="9"/>
  <c r="Y28" i="9"/>
  <c r="AV28" i="9"/>
  <c r="BE28" i="9"/>
  <c r="AC28" i="9"/>
  <c r="BP28" i="9"/>
  <c r="AN28" i="9"/>
  <c r="M28" i="9"/>
  <c r="AE28" i="9"/>
  <c r="AO28" i="9"/>
  <c r="R28" i="9"/>
  <c r="AB28" i="9"/>
  <c r="BD28" i="9"/>
  <c r="I28" i="9"/>
  <c r="BA28" i="9"/>
  <c r="AD28" i="9"/>
  <c r="AX31" i="11"/>
  <c r="AV31" i="11"/>
  <c r="BC66" i="11"/>
  <c r="Z66" i="11"/>
  <c r="AX31" i="7"/>
  <c r="AY31" i="5"/>
  <c r="AG27" i="9"/>
  <c r="J27" i="9"/>
  <c r="BK27" i="9"/>
  <c r="AV27" i="9"/>
  <c r="T27" i="9"/>
  <c r="AE27" i="9"/>
  <c r="BO27" i="9"/>
  <c r="AY27" i="9"/>
  <c r="AJ27" i="9"/>
  <c r="BF27" i="9"/>
  <c r="I27" i="9"/>
  <c r="U27" i="9"/>
  <c r="AM27" i="9"/>
  <c r="X27" i="9"/>
  <c r="AO27" i="9"/>
  <c r="BQ27" i="9"/>
  <c r="BN27" i="9"/>
  <c r="AA27" i="9"/>
  <c r="L27" i="9"/>
  <c r="S27" i="9"/>
  <c r="AW27" i="9"/>
  <c r="M27" i="9"/>
  <c r="O27" i="9"/>
  <c r="BS27" i="9"/>
  <c r="BE27" i="9"/>
  <c r="AD27" i="9"/>
  <c r="BC27" i="9"/>
  <c r="BJ27" i="9"/>
  <c r="BG27" i="9"/>
  <c r="AK27" i="9"/>
  <c r="H27" i="9"/>
  <c r="AS27" i="9"/>
  <c r="AX27" i="9"/>
  <c r="AU27" i="9"/>
  <c r="R27" i="9"/>
  <c r="BP27" i="9"/>
  <c r="BL27" i="9"/>
  <c r="AL27" i="9"/>
  <c r="AI27" i="9"/>
  <c r="BD27" i="9"/>
  <c r="AT27" i="9"/>
  <c r="AZ27" i="9"/>
  <c r="Z27" i="9"/>
  <c r="W27" i="9"/>
  <c r="AH27" i="9"/>
  <c r="AC27" i="9"/>
  <c r="AN27" i="9"/>
  <c r="N27" i="9"/>
  <c r="K27" i="9"/>
  <c r="Q27" i="9"/>
  <c r="AF27" i="9"/>
  <c r="AB27" i="9"/>
  <c r="BT27" i="9"/>
  <c r="BI27" i="9"/>
  <c r="BR27" i="9"/>
  <c r="Y27" i="9"/>
  <c r="P27" i="9"/>
  <c r="BH27" i="9"/>
  <c r="AP27" i="9"/>
  <c r="BA27" i="9"/>
  <c r="V27" i="9"/>
  <c r="AR27" i="9"/>
  <c r="BB27" i="9"/>
  <c r="BM27" i="9"/>
  <c r="AQ27" i="9"/>
  <c r="AT19" i="9"/>
  <c r="BT19" i="9"/>
  <c r="AO19" i="9"/>
  <c r="AN19" i="9"/>
  <c r="AM19" i="9"/>
  <c r="BQ19" i="9"/>
  <c r="BM19" i="9"/>
  <c r="AJ19" i="9"/>
  <c r="H19" i="9"/>
  <c r="BO19" i="9"/>
  <c r="AR19" i="9"/>
  <c r="AY19" i="9"/>
  <c r="W19" i="9"/>
  <c r="BG19" i="9"/>
  <c r="AE19" i="9"/>
  <c r="N19" i="9"/>
  <c r="AL19" i="9"/>
  <c r="J19" i="9"/>
  <c r="AS19" i="9"/>
  <c r="BH19" i="9"/>
  <c r="Y19" i="9"/>
  <c r="BJ19" i="9"/>
  <c r="AF19" i="9"/>
  <c r="AB19" i="9"/>
  <c r="L19" i="9"/>
  <c r="AV19" i="9"/>
  <c r="S19" i="9"/>
  <c r="BE19" i="9"/>
  <c r="BL19" i="9"/>
  <c r="AI19" i="9"/>
  <c r="BS19" i="9"/>
  <c r="AA19" i="9"/>
  <c r="AX19" i="9"/>
  <c r="V19" i="9"/>
  <c r="BD19" i="9"/>
  <c r="BC19" i="9"/>
  <c r="AK19" i="9"/>
  <c r="I19" i="9"/>
  <c r="AQ19" i="9"/>
  <c r="Z19" i="9"/>
  <c r="X19" i="9"/>
  <c r="BI19" i="9"/>
  <c r="AC19" i="9"/>
  <c r="BA19" i="9"/>
  <c r="M19" i="9"/>
  <c r="K19" i="9"/>
  <c r="AU19" i="9"/>
  <c r="P19" i="9"/>
  <c r="T19" i="9"/>
  <c r="O19" i="9"/>
  <c r="BR19" i="9"/>
  <c r="BK19" i="9"/>
  <c r="AH19" i="9"/>
  <c r="BP19" i="9"/>
  <c r="AZ19" i="9"/>
  <c r="BF19" i="9"/>
  <c r="AW19" i="9"/>
  <c r="U19" i="9"/>
  <c r="AG19" i="9"/>
  <c r="Q19" i="9"/>
  <c r="R19" i="9"/>
  <c r="AD19" i="9"/>
  <c r="AP19" i="9"/>
  <c r="BB19" i="9"/>
  <c r="BN19" i="9"/>
  <c r="BG35" i="12"/>
  <c r="AS28" i="5"/>
  <c r="AX56" i="9"/>
  <c r="AJ56" i="9"/>
  <c r="BO56" i="9"/>
  <c r="AO56" i="9"/>
  <c r="I56" i="9"/>
  <c r="Q56" i="9"/>
  <c r="BG56" i="9"/>
  <c r="AA56" i="9"/>
  <c r="AF56" i="9"/>
  <c r="AW56" i="9"/>
  <c r="AS56" i="9"/>
  <c r="M56" i="9"/>
  <c r="AZ56" i="9"/>
  <c r="BL56" i="9"/>
  <c r="P56" i="9"/>
  <c r="AC56" i="9"/>
  <c r="BR56" i="9"/>
  <c r="Y56" i="9"/>
  <c r="AU56" i="9"/>
  <c r="O56" i="9"/>
  <c r="BD56" i="9"/>
  <c r="T56" i="9"/>
  <c r="K56" i="9"/>
  <c r="BT56" i="9"/>
  <c r="AN56" i="9"/>
  <c r="BK56" i="9"/>
  <c r="AT56" i="9"/>
  <c r="V56" i="9"/>
  <c r="BF56" i="9"/>
  <c r="Z56" i="9"/>
  <c r="X56" i="9"/>
  <c r="J56" i="9"/>
  <c r="AV56" i="9"/>
  <c r="AR56" i="9"/>
  <c r="L56" i="9"/>
  <c r="BJ56" i="9"/>
  <c r="BP56" i="9"/>
  <c r="BQ56" i="9"/>
  <c r="U56" i="9"/>
  <c r="AI56" i="9"/>
  <c r="BI56" i="9"/>
  <c r="AL56" i="9"/>
  <c r="BS56" i="9"/>
  <c r="AK56" i="9"/>
  <c r="AY56" i="9"/>
  <c r="H56" i="9"/>
  <c r="BA56" i="9"/>
  <c r="W56" i="9"/>
  <c r="AH56" i="9"/>
  <c r="BH56" i="9"/>
  <c r="AB56" i="9"/>
  <c r="N56" i="9"/>
  <c r="BE56" i="9"/>
  <c r="AG56" i="9"/>
  <c r="AM56" i="9"/>
  <c r="BM56" i="9"/>
  <c r="R56" i="9"/>
  <c r="S56" i="9"/>
  <c r="AD56" i="9"/>
  <c r="AE56" i="9"/>
  <c r="AP56" i="9"/>
  <c r="AQ56" i="9"/>
  <c r="BB56" i="9"/>
  <c r="BC56" i="9"/>
  <c r="BN56" i="9"/>
  <c r="BD67" i="8"/>
  <c r="O67" i="8"/>
  <c r="H67" i="8"/>
  <c r="BI67" i="8"/>
  <c r="Y67" i="8"/>
  <c r="AL67" i="8"/>
  <c r="AY67" i="8"/>
  <c r="AX67" i="8"/>
  <c r="AQ67" i="8"/>
  <c r="AW67" i="8"/>
  <c r="BT67" i="8"/>
  <c r="Z67" i="8"/>
  <c r="AM67" i="8"/>
  <c r="T67" i="8"/>
  <c r="M67" i="8"/>
  <c r="BJ67" i="8"/>
  <c r="AR67" i="8"/>
  <c r="BP67" i="8"/>
  <c r="BK67" i="8"/>
  <c r="N67" i="8"/>
  <c r="Q67" i="8"/>
  <c r="AI67" i="8"/>
  <c r="AA67" i="8"/>
  <c r="AU67" i="8"/>
  <c r="J67" i="8"/>
  <c r="BG67" i="8"/>
  <c r="I67" i="8"/>
  <c r="V67" i="8"/>
  <c r="BS67" i="8"/>
  <c r="P67" i="8"/>
  <c r="U67" i="8"/>
  <c r="AH67" i="8"/>
  <c r="AK67" i="8"/>
  <c r="AB67" i="8"/>
  <c r="AO67" i="8"/>
  <c r="AG67" i="8"/>
  <c r="AT67" i="8"/>
  <c r="L67" i="8"/>
  <c r="AN67" i="8"/>
  <c r="BA67" i="8"/>
  <c r="S67" i="8"/>
  <c r="AS67" i="8"/>
  <c r="BF67" i="8"/>
  <c r="X67" i="8"/>
  <c r="AZ67" i="8"/>
  <c r="BM67" i="8"/>
  <c r="R67" i="8"/>
  <c r="AE67" i="8"/>
  <c r="BE67" i="8"/>
  <c r="BR67" i="8"/>
  <c r="AJ67" i="8"/>
  <c r="BL67" i="8"/>
  <c r="AD67" i="8"/>
  <c r="BC67" i="8"/>
  <c r="BQ67" i="8"/>
  <c r="AV67" i="8"/>
  <c r="AF67" i="8"/>
  <c r="AP67" i="8"/>
  <c r="BO67" i="8"/>
  <c r="BH67" i="8"/>
  <c r="BB67" i="8"/>
  <c r="K67" i="8"/>
  <c r="AC67" i="8"/>
  <c r="BN67" i="8"/>
  <c r="W67" i="8"/>
  <c r="AH66" i="7"/>
  <c r="AE66" i="7"/>
  <c r="V66" i="7"/>
  <c r="Q66" i="7"/>
  <c r="BL63" i="8"/>
  <c r="AH63" i="8"/>
  <c r="P63" i="8"/>
  <c r="AW63" i="8"/>
  <c r="BK63" i="8"/>
  <c r="U63" i="8"/>
  <c r="AK63" i="8"/>
  <c r="BS63" i="8"/>
  <c r="AS63" i="8"/>
  <c r="AC63" i="8"/>
  <c r="O63" i="8"/>
  <c r="AJ63" i="8"/>
  <c r="AZ63" i="8"/>
  <c r="BH63" i="8"/>
  <c r="AU63" i="8"/>
  <c r="AG63" i="8"/>
  <c r="AY63" i="8"/>
  <c r="BR63" i="8"/>
  <c r="K63" i="8"/>
  <c r="BJ63" i="8"/>
  <c r="AV63" i="8"/>
  <c r="BQ63" i="8"/>
  <c r="Z63" i="8"/>
  <c r="I63" i="8"/>
  <c r="J63" i="8"/>
  <c r="AO63" i="8"/>
  <c r="X63" i="8"/>
  <c r="Y63" i="8"/>
  <c r="BG63" i="8"/>
  <c r="AX63" i="8"/>
  <c r="AM63" i="8"/>
  <c r="AN63" i="8"/>
  <c r="M63" i="8"/>
  <c r="BE63" i="8"/>
  <c r="BF63" i="8"/>
  <c r="AB63" i="8"/>
  <c r="BP63" i="8"/>
  <c r="BT63" i="8"/>
  <c r="AT63" i="8"/>
  <c r="BM63" i="8"/>
  <c r="W63" i="8"/>
  <c r="BI63" i="8"/>
  <c r="AL63" i="8"/>
  <c r="L63" i="8"/>
  <c r="BA63" i="8"/>
  <c r="V63" i="8"/>
  <c r="N63" i="8"/>
  <c r="Q63" i="8"/>
  <c r="AA63" i="8"/>
  <c r="AP63" i="8"/>
  <c r="BB63" i="8"/>
  <c r="BN63" i="8"/>
  <c r="H63" i="8"/>
  <c r="T63" i="8"/>
  <c r="AF63" i="8"/>
  <c r="S63" i="8"/>
  <c r="AR63" i="8"/>
  <c r="AE63" i="8"/>
  <c r="BD63" i="8"/>
  <c r="AQ63" i="8"/>
  <c r="BC63" i="8"/>
  <c r="BO63" i="8"/>
  <c r="R63" i="8"/>
  <c r="AD63" i="8"/>
  <c r="AM27" i="10"/>
  <c r="Z27" i="10"/>
  <c r="AH27" i="10"/>
  <c r="AI48" i="9"/>
  <c r="BH48" i="9"/>
  <c r="BK48" i="9"/>
  <c r="Q48" i="9"/>
  <c r="V48" i="9"/>
  <c r="T48" i="9"/>
  <c r="BR48" i="9"/>
  <c r="AL48" i="9"/>
  <c r="BI48" i="9"/>
  <c r="AU48" i="9"/>
  <c r="AX48" i="9"/>
  <c r="H48" i="9"/>
  <c r="BB48" i="9"/>
  <c r="X48" i="9"/>
  <c r="BQ48" i="9"/>
  <c r="BT48" i="9"/>
  <c r="AN48" i="9"/>
  <c r="J48" i="9"/>
  <c r="AJ48" i="9"/>
  <c r="BE48" i="9"/>
  <c r="BF48" i="9"/>
  <c r="Z48" i="9"/>
  <c r="BJ48" i="9"/>
  <c r="BL48" i="9"/>
  <c r="W48" i="9"/>
  <c r="AS48" i="9"/>
  <c r="AP48" i="9"/>
  <c r="L48" i="9"/>
  <c r="AV48" i="9"/>
  <c r="O48" i="9"/>
  <c r="AY48" i="9"/>
  <c r="AC48" i="9"/>
  <c r="AG48" i="9"/>
  <c r="AB48" i="9"/>
  <c r="BO48" i="9"/>
  <c r="AH48" i="9"/>
  <c r="AQ48" i="9"/>
  <c r="BG48" i="9"/>
  <c r="U48" i="9"/>
  <c r="N48" i="9"/>
  <c r="BA48" i="9"/>
  <c r="R48" i="9"/>
  <c r="I48" i="9"/>
  <c r="BS48" i="9"/>
  <c r="AM48" i="9"/>
  <c r="S48" i="9"/>
  <c r="BP48" i="9"/>
  <c r="BC48" i="9"/>
  <c r="Y48" i="9"/>
  <c r="AW48" i="9"/>
  <c r="AT48" i="9"/>
  <c r="BD48" i="9"/>
  <c r="AO48" i="9"/>
  <c r="K48" i="9"/>
  <c r="P48" i="9"/>
  <c r="AK48" i="9"/>
  <c r="AR48" i="9"/>
  <c r="AA48" i="9"/>
  <c r="BN48" i="9"/>
  <c r="BM48" i="9"/>
  <c r="AD48" i="9"/>
  <c r="AF48" i="9"/>
  <c r="M48" i="9"/>
  <c r="AZ48" i="9"/>
  <c r="AE48" i="9"/>
  <c r="AN28" i="12"/>
  <c r="AM28" i="12"/>
  <c r="AE28" i="12"/>
  <c r="AA28" i="12"/>
  <c r="AF28" i="12"/>
  <c r="AX66" i="8"/>
  <c r="AL45" i="7"/>
  <c r="AF45" i="7"/>
  <c r="AB48" i="11"/>
  <c r="AF31" i="5"/>
  <c r="AN54" i="7"/>
  <c r="AV28" i="5"/>
  <c r="AC35" i="9"/>
  <c r="S35" i="9"/>
  <c r="BL35" i="9"/>
  <c r="Q35" i="9"/>
  <c r="P35" i="9"/>
  <c r="L35" i="9"/>
  <c r="K35" i="9"/>
  <c r="BH35" i="9"/>
  <c r="AT35" i="9"/>
  <c r="AU35" i="9"/>
  <c r="AS35" i="9"/>
  <c r="AR35" i="9"/>
  <c r="BP35" i="9"/>
  <c r="BR35" i="9"/>
  <c r="AH35" i="9"/>
  <c r="BG35" i="9"/>
  <c r="AF35" i="9"/>
  <c r="BO35" i="9"/>
  <c r="AE35" i="9"/>
  <c r="BM35" i="9"/>
  <c r="AD35" i="9"/>
  <c r="AZ35" i="9"/>
  <c r="AI35" i="9"/>
  <c r="N35" i="9"/>
  <c r="AP35" i="9"/>
  <c r="BA35" i="9"/>
  <c r="BI35" i="9"/>
  <c r="H35" i="9"/>
  <c r="BE35" i="9"/>
  <c r="J35" i="9"/>
  <c r="AW35" i="9"/>
  <c r="W35" i="9"/>
  <c r="BT35" i="9"/>
  <c r="AB35" i="9"/>
  <c r="BK35" i="9"/>
  <c r="AK35" i="9"/>
  <c r="AO35" i="9"/>
  <c r="AQ35" i="9"/>
  <c r="AY35" i="9"/>
  <c r="Y35" i="9"/>
  <c r="V35" i="9"/>
  <c r="BD35" i="9"/>
  <c r="BF35" i="9"/>
  <c r="AM35" i="9"/>
  <c r="M35" i="9"/>
  <c r="AN35" i="9"/>
  <c r="BS35" i="9"/>
  <c r="R35" i="9"/>
  <c r="AA35" i="9"/>
  <c r="U35" i="9"/>
  <c r="BC35" i="9"/>
  <c r="AG35" i="9"/>
  <c r="O35" i="9"/>
  <c r="AJ35" i="9"/>
  <c r="AV35" i="9"/>
  <c r="BJ35" i="9"/>
  <c r="BB35" i="9"/>
  <c r="BN35" i="9"/>
  <c r="AX35" i="9"/>
  <c r="BQ35" i="9"/>
  <c r="AL35" i="9"/>
  <c r="I35" i="9"/>
  <c r="T35" i="9"/>
  <c r="Z35" i="9"/>
  <c r="X35" i="9"/>
  <c r="BK32" i="9"/>
  <c r="AP32" i="9"/>
  <c r="AE32" i="9"/>
  <c r="P32" i="9"/>
  <c r="R32" i="9"/>
  <c r="BJ32" i="9"/>
  <c r="Q32" i="9"/>
  <c r="BC32" i="9"/>
  <c r="AO32" i="9"/>
  <c r="BT32" i="9"/>
  <c r="AC32" i="9"/>
  <c r="O32" i="9"/>
  <c r="M32" i="9"/>
  <c r="AY32" i="9"/>
  <c r="BI32" i="9"/>
  <c r="AB32" i="9"/>
  <c r="AK32" i="9"/>
  <c r="AV32" i="9"/>
  <c r="N32" i="9"/>
  <c r="AD32" i="9"/>
  <c r="AA32" i="9"/>
  <c r="BD32" i="9"/>
  <c r="AS32" i="9"/>
  <c r="AR32" i="9"/>
  <c r="U32" i="9"/>
  <c r="AQ32" i="9"/>
  <c r="BM32" i="9"/>
  <c r="AF32" i="9"/>
  <c r="W32" i="9"/>
  <c r="I32" i="9"/>
  <c r="K32" i="9"/>
  <c r="Y32" i="9"/>
  <c r="BR32" i="9"/>
  <c r="AM32" i="9"/>
  <c r="BF32" i="9"/>
  <c r="H32" i="9"/>
  <c r="BA32" i="9"/>
  <c r="L32" i="9"/>
  <c r="S32" i="9"/>
  <c r="AT32" i="9"/>
  <c r="X32" i="9"/>
  <c r="BO32" i="9"/>
  <c r="Z32" i="9"/>
  <c r="BH32" i="9"/>
  <c r="AG32" i="9"/>
  <c r="AH32" i="9"/>
  <c r="AL32" i="9"/>
  <c r="AN32" i="9"/>
  <c r="AW32" i="9"/>
  <c r="V32" i="9"/>
  <c r="AZ32" i="9"/>
  <c r="BB32" i="9"/>
  <c r="BQ32" i="9"/>
  <c r="J32" i="9"/>
  <c r="BN32" i="9"/>
  <c r="BP32" i="9"/>
  <c r="BS32" i="9"/>
  <c r="T32" i="9"/>
  <c r="BG32" i="9"/>
  <c r="AJ32" i="9"/>
  <c r="AU32" i="9"/>
  <c r="AX32" i="9"/>
  <c r="BE32" i="9"/>
  <c r="AI32" i="9"/>
  <c r="BL32" i="9"/>
  <c r="H26" i="8"/>
  <c r="BA26" i="8"/>
  <c r="BO26" i="8"/>
  <c r="P26" i="8"/>
  <c r="BL26" i="8"/>
  <c r="BD26" i="8"/>
  <c r="BS26" i="8"/>
  <c r="BP26" i="8"/>
  <c r="Q26" i="8"/>
  <c r="BM26" i="8"/>
  <c r="AU26" i="8"/>
  <c r="AT26" i="8"/>
  <c r="AF26" i="8"/>
  <c r="AE26" i="8"/>
  <c r="W26" i="8"/>
  <c r="AO26" i="8"/>
  <c r="S26" i="8"/>
  <c r="BH26" i="8"/>
  <c r="AH26" i="8"/>
  <c r="BJ26" i="8"/>
  <c r="AV26" i="8"/>
  <c r="O26" i="8"/>
  <c r="AZ26" i="8"/>
  <c r="AX26" i="8"/>
  <c r="AJ26" i="8"/>
  <c r="AD26" i="8"/>
  <c r="AL26" i="8"/>
  <c r="X26" i="8"/>
  <c r="AS26" i="8"/>
  <c r="Z26" i="8"/>
  <c r="L26" i="8"/>
  <c r="BK26" i="8"/>
  <c r="R26" i="8"/>
  <c r="T26" i="8"/>
  <c r="N26" i="8"/>
  <c r="U26" i="8"/>
  <c r="K26" i="8"/>
  <c r="AG26" i="8"/>
  <c r="AI26" i="8"/>
  <c r="BI26" i="8"/>
  <c r="AM26" i="8"/>
  <c r="V26" i="8"/>
  <c r="I26" i="8"/>
  <c r="AC26" i="8"/>
  <c r="AY26" i="8"/>
  <c r="AW26" i="8"/>
  <c r="BB26" i="8"/>
  <c r="AN26" i="8"/>
  <c r="AA26" i="8"/>
  <c r="J26" i="8"/>
  <c r="AR26" i="8"/>
  <c r="BN26" i="8"/>
  <c r="AK26" i="8"/>
  <c r="BQ26" i="8"/>
  <c r="BC26" i="8"/>
  <c r="AP26" i="8"/>
  <c r="AB26" i="8"/>
  <c r="BG26" i="8"/>
  <c r="Y26" i="8"/>
  <c r="BR26" i="8"/>
  <c r="BE26" i="8"/>
  <c r="AQ26" i="8"/>
  <c r="M26" i="8"/>
  <c r="BF26" i="8"/>
  <c r="BT26" i="8"/>
  <c r="AP21" i="11"/>
  <c r="BB25" i="12"/>
  <c r="AJ25" i="12"/>
  <c r="AG25" i="12"/>
  <c r="U27" i="7"/>
  <c r="Y27" i="7"/>
  <c r="BB48" i="8"/>
  <c r="S40" i="7"/>
  <c r="AZ40" i="11"/>
  <c r="AN40" i="11"/>
  <c r="W22" i="10"/>
  <c r="AH22" i="10"/>
  <c r="AC22" i="10"/>
  <c r="AF22" i="10"/>
  <c r="AW44" i="7"/>
  <c r="Y44" i="7"/>
  <c r="U44" i="7"/>
  <c r="AE21" i="10"/>
  <c r="R21" i="10"/>
  <c r="AI21" i="10"/>
  <c r="AC21" i="10"/>
  <c r="AQ18" i="10"/>
  <c r="Z18" i="10"/>
  <c r="AT18" i="10"/>
  <c r="AG18" i="10"/>
  <c r="W18" i="10"/>
  <c r="AU62" i="10"/>
  <c r="U33" i="12"/>
  <c r="AO33" i="12"/>
  <c r="AH33" i="12"/>
  <c r="AF37" i="12"/>
  <c r="AT37" i="12"/>
  <c r="S20" i="10"/>
  <c r="AL20" i="10"/>
  <c r="AA20" i="10"/>
  <c r="BA69" i="7"/>
  <c r="AO63" i="10"/>
  <c r="BB63" i="10"/>
  <c r="AJ42" i="10"/>
  <c r="AD42" i="10"/>
  <c r="S54" i="7"/>
  <c r="AN54" i="12"/>
  <c r="BF54" i="12"/>
  <c r="AK54" i="12"/>
  <c r="AC51" i="10"/>
  <c r="BF35" i="8"/>
  <c r="BC19" i="11"/>
  <c r="AA19" i="11"/>
  <c r="Z53" i="7"/>
  <c r="AM28" i="5"/>
  <c r="AR63" i="11"/>
  <c r="AO63" i="11"/>
  <c r="AW63" i="11"/>
  <c r="AF53" i="7"/>
  <c r="AB47" i="11"/>
  <c r="AL47" i="11"/>
  <c r="AP47" i="11"/>
  <c r="AE21" i="7"/>
  <c r="AJ21" i="7"/>
  <c r="T24" i="10"/>
  <c r="AE24" i="11"/>
  <c r="AK24" i="11"/>
  <c r="V24" i="11"/>
  <c r="U24" i="11"/>
  <c r="BN29" i="8"/>
  <c r="J29" i="8"/>
  <c r="BG29" i="8"/>
  <c r="P29" i="8"/>
  <c r="BT29" i="8"/>
  <c r="O29" i="8"/>
  <c r="S29" i="8"/>
  <c r="BJ29" i="8"/>
  <c r="BH29" i="8"/>
  <c r="BI29" i="8"/>
  <c r="T29" i="8"/>
  <c r="AE29" i="8"/>
  <c r="AV29" i="8"/>
  <c r="AF29" i="8"/>
  <c r="AU29" i="8"/>
  <c r="AT29" i="8"/>
  <c r="AG29" i="8"/>
  <c r="AS29" i="8"/>
  <c r="AH29" i="8"/>
  <c r="V29" i="8"/>
  <c r="AJ29" i="8"/>
  <c r="AX29" i="8"/>
  <c r="BL29" i="8"/>
  <c r="U29" i="8"/>
  <c r="AI29" i="8"/>
  <c r="AW29" i="8"/>
  <c r="BK29" i="8"/>
  <c r="H29" i="8"/>
  <c r="AL29" i="8"/>
  <c r="AA29" i="8"/>
  <c r="Q29" i="8"/>
  <c r="AZ29" i="8"/>
  <c r="AQ29" i="8"/>
  <c r="AC29" i="8"/>
  <c r="R29" i="8"/>
  <c r="BP29" i="8"/>
  <c r="BE29" i="8"/>
  <c r="AO29" i="8"/>
  <c r="AD29" i="8"/>
  <c r="BS29" i="8"/>
  <c r="BA29" i="8"/>
  <c r="AP29" i="8"/>
  <c r="N29" i="8"/>
  <c r="BM29" i="8"/>
  <c r="BB29" i="8"/>
  <c r="K29" i="8"/>
  <c r="AB29" i="8"/>
  <c r="I29" i="8"/>
  <c r="Y29" i="8"/>
  <c r="L29" i="8"/>
  <c r="AR29" i="8"/>
  <c r="W29" i="8"/>
  <c r="AM29" i="8"/>
  <c r="Z29" i="8"/>
  <c r="BF29" i="8"/>
  <c r="AK29" i="8"/>
  <c r="BC29" i="8"/>
  <c r="AN29" i="8"/>
  <c r="AY29" i="8"/>
  <c r="BQ29" i="8"/>
  <c r="BD29" i="8"/>
  <c r="BO29" i="8"/>
  <c r="BR29" i="8"/>
  <c r="X29" i="8"/>
  <c r="M29" i="8"/>
  <c r="AN32" i="7"/>
  <c r="AI32" i="7"/>
  <c r="W32" i="7"/>
  <c r="AW32" i="7"/>
  <c r="AC58" i="9"/>
  <c r="BF58" i="9"/>
  <c r="AI58" i="9"/>
  <c r="AJ58" i="9"/>
  <c r="AB58" i="9"/>
  <c r="BL58" i="9"/>
  <c r="BM58" i="9"/>
  <c r="P58" i="9"/>
  <c r="BH58" i="9"/>
  <c r="L58" i="9"/>
  <c r="Q58" i="9"/>
  <c r="AZ58" i="9"/>
  <c r="BG58" i="9"/>
  <c r="Z58" i="9"/>
  <c r="N58" i="9"/>
  <c r="BA58" i="9"/>
  <c r="BT58" i="9"/>
  <c r="AN58" i="9"/>
  <c r="AV58" i="9"/>
  <c r="X58" i="9"/>
  <c r="BS58" i="9"/>
  <c r="J58" i="9"/>
  <c r="AU58" i="9"/>
  <c r="W58" i="9"/>
  <c r="BR58" i="9"/>
  <c r="AT58" i="9"/>
  <c r="AH58" i="9"/>
  <c r="V58" i="9"/>
  <c r="BQ58" i="9"/>
  <c r="BJ58" i="9"/>
  <c r="AX58" i="9"/>
  <c r="AL58" i="9"/>
  <c r="K58" i="9"/>
  <c r="AA58" i="9"/>
  <c r="BO58" i="9"/>
  <c r="AM58" i="9"/>
  <c r="AY58" i="9"/>
  <c r="M58" i="9"/>
  <c r="BK58" i="9"/>
  <c r="R58" i="9"/>
  <c r="I58" i="9"/>
  <c r="Y58" i="9"/>
  <c r="AD58" i="9"/>
  <c r="H58" i="9"/>
  <c r="U58" i="9"/>
  <c r="AK58" i="9"/>
  <c r="AP58" i="9"/>
  <c r="T58" i="9"/>
  <c r="AG58" i="9"/>
  <c r="AW58" i="9"/>
  <c r="BB58" i="9"/>
  <c r="AF58" i="9"/>
  <c r="AS58" i="9"/>
  <c r="BI58" i="9"/>
  <c r="BN58" i="9"/>
  <c r="AR58" i="9"/>
  <c r="BE58" i="9"/>
  <c r="S58" i="9"/>
  <c r="BD58" i="9"/>
  <c r="AE58" i="9"/>
  <c r="BP58" i="9"/>
  <c r="AQ58" i="9"/>
  <c r="O58" i="9"/>
  <c r="BC58" i="9"/>
  <c r="AF52" i="10"/>
  <c r="AM52" i="10"/>
  <c r="Z72" i="11"/>
  <c r="AC72" i="11"/>
  <c r="AE72" i="11"/>
  <c r="W72" i="11"/>
  <c r="AT62" i="11"/>
  <c r="AN68" i="11"/>
  <c r="BF68" i="11"/>
  <c r="AQ68" i="11"/>
  <c r="AT68" i="11"/>
  <c r="AD47" i="10"/>
  <c r="Z38" i="9"/>
  <c r="AH38" i="9"/>
  <c r="O38" i="9"/>
  <c r="J38" i="9"/>
  <c r="BQ38" i="9"/>
  <c r="AM38" i="9"/>
  <c r="BE38" i="9"/>
  <c r="AG38" i="9"/>
  <c r="AU38" i="9"/>
  <c r="AN38" i="9"/>
  <c r="BN38" i="9"/>
  <c r="Y38" i="9"/>
  <c r="AE38" i="9"/>
  <c r="I38" i="9"/>
  <c r="BL38" i="9"/>
  <c r="BO38" i="9"/>
  <c r="W38" i="9"/>
  <c r="AY38" i="9"/>
  <c r="BK38" i="9"/>
  <c r="AI38" i="9"/>
  <c r="U38" i="9"/>
  <c r="S38" i="9"/>
  <c r="BC38" i="9"/>
  <c r="AW38" i="9"/>
  <c r="BF38" i="9"/>
  <c r="AK38" i="9"/>
  <c r="R38" i="9"/>
  <c r="AZ38" i="9"/>
  <c r="AP38" i="9"/>
  <c r="BS38" i="9"/>
  <c r="AX38" i="9"/>
  <c r="P38" i="9"/>
  <c r="AR38" i="9"/>
  <c r="AJ38" i="9"/>
  <c r="AF38" i="9"/>
  <c r="X38" i="9"/>
  <c r="K38" i="9"/>
  <c r="T38" i="9"/>
  <c r="L38" i="9"/>
  <c r="AA38" i="9"/>
  <c r="H38" i="9"/>
  <c r="V38" i="9"/>
  <c r="AQ38" i="9"/>
  <c r="BM38" i="9"/>
  <c r="AL38" i="9"/>
  <c r="BG38" i="9"/>
  <c r="N38" i="9"/>
  <c r="BA38" i="9"/>
  <c r="BB38" i="9"/>
  <c r="AD38" i="9"/>
  <c r="AO38" i="9"/>
  <c r="BR38" i="9"/>
  <c r="AT38" i="9"/>
  <c r="AC38" i="9"/>
  <c r="BJ38" i="9"/>
  <c r="Q38" i="9"/>
  <c r="M38" i="9"/>
  <c r="BT38" i="9"/>
  <c r="AB38" i="9"/>
  <c r="BP38" i="9"/>
  <c r="BH38" i="9"/>
  <c r="AS38" i="9"/>
  <c r="BD38" i="9"/>
  <c r="AV38" i="9"/>
  <c r="BI38" i="9"/>
  <c r="AF19" i="7"/>
  <c r="BC19" i="7"/>
  <c r="AX19" i="7"/>
  <c r="AW57" i="10"/>
  <c r="AP29" i="10"/>
  <c r="AB29" i="10"/>
  <c r="AC29" i="10"/>
  <c r="AO43" i="7"/>
  <c r="AM43" i="7"/>
  <c r="F43" i="2"/>
  <c r="AW35" i="11"/>
  <c r="AO35" i="11"/>
  <c r="BT57" i="9"/>
  <c r="BR57" i="9"/>
  <c r="Z57" i="9"/>
  <c r="Y57" i="9"/>
  <c r="BS57" i="9"/>
  <c r="AK57" i="9"/>
  <c r="Q57" i="9"/>
  <c r="U57" i="9"/>
  <c r="BA57" i="9"/>
  <c r="BF57" i="9"/>
  <c r="V57" i="9"/>
  <c r="AN57" i="9"/>
  <c r="AH57" i="9"/>
  <c r="BM57" i="9"/>
  <c r="J57" i="9"/>
  <c r="AW57" i="9"/>
  <c r="P57" i="9"/>
  <c r="AZ57" i="9"/>
  <c r="AL57" i="9"/>
  <c r="AO57" i="9"/>
  <c r="W57" i="9"/>
  <c r="K57" i="9"/>
  <c r="AY57" i="9"/>
  <c r="AX57" i="9"/>
  <c r="BP57" i="9"/>
  <c r="AB57" i="9"/>
  <c r="BQ57" i="9"/>
  <c r="M57" i="9"/>
  <c r="BK57" i="9"/>
  <c r="BH57" i="9"/>
  <c r="AV57" i="9"/>
  <c r="AS57" i="9"/>
  <c r="AJ57" i="9"/>
  <c r="AG57" i="9"/>
  <c r="AA57" i="9"/>
  <c r="BL57" i="9"/>
  <c r="O57" i="9"/>
  <c r="L57" i="9"/>
  <c r="BJ57" i="9"/>
  <c r="BE57" i="9"/>
  <c r="AU57" i="9"/>
  <c r="AM57" i="9"/>
  <c r="AC57" i="9"/>
  <c r="X57" i="9"/>
  <c r="N57" i="9"/>
  <c r="I57" i="9"/>
  <c r="BI57" i="9"/>
  <c r="AI57" i="9"/>
  <c r="AT57" i="9"/>
  <c r="BG57" i="9"/>
  <c r="AE57" i="9"/>
  <c r="AF57" i="9"/>
  <c r="AQ57" i="9"/>
  <c r="AR57" i="9"/>
  <c r="BC57" i="9"/>
  <c r="BD57" i="9"/>
  <c r="R57" i="9"/>
  <c r="BO57" i="9"/>
  <c r="AD57" i="9"/>
  <c r="AP57" i="9"/>
  <c r="BB57" i="9"/>
  <c r="BN57" i="9"/>
  <c r="H57" i="9"/>
  <c r="S57" i="9"/>
  <c r="T57" i="9"/>
  <c r="N27" i="8"/>
  <c r="BS27" i="8"/>
  <c r="BR27" i="8"/>
  <c r="BP27" i="8"/>
  <c r="AA27" i="8"/>
  <c r="BI27" i="8"/>
  <c r="BJ27" i="8"/>
  <c r="K27" i="8"/>
  <c r="Z27" i="8"/>
  <c r="BM27" i="8"/>
  <c r="Y27" i="8"/>
  <c r="X27" i="8"/>
  <c r="M27" i="8"/>
  <c r="W27" i="8"/>
  <c r="BH27" i="8"/>
  <c r="J27" i="8"/>
  <c r="BL27" i="8"/>
  <c r="L27" i="8"/>
  <c r="BT27" i="8"/>
  <c r="P27" i="8"/>
  <c r="Q27" i="8"/>
  <c r="BQ27" i="8"/>
  <c r="V27" i="8"/>
  <c r="AH27" i="8"/>
  <c r="U27" i="8"/>
  <c r="I27" i="8"/>
  <c r="AS27" i="8"/>
  <c r="BK27" i="8"/>
  <c r="AG27" i="8"/>
  <c r="AW27" i="8"/>
  <c r="AD27" i="8"/>
  <c r="AK27" i="8"/>
  <c r="AP27" i="8"/>
  <c r="BA27" i="8"/>
  <c r="AV27" i="8"/>
  <c r="BB27" i="8"/>
  <c r="AO27" i="8"/>
  <c r="AJ27" i="8"/>
  <c r="BN27" i="8"/>
  <c r="AC27" i="8"/>
  <c r="BG27" i="8"/>
  <c r="AZ27" i="8"/>
  <c r="AU27" i="8"/>
  <c r="AN27" i="8"/>
  <c r="AI27" i="8"/>
  <c r="S27" i="8"/>
  <c r="H27" i="8"/>
  <c r="AB27" i="8"/>
  <c r="AT27" i="8"/>
  <c r="AE27" i="8"/>
  <c r="T27" i="8"/>
  <c r="AY27" i="8"/>
  <c r="AQ27" i="8"/>
  <c r="AF27" i="8"/>
  <c r="AM27" i="8"/>
  <c r="BC27" i="8"/>
  <c r="AR27" i="8"/>
  <c r="AX27" i="8"/>
  <c r="BE27" i="8"/>
  <c r="BO27" i="8"/>
  <c r="BD27" i="8"/>
  <c r="AL27" i="8"/>
  <c r="BF27" i="8"/>
  <c r="R27" i="8"/>
  <c r="AN31" i="11"/>
  <c r="AV66" i="11"/>
  <c r="AO66" i="11"/>
  <c r="AU31" i="7"/>
  <c r="BF31" i="7"/>
  <c r="BH19" i="8"/>
  <c r="BK19" i="8"/>
  <c r="BN19" i="8"/>
  <c r="K19" i="8"/>
  <c r="AP19" i="8"/>
  <c r="L19" i="8"/>
  <c r="AV19" i="8"/>
  <c r="O19" i="8"/>
  <c r="AY19" i="8"/>
  <c r="BS19" i="8"/>
  <c r="BB19" i="8"/>
  <c r="BT19" i="8"/>
  <c r="AU19" i="8"/>
  <c r="BG19" i="8"/>
  <c r="AA19" i="8"/>
  <c r="X19" i="8"/>
  <c r="W19" i="8"/>
  <c r="R19" i="8"/>
  <c r="AI19" i="8"/>
  <c r="AJ19" i="8"/>
  <c r="AD19" i="8"/>
  <c r="J19" i="8"/>
  <c r="H19" i="8"/>
  <c r="AZ19" i="8"/>
  <c r="Y19" i="8"/>
  <c r="BQ19" i="8"/>
  <c r="BO19" i="8"/>
  <c r="AN19" i="8"/>
  <c r="M19" i="8"/>
  <c r="BE19" i="8"/>
  <c r="BC19" i="8"/>
  <c r="AB19" i="8"/>
  <c r="AM19" i="8"/>
  <c r="AS19" i="8"/>
  <c r="AQ19" i="8"/>
  <c r="P19" i="8"/>
  <c r="AG19" i="8"/>
  <c r="AE19" i="8"/>
  <c r="BJ19" i="8"/>
  <c r="U19" i="8"/>
  <c r="S19" i="8"/>
  <c r="AX19" i="8"/>
  <c r="I19" i="8"/>
  <c r="BM19" i="8"/>
  <c r="AL19" i="8"/>
  <c r="BR19" i="8"/>
  <c r="BP19" i="8"/>
  <c r="BA19" i="8"/>
  <c r="Z19" i="8"/>
  <c r="BF19" i="8"/>
  <c r="BD19" i="8"/>
  <c r="AO19" i="8"/>
  <c r="N19" i="8"/>
  <c r="AT19" i="8"/>
  <c r="AR19" i="8"/>
  <c r="AC19" i="8"/>
  <c r="BI19" i="8"/>
  <c r="AH19" i="8"/>
  <c r="AF19" i="8"/>
  <c r="Q19" i="8"/>
  <c r="AW19" i="8"/>
  <c r="V19" i="8"/>
  <c r="T19" i="8"/>
  <c r="BL19" i="8"/>
  <c r="AK19" i="8"/>
  <c r="AE24" i="9"/>
  <c r="O28" i="7"/>
  <c r="AF28" i="7"/>
  <c r="R28" i="7"/>
  <c r="J28" i="7"/>
  <c r="AS35" i="12"/>
  <c r="BE28" i="5"/>
  <c r="AZ23" i="8"/>
  <c r="AH69" i="7"/>
  <c r="AN69" i="7"/>
  <c r="AH28" i="5"/>
  <c r="AO27" i="5"/>
  <c r="AQ27" i="5"/>
  <c r="Y27" i="5"/>
  <c r="AF27" i="5"/>
  <c r="AI27" i="5"/>
  <c r="AD27" i="5"/>
  <c r="AB27" i="5"/>
  <c r="AL27" i="5"/>
  <c r="AP27" i="5"/>
  <c r="AC27" i="5"/>
  <c r="AA27" i="5"/>
  <c r="AM27" i="5"/>
  <c r="X27" i="5"/>
  <c r="AJ27" i="5"/>
  <c r="AN27" i="5"/>
  <c r="AG27" i="5"/>
  <c r="M66" i="7"/>
  <c r="AI66" i="7"/>
  <c r="AA66" i="7"/>
  <c r="BM70" i="9"/>
  <c r="AV70" i="9"/>
  <c r="AN70" i="9"/>
  <c r="AW70" i="9"/>
  <c r="H70" i="9"/>
  <c r="AC70" i="9"/>
  <c r="AA70" i="9"/>
  <c r="L70" i="9"/>
  <c r="BP70" i="9"/>
  <c r="BH70" i="9"/>
  <c r="BL70" i="9"/>
  <c r="AK70" i="9"/>
  <c r="Y70" i="9"/>
  <c r="O70" i="9"/>
  <c r="BK70" i="9"/>
  <c r="AO70" i="9"/>
  <c r="BD70" i="9"/>
  <c r="X70" i="9"/>
  <c r="AJ70" i="9"/>
  <c r="AZ70" i="9"/>
  <c r="N70" i="9"/>
  <c r="T70" i="9"/>
  <c r="BA70" i="9"/>
  <c r="AY70" i="9"/>
  <c r="AF70" i="9"/>
  <c r="Q70" i="9"/>
  <c r="BS70" i="9"/>
  <c r="M70" i="9"/>
  <c r="AR70" i="9"/>
  <c r="BI70" i="9"/>
  <c r="BT70" i="9"/>
  <c r="BO70" i="9"/>
  <c r="AM70" i="9"/>
  <c r="AX70" i="9"/>
  <c r="P70" i="9"/>
  <c r="AB70" i="9"/>
  <c r="BJ70" i="9"/>
  <c r="AD70" i="9"/>
  <c r="AS70" i="9"/>
  <c r="AP70" i="9"/>
  <c r="BE70" i="9"/>
  <c r="BB70" i="9"/>
  <c r="BQ70" i="9"/>
  <c r="J70" i="9"/>
  <c r="BN70" i="9"/>
  <c r="V70" i="9"/>
  <c r="K70" i="9"/>
  <c r="AH70" i="9"/>
  <c r="W70" i="9"/>
  <c r="AT70" i="9"/>
  <c r="AI70" i="9"/>
  <c r="BF70" i="9"/>
  <c r="AU70" i="9"/>
  <c r="BR70" i="9"/>
  <c r="BG70" i="9"/>
  <c r="U70" i="9"/>
  <c r="I70" i="9"/>
  <c r="S70" i="9"/>
  <c r="Z70" i="9"/>
  <c r="AL70" i="9"/>
  <c r="AQ70" i="9"/>
  <c r="BC70" i="9"/>
  <c r="R70" i="9"/>
  <c r="AG70" i="9"/>
  <c r="AK40" i="9"/>
  <c r="BC27" i="10"/>
  <c r="AW27" i="10"/>
  <c r="S28" i="12"/>
  <c r="AK28" i="12"/>
  <c r="AI28" i="5"/>
  <c r="AD45" i="7"/>
  <c r="AO45" i="7"/>
  <c r="AD48" i="11"/>
  <c r="AL25" i="7"/>
  <c r="BA25" i="7"/>
  <c r="AW25" i="7"/>
  <c r="AK27" i="11"/>
  <c r="AN27" i="11"/>
  <c r="AJ27" i="11"/>
  <c r="AG31" i="5"/>
  <c r="BE69" i="7"/>
  <c r="BR37" i="9"/>
  <c r="AT37" i="9"/>
  <c r="AD37" i="9"/>
  <c r="X37" i="9"/>
  <c r="AQ37" i="9"/>
  <c r="Y37" i="9"/>
  <c r="BD37" i="9"/>
  <c r="AB37" i="9"/>
  <c r="S37" i="9"/>
  <c r="AE37" i="9"/>
  <c r="AR37" i="9"/>
  <c r="P37" i="9"/>
  <c r="BF37" i="9"/>
  <c r="L37" i="9"/>
  <c r="AS37" i="9"/>
  <c r="AF37" i="9"/>
  <c r="BK37" i="9"/>
  <c r="AK37" i="9"/>
  <c r="BQ37" i="9"/>
  <c r="T37" i="9"/>
  <c r="AY37" i="9"/>
  <c r="R37" i="9"/>
  <c r="AV37" i="9"/>
  <c r="H37" i="9"/>
  <c r="AM37" i="9"/>
  <c r="BE37" i="9"/>
  <c r="Z37" i="9"/>
  <c r="BS37" i="9"/>
  <c r="BM37" i="9"/>
  <c r="AA37" i="9"/>
  <c r="AJ37" i="9"/>
  <c r="I37" i="9"/>
  <c r="AG37" i="9"/>
  <c r="BG37" i="9"/>
  <c r="BA37" i="9"/>
  <c r="O37" i="9"/>
  <c r="Q37" i="9"/>
  <c r="AW37" i="9"/>
  <c r="AU37" i="9"/>
  <c r="AO37" i="9"/>
  <c r="BI37" i="9"/>
  <c r="BC37" i="9"/>
  <c r="AI37" i="9"/>
  <c r="AC37" i="9"/>
  <c r="AP37" i="9"/>
  <c r="AH37" i="9"/>
  <c r="W37" i="9"/>
  <c r="BL37" i="9"/>
  <c r="U37" i="9"/>
  <c r="N37" i="9"/>
  <c r="K37" i="9"/>
  <c r="AZ37" i="9"/>
  <c r="BH37" i="9"/>
  <c r="BT37" i="9"/>
  <c r="BP37" i="9"/>
  <c r="AN37" i="9"/>
  <c r="AL37" i="9"/>
  <c r="AX37" i="9"/>
  <c r="V37" i="9"/>
  <c r="BB37" i="9"/>
  <c r="BO37" i="9"/>
  <c r="J37" i="9"/>
  <c r="M37" i="9"/>
  <c r="BJ37" i="9"/>
  <c r="BN37" i="9"/>
  <c r="S41" i="8"/>
  <c r="T41" i="8"/>
  <c r="BO41" i="8"/>
  <c r="AF41" i="8"/>
  <c r="BD41" i="8"/>
  <c r="H41" i="8"/>
  <c r="AQ41" i="8"/>
  <c r="AX41" i="8"/>
  <c r="BP41" i="8"/>
  <c r="AR41" i="8"/>
  <c r="BQ41" i="8"/>
  <c r="BH41" i="8"/>
  <c r="I41" i="8"/>
  <c r="AV41" i="8"/>
  <c r="AG41" i="8"/>
  <c r="J41" i="8"/>
  <c r="AJ41" i="8"/>
  <c r="BE41" i="8"/>
  <c r="AH41" i="8"/>
  <c r="X41" i="8"/>
  <c r="BF41" i="8"/>
  <c r="W41" i="8"/>
  <c r="L41" i="8"/>
  <c r="AU41" i="8"/>
  <c r="AE41" i="8"/>
  <c r="N41" i="8"/>
  <c r="V41" i="8"/>
  <c r="BS41" i="8"/>
  <c r="BN41" i="8"/>
  <c r="BC41" i="8"/>
  <c r="AL41" i="8"/>
  <c r="AT41" i="8"/>
  <c r="Z41" i="8"/>
  <c r="K41" i="8"/>
  <c r="BJ41" i="8"/>
  <c r="BR41" i="8"/>
  <c r="AI41" i="8"/>
  <c r="BG41" i="8"/>
  <c r="U41" i="8"/>
  <c r="AS41" i="8"/>
  <c r="BT41" i="8"/>
  <c r="Y41" i="8"/>
  <c r="AA41" i="8"/>
  <c r="AN41" i="8"/>
  <c r="AP41" i="8"/>
  <c r="AK41" i="8"/>
  <c r="AM41" i="8"/>
  <c r="AZ41" i="8"/>
  <c r="BB41" i="8"/>
  <c r="AW41" i="8"/>
  <c r="AY41" i="8"/>
  <c r="BL41" i="8"/>
  <c r="BI41" i="8"/>
  <c r="BK41" i="8"/>
  <c r="Q41" i="8"/>
  <c r="AC41" i="8"/>
  <c r="AO41" i="8"/>
  <c r="BA41" i="8"/>
  <c r="BM41" i="8"/>
  <c r="P41" i="8"/>
  <c r="R41" i="8"/>
  <c r="M41" i="8"/>
  <c r="O41" i="8"/>
  <c r="AB41" i="8"/>
  <c r="AD41" i="8"/>
  <c r="AJ21" i="11"/>
  <c r="AN21" i="11"/>
  <c r="AK21" i="11"/>
  <c r="BF25" i="12"/>
  <c r="AH25" i="12"/>
  <c r="AN27" i="7"/>
  <c r="Q27" i="7"/>
  <c r="V27" i="7"/>
  <c r="AL27" i="7"/>
  <c r="AF55" i="10"/>
  <c r="J40" i="7"/>
  <c r="Q40" i="7"/>
  <c r="BG40" i="11"/>
  <c r="AF44" i="7"/>
  <c r="AH44" i="7"/>
  <c r="AG44" i="7"/>
  <c r="AY44" i="7"/>
  <c r="S21" i="10"/>
  <c r="AQ21" i="10"/>
  <c r="AO21" i="10"/>
  <c r="AU18" i="10"/>
  <c r="AB18" i="10"/>
  <c r="AS18" i="10"/>
  <c r="BB62" i="10"/>
  <c r="AZ62" i="10"/>
  <c r="AJ30" i="12"/>
  <c r="AO30" i="12"/>
  <c r="Y30" i="12"/>
  <c r="AE33" i="12"/>
  <c r="AX33" i="12"/>
  <c r="AY33" i="12"/>
  <c r="AT33" i="12"/>
  <c r="AI33" i="12"/>
  <c r="AN37" i="12"/>
  <c r="AW37" i="12"/>
  <c r="AO37" i="12"/>
  <c r="BE54" i="8"/>
  <c r="BF54" i="8"/>
  <c r="W54" i="8"/>
  <c r="AX54" i="8"/>
  <c r="V54" i="8"/>
  <c r="AV54" i="8"/>
  <c r="U54" i="8"/>
  <c r="AU54" i="8"/>
  <c r="P54" i="8"/>
  <c r="AS54" i="8"/>
  <c r="O54" i="8"/>
  <c r="BT54" i="8"/>
  <c r="AN54" i="8"/>
  <c r="L54" i="8"/>
  <c r="BR54" i="8"/>
  <c r="AL54" i="8"/>
  <c r="J54" i="8"/>
  <c r="BQ54" i="8"/>
  <c r="AK54" i="8"/>
  <c r="I54" i="8"/>
  <c r="BJ54" i="8"/>
  <c r="AJ54" i="8"/>
  <c r="BI54" i="8"/>
  <c r="BH54" i="8"/>
  <c r="BG54" i="8"/>
  <c r="AG54" i="8"/>
  <c r="Y54" i="8"/>
  <c r="Z54" i="8"/>
  <c r="BL54" i="8"/>
  <c r="BS54" i="8"/>
  <c r="M54" i="8"/>
  <c r="N54" i="8"/>
  <c r="AH54" i="8"/>
  <c r="AI54" i="8"/>
  <c r="AZ54" i="8"/>
  <c r="BP54" i="8"/>
  <c r="K54" i="8"/>
  <c r="X54" i="8"/>
  <c r="AB54" i="8"/>
  <c r="AT54" i="8"/>
  <c r="AW54" i="8"/>
  <c r="BO54" i="8"/>
  <c r="AR54" i="8"/>
  <c r="BD54" i="8"/>
  <c r="R54" i="8"/>
  <c r="AD54" i="8"/>
  <c r="AP54" i="8"/>
  <c r="BB54" i="8"/>
  <c r="BN54" i="8"/>
  <c r="AA54" i="8"/>
  <c r="Q54" i="8"/>
  <c r="AM54" i="8"/>
  <c r="AC54" i="8"/>
  <c r="S54" i="8"/>
  <c r="AY54" i="8"/>
  <c r="AO54" i="8"/>
  <c r="AE54" i="8"/>
  <c r="H54" i="8"/>
  <c r="BK54" i="8"/>
  <c r="BA54" i="8"/>
  <c r="AQ54" i="8"/>
  <c r="T54" i="8"/>
  <c r="BM54" i="8"/>
  <c r="BC54" i="8"/>
  <c r="AF54" i="8"/>
  <c r="R20" i="10"/>
  <c r="AJ20" i="10"/>
  <c r="AO75" i="9"/>
  <c r="AS63" i="10"/>
  <c r="AG42" i="10"/>
  <c r="AN42" i="10"/>
  <c r="Y42" i="10"/>
  <c r="BA42" i="10"/>
  <c r="BE54" i="12"/>
  <c r="AP54" i="12"/>
  <c r="BD54" i="12"/>
  <c r="AH51" i="10"/>
  <c r="AS51" i="10"/>
  <c r="AU51" i="10"/>
  <c r="BB19" i="11"/>
  <c r="AI19" i="11"/>
  <c r="AJ19" i="11"/>
  <c r="AV19" i="11"/>
  <c r="W54" i="7"/>
  <c r="V61" i="7"/>
  <c r="AE71" i="7"/>
  <c r="AY28" i="5"/>
  <c r="AS63" i="11"/>
  <c r="BG63" i="11"/>
  <c r="AY63" i="11"/>
  <c r="AY69" i="7"/>
  <c r="AT53" i="7"/>
  <c r="AO53" i="7"/>
  <c r="AM53" i="7"/>
  <c r="AE47" i="11"/>
  <c r="AD47" i="11"/>
  <c r="AO21" i="7"/>
  <c r="AB21" i="7"/>
  <c r="AM24" i="10"/>
  <c r="AK24" i="10"/>
  <c r="AH24" i="10"/>
  <c r="P24" i="11"/>
  <c r="AO24" i="11"/>
  <c r="AB24" i="11"/>
  <c r="BT44" i="9"/>
  <c r="BG44" i="9"/>
  <c r="BJ44" i="9"/>
  <c r="BH44" i="9"/>
  <c r="BF44" i="9"/>
  <c r="V44" i="9"/>
  <c r="N44" i="9"/>
  <c r="U44" i="9"/>
  <c r="O44" i="9"/>
  <c r="S44" i="9"/>
  <c r="BA44" i="9"/>
  <c r="W44" i="9"/>
  <c r="BS44" i="9"/>
  <c r="AM44" i="9"/>
  <c r="I44" i="9"/>
  <c r="BP44" i="9"/>
  <c r="BE44" i="9"/>
  <c r="Y44" i="9"/>
  <c r="BI44" i="9"/>
  <c r="BD44" i="9"/>
  <c r="AO44" i="9"/>
  <c r="K44" i="9"/>
  <c r="AU44" i="9"/>
  <c r="AS44" i="9"/>
  <c r="AC44" i="9"/>
  <c r="AR44" i="9"/>
  <c r="AA44" i="9"/>
  <c r="BN44" i="9"/>
  <c r="AG44" i="9"/>
  <c r="AD44" i="9"/>
  <c r="AF44" i="9"/>
  <c r="M44" i="9"/>
  <c r="AZ44" i="9"/>
  <c r="Q44" i="9"/>
  <c r="AP44" i="9"/>
  <c r="T44" i="9"/>
  <c r="BR44" i="9"/>
  <c r="AL44" i="9"/>
  <c r="AI44" i="9"/>
  <c r="AX44" i="9"/>
  <c r="H44" i="9"/>
  <c r="BB44" i="9"/>
  <c r="X44" i="9"/>
  <c r="BK44" i="9"/>
  <c r="AH44" i="9"/>
  <c r="BO44" i="9"/>
  <c r="AN44" i="9"/>
  <c r="J44" i="9"/>
  <c r="AB44" i="9"/>
  <c r="BC44" i="9"/>
  <c r="Z44" i="9"/>
  <c r="BM44" i="9"/>
  <c r="P44" i="9"/>
  <c r="R44" i="9"/>
  <c r="AW44" i="9"/>
  <c r="AQ44" i="9"/>
  <c r="L44" i="9"/>
  <c r="AY44" i="9"/>
  <c r="AJ44" i="9"/>
  <c r="AT44" i="9"/>
  <c r="AV44" i="9"/>
  <c r="AE44" i="9"/>
  <c r="BQ44" i="9"/>
  <c r="AK44" i="9"/>
  <c r="BL44" i="9"/>
  <c r="U32" i="7"/>
  <c r="AW52" i="10"/>
  <c r="AB28" i="5"/>
  <c r="AI72" i="11"/>
  <c r="AM62" i="11"/>
  <c r="AX62" i="11"/>
  <c r="AV62" i="11"/>
  <c r="AS68" i="11"/>
  <c r="AU58" i="11"/>
  <c r="AS58" i="11"/>
  <c r="AO19" i="7"/>
  <c r="AG19" i="7"/>
  <c r="AT57" i="10"/>
  <c r="AS29" i="10"/>
  <c r="AE29" i="10"/>
  <c r="AF29" i="10"/>
  <c r="T43" i="7"/>
  <c r="X43" i="7"/>
  <c r="AW30" i="9"/>
  <c r="AI30" i="9"/>
  <c r="AF30" i="9"/>
  <c r="AB30" i="9"/>
  <c r="K30" i="9"/>
  <c r="AK30" i="9"/>
  <c r="T30" i="9"/>
  <c r="Q30" i="9"/>
  <c r="J30" i="9"/>
  <c r="BE30" i="9"/>
  <c r="Y30" i="9"/>
  <c r="BO30" i="9"/>
  <c r="BL30" i="9"/>
  <c r="BS30" i="9"/>
  <c r="I30" i="9"/>
  <c r="M30" i="9"/>
  <c r="AZ30" i="9"/>
  <c r="AT30" i="9"/>
  <c r="BD30" i="9"/>
  <c r="AR30" i="9"/>
  <c r="BT30" i="9"/>
  <c r="AH30" i="9"/>
  <c r="AE30" i="9"/>
  <c r="AO30" i="9"/>
  <c r="AP30" i="9"/>
  <c r="BH30" i="9"/>
  <c r="S30" i="9"/>
  <c r="P30" i="9"/>
  <c r="W30" i="9"/>
  <c r="AN30" i="9"/>
  <c r="BJ30" i="9"/>
  <c r="AV30" i="9"/>
  <c r="BN30" i="9"/>
  <c r="BK30" i="9"/>
  <c r="H30" i="9"/>
  <c r="BC30" i="9"/>
  <c r="AX30" i="9"/>
  <c r="AJ30" i="9"/>
  <c r="AY30" i="9"/>
  <c r="AS30" i="9"/>
  <c r="BR30" i="9"/>
  <c r="BB30" i="9"/>
  <c r="AL30" i="9"/>
  <c r="X30" i="9"/>
  <c r="AG30" i="9"/>
  <c r="AD30" i="9"/>
  <c r="V30" i="9"/>
  <c r="AC30" i="9"/>
  <c r="Z30" i="9"/>
  <c r="L30" i="9"/>
  <c r="R30" i="9"/>
  <c r="O30" i="9"/>
  <c r="BQ30" i="9"/>
  <c r="AA30" i="9"/>
  <c r="N30" i="9"/>
  <c r="BP30" i="9"/>
  <c r="BM30" i="9"/>
  <c r="BF30" i="9"/>
  <c r="U30" i="9"/>
  <c r="AM30" i="9"/>
  <c r="BI30" i="9"/>
  <c r="BA30" i="9"/>
  <c r="AU30" i="9"/>
  <c r="AQ30" i="9"/>
  <c r="BG30" i="9"/>
  <c r="BB31" i="11"/>
  <c r="AR31" i="11"/>
  <c r="F55" i="2"/>
  <c r="AZ66" i="11"/>
  <c r="AS66" i="11"/>
  <c r="BS40" i="8"/>
  <c r="BE40" i="8"/>
  <c r="BC40" i="8"/>
  <c r="AR40" i="8"/>
  <c r="S40" i="8"/>
  <c r="BR40" i="8"/>
  <c r="K40" i="8"/>
  <c r="AW40" i="8"/>
  <c r="AQ40" i="8"/>
  <c r="M40" i="8"/>
  <c r="AF40" i="8"/>
  <c r="BQ40" i="8"/>
  <c r="BI40" i="8"/>
  <c r="H40" i="8"/>
  <c r="BD40" i="8"/>
  <c r="BG40" i="8"/>
  <c r="J40" i="8"/>
  <c r="AI40" i="8"/>
  <c r="BB40" i="8"/>
  <c r="AH40" i="8"/>
  <c r="V40" i="8"/>
  <c r="BF40" i="8"/>
  <c r="I40" i="8"/>
  <c r="AP40" i="8"/>
  <c r="AE40" i="8"/>
  <c r="AU40" i="8"/>
  <c r="AD40" i="8"/>
  <c r="BP40" i="8"/>
  <c r="AK40" i="8"/>
  <c r="R40" i="8"/>
  <c r="T40" i="8"/>
  <c r="U40" i="8"/>
  <c r="BN40" i="8"/>
  <c r="AG40" i="8"/>
  <c r="Q40" i="8"/>
  <c r="AX40" i="8"/>
  <c r="BO40" i="8"/>
  <c r="BL40" i="8"/>
  <c r="AL40" i="8"/>
  <c r="AZ40" i="8"/>
  <c r="Z40" i="8"/>
  <c r="AN40" i="8"/>
  <c r="N40" i="8"/>
  <c r="AB40" i="8"/>
  <c r="BT40" i="8"/>
  <c r="P40" i="8"/>
  <c r="BH40" i="8"/>
  <c r="Y40" i="8"/>
  <c r="BK40" i="8"/>
  <c r="AV40" i="8"/>
  <c r="AT40" i="8"/>
  <c r="AY40" i="8"/>
  <c r="AJ40" i="8"/>
  <c r="BM40" i="8"/>
  <c r="AM40" i="8"/>
  <c r="X40" i="8"/>
  <c r="BA40" i="8"/>
  <c r="AA40" i="8"/>
  <c r="L40" i="8"/>
  <c r="AO40" i="8"/>
  <c r="O40" i="8"/>
  <c r="W40" i="8"/>
  <c r="AC40" i="8"/>
  <c r="BJ40" i="8"/>
  <c r="AS40" i="8"/>
  <c r="BS18" i="9"/>
  <c r="AZ18" i="9"/>
  <c r="BG18" i="9"/>
  <c r="BJ18" i="9"/>
  <c r="BH18" i="9"/>
  <c r="BF18" i="9"/>
  <c r="W18" i="9"/>
  <c r="AG18" i="9"/>
  <c r="Y18" i="9"/>
  <c r="AA18" i="9"/>
  <c r="BP18" i="9"/>
  <c r="AN18" i="9"/>
  <c r="I18" i="9"/>
  <c r="AJ18" i="9"/>
  <c r="O18" i="9"/>
  <c r="BC18" i="9"/>
  <c r="Z18" i="9"/>
  <c r="AH18" i="9"/>
  <c r="BR18" i="9"/>
  <c r="AP18" i="9"/>
  <c r="M18" i="9"/>
  <c r="BM18" i="9"/>
  <c r="BE18" i="9"/>
  <c r="AC18" i="9"/>
  <c r="BL18" i="9"/>
  <c r="AR18" i="9"/>
  <c r="P18" i="9"/>
  <c r="AX18" i="9"/>
  <c r="AE18" i="9"/>
  <c r="BO18" i="9"/>
  <c r="AK18" i="9"/>
  <c r="R18" i="9"/>
  <c r="BB18" i="9"/>
  <c r="X18" i="9"/>
  <c r="H18" i="9"/>
  <c r="U18" i="9"/>
  <c r="BQ18" i="9"/>
  <c r="AO18" i="9"/>
  <c r="K18" i="9"/>
  <c r="AL18" i="9"/>
  <c r="BD18" i="9"/>
  <c r="AB18" i="9"/>
  <c r="BI18" i="9"/>
  <c r="BT18" i="9"/>
  <c r="AF18" i="9"/>
  <c r="BK18" i="9"/>
  <c r="AQ18" i="9"/>
  <c r="N18" i="9"/>
  <c r="AV18" i="9"/>
  <c r="AY18" i="9"/>
  <c r="AD18" i="9"/>
  <c r="BN18" i="9"/>
  <c r="AI18" i="9"/>
  <c r="AM18" i="9"/>
  <c r="Q18" i="9"/>
  <c r="BA18" i="9"/>
  <c r="V18" i="9"/>
  <c r="AW18" i="9"/>
  <c r="J18" i="9"/>
  <c r="AS18" i="9"/>
  <c r="S18" i="9"/>
  <c r="L18" i="9"/>
  <c r="AU18" i="9"/>
  <c r="AT18" i="9"/>
  <c r="T18" i="9"/>
  <c r="BR61" i="8"/>
  <c r="BB61" i="8"/>
  <c r="AJ61" i="8"/>
  <c r="AN61" i="8"/>
  <c r="BQ61" i="8"/>
  <c r="U61" i="8"/>
  <c r="BC61" i="8"/>
  <c r="V61" i="8"/>
  <c r="BK61" i="8"/>
  <c r="AK61" i="8"/>
  <c r="AV61" i="8"/>
  <c r="AS61" i="8"/>
  <c r="BE61" i="8"/>
  <c r="AY61" i="8"/>
  <c r="Y61" i="8"/>
  <c r="AG61" i="8"/>
  <c r="AD61" i="8"/>
  <c r="AP61" i="8"/>
  <c r="AM61" i="8"/>
  <c r="M61" i="8"/>
  <c r="R61" i="8"/>
  <c r="L61" i="8"/>
  <c r="X61" i="8"/>
  <c r="AA61" i="8"/>
  <c r="BP61" i="8"/>
  <c r="BM61" i="8"/>
  <c r="BG61" i="8"/>
  <c r="I61" i="8"/>
  <c r="O61" i="8"/>
  <c r="BA61" i="8"/>
  <c r="AU61" i="8"/>
  <c r="AR61" i="8"/>
  <c r="BS61" i="8"/>
  <c r="BJ61" i="8"/>
  <c r="AI61" i="8"/>
  <c r="AF61" i="8"/>
  <c r="AC61" i="8"/>
  <c r="BD61" i="8"/>
  <c r="AX61" i="8"/>
  <c r="T61" i="8"/>
  <c r="Q61" i="8"/>
  <c r="K61" i="8"/>
  <c r="AO61" i="8"/>
  <c r="AL61" i="8"/>
  <c r="BO61" i="8"/>
  <c r="BL61" i="8"/>
  <c r="BF61" i="8"/>
  <c r="W61" i="8"/>
  <c r="Z61" i="8"/>
  <c r="AZ61" i="8"/>
  <c r="AT61" i="8"/>
  <c r="AQ61" i="8"/>
  <c r="H61" i="8"/>
  <c r="N61" i="8"/>
  <c r="AH61" i="8"/>
  <c r="AE61" i="8"/>
  <c r="AB61" i="8"/>
  <c r="BI61" i="8"/>
  <c r="S61" i="8"/>
  <c r="P61" i="8"/>
  <c r="J61" i="8"/>
  <c r="AW61" i="8"/>
  <c r="BN61" i="8"/>
  <c r="BH61" i="8"/>
  <c r="BT61" i="8"/>
  <c r="AY35" i="12"/>
  <c r="O7" i="2"/>
  <c r="F53" i="2"/>
  <c r="AT28" i="5"/>
  <c r="AF66" i="7"/>
  <c r="U66" i="7"/>
  <c r="T66" i="7"/>
  <c r="BR64" i="8"/>
  <c r="Y27" i="10"/>
  <c r="AI27" i="10"/>
  <c r="AL28" i="12"/>
  <c r="U28" i="12"/>
  <c r="AQ28" i="12"/>
  <c r="F56" i="2"/>
  <c r="AU28" i="5"/>
  <c r="X45" i="7"/>
  <c r="AN48" i="11"/>
  <c r="AA25" i="7"/>
  <c r="AT25" i="7"/>
  <c r="AN25" i="7"/>
  <c r="AK25" i="7"/>
  <c r="AT54" i="7"/>
  <c r="P65" i="9"/>
  <c r="AT65" i="9"/>
  <c r="BG65" i="9"/>
  <c r="BP65" i="9"/>
  <c r="BH65" i="9"/>
  <c r="AR65" i="9"/>
  <c r="AF65" i="9"/>
  <c r="BF65" i="9"/>
  <c r="AD65" i="9"/>
  <c r="Q65" i="9"/>
  <c r="R65" i="9"/>
  <c r="AS65" i="9"/>
  <c r="AE65" i="9"/>
  <c r="BT65" i="9"/>
  <c r="AU65" i="9"/>
  <c r="I65" i="9"/>
  <c r="N65" i="9"/>
  <c r="BK65" i="9"/>
  <c r="W65" i="9"/>
  <c r="BI65" i="9"/>
  <c r="U65" i="9"/>
  <c r="AM65" i="9"/>
  <c r="AW65" i="9"/>
  <c r="AI65" i="9"/>
  <c r="BA65" i="9"/>
  <c r="AK65" i="9"/>
  <c r="L65" i="9"/>
  <c r="AY65" i="9"/>
  <c r="BO65" i="9"/>
  <c r="Y65" i="9"/>
  <c r="AB65" i="9"/>
  <c r="BM65" i="9"/>
  <c r="M65" i="9"/>
  <c r="AP65" i="9"/>
  <c r="H65" i="9"/>
  <c r="K65" i="9"/>
  <c r="BD65" i="9"/>
  <c r="AV65" i="9"/>
  <c r="V65" i="9"/>
  <c r="T65" i="9"/>
  <c r="AA65" i="9"/>
  <c r="BR65" i="9"/>
  <c r="O65" i="9"/>
  <c r="AJ65" i="9"/>
  <c r="J65" i="9"/>
  <c r="BJ65" i="9"/>
  <c r="AO65" i="9"/>
  <c r="AH65" i="9"/>
  <c r="AC65" i="9"/>
  <c r="AZ65" i="9"/>
  <c r="X65" i="9"/>
  <c r="AX65" i="9"/>
  <c r="BC65" i="9"/>
  <c r="AQ65" i="9"/>
  <c r="S65" i="9"/>
  <c r="BN65" i="9"/>
  <c r="AN65" i="9"/>
  <c r="AL65" i="9"/>
  <c r="BQ65" i="9"/>
  <c r="BE65" i="9"/>
  <c r="AG65" i="9"/>
  <c r="BB65" i="9"/>
  <c r="Z65" i="9"/>
  <c r="BL65" i="9"/>
  <c r="BS65" i="9"/>
  <c r="AH21" i="11"/>
  <c r="AY21" i="11"/>
  <c r="AU21" i="11"/>
  <c r="AI21" i="11"/>
  <c r="AK25" i="12"/>
  <c r="AP25" i="12"/>
  <c r="AC25" i="12"/>
  <c r="BC25" i="12"/>
  <c r="AD27" i="7"/>
  <c r="W27" i="7"/>
  <c r="N40" i="7"/>
  <c r="H40" i="7"/>
  <c r="BC40" i="11"/>
  <c r="S22" i="10"/>
  <c r="Z44" i="7"/>
  <c r="AT44" i="7"/>
  <c r="AN21" i="10"/>
  <c r="AG21" i="10"/>
  <c r="AR18" i="10"/>
  <c r="AF18" i="10"/>
  <c r="AI18" i="10"/>
  <c r="AP62" i="10"/>
  <c r="AS62" i="10"/>
  <c r="AV62" i="10"/>
  <c r="W33" i="12"/>
  <c r="AJ33" i="12"/>
  <c r="AU33" i="12"/>
  <c r="BC37" i="12"/>
  <c r="AR37" i="12"/>
  <c r="BT17" i="9"/>
  <c r="BS17" i="9"/>
  <c r="BK17" i="9"/>
  <c r="AI17" i="9"/>
  <c r="BH17" i="9"/>
  <c r="BA17" i="9"/>
  <c r="Y17" i="9"/>
  <c r="AO17" i="9"/>
  <c r="AC17" i="9"/>
  <c r="AM17" i="9"/>
  <c r="M17" i="9"/>
  <c r="AA17" i="9"/>
  <c r="BM17" i="9"/>
  <c r="AK17" i="9"/>
  <c r="L17" i="9"/>
  <c r="K17" i="9"/>
  <c r="BI17" i="9"/>
  <c r="BR17" i="9"/>
  <c r="BG17" i="9"/>
  <c r="AY17" i="9"/>
  <c r="X17" i="9"/>
  <c r="AW17" i="9"/>
  <c r="W17" i="9"/>
  <c r="AV17" i="9"/>
  <c r="Q17" i="9"/>
  <c r="AJ17" i="9"/>
  <c r="AU17" i="9"/>
  <c r="O17" i="9"/>
  <c r="BJ17" i="9"/>
  <c r="BO17" i="9"/>
  <c r="AG17" i="9"/>
  <c r="BF17" i="9"/>
  <c r="H17" i="9"/>
  <c r="AS17" i="9"/>
  <c r="R17" i="9"/>
  <c r="T17" i="9"/>
  <c r="BE17" i="9"/>
  <c r="AD17" i="9"/>
  <c r="AF17" i="9"/>
  <c r="BQ17" i="9"/>
  <c r="P17" i="9"/>
  <c r="AP17" i="9"/>
  <c r="AR17" i="9"/>
  <c r="AB17" i="9"/>
  <c r="BB17" i="9"/>
  <c r="BD17" i="9"/>
  <c r="AN17" i="9"/>
  <c r="BN17" i="9"/>
  <c r="BP17" i="9"/>
  <c r="AZ17" i="9"/>
  <c r="N17" i="9"/>
  <c r="BL17" i="9"/>
  <c r="S17" i="9"/>
  <c r="J17" i="9"/>
  <c r="Z17" i="9"/>
  <c r="AE17" i="9"/>
  <c r="V17" i="9"/>
  <c r="AL17" i="9"/>
  <c r="AQ17" i="9"/>
  <c r="I17" i="9"/>
  <c r="AH17" i="9"/>
  <c r="AX17" i="9"/>
  <c r="BC17" i="9"/>
  <c r="U17" i="9"/>
  <c r="AT17" i="9"/>
  <c r="AC20" i="10"/>
  <c r="V20" i="10"/>
  <c r="AE45" i="7"/>
  <c r="AF43" i="7"/>
  <c r="AV63" i="10"/>
  <c r="BC63" i="10"/>
  <c r="AY42" i="10"/>
  <c r="Y20" i="5"/>
  <c r="AU54" i="7"/>
  <c r="BG54" i="12"/>
  <c r="AW54" i="12"/>
  <c r="AV54" i="12"/>
  <c r="AQ51" i="10"/>
  <c r="AG51" i="10"/>
  <c r="AM51" i="10"/>
  <c r="AR19" i="11"/>
  <c r="AT19" i="11"/>
  <c r="AS19" i="11"/>
  <c r="AB19" i="11"/>
  <c r="BE71" i="7"/>
  <c r="AT63" i="11"/>
  <c r="AQ63" i="11"/>
  <c r="AH53" i="7"/>
  <c r="AA53" i="7"/>
  <c r="AH47" i="11"/>
  <c r="AT47" i="11"/>
  <c r="AM21" i="7"/>
  <c r="X21" i="7"/>
  <c r="AQ21" i="7"/>
  <c r="N21" i="7"/>
  <c r="S21" i="7"/>
  <c r="AL24" i="10"/>
  <c r="AN24" i="10"/>
  <c r="AV24" i="10"/>
  <c r="U24" i="10"/>
  <c r="X24" i="11"/>
  <c r="AI24" i="11"/>
  <c r="AH24" i="11"/>
  <c r="X32" i="7"/>
  <c r="AV52" i="10"/>
  <c r="AI52" i="10"/>
  <c r="R54" i="7"/>
  <c r="AN28" i="5"/>
  <c r="X72" i="11"/>
  <c r="AQ62" i="11"/>
  <c r="AZ62" i="11"/>
  <c r="AJ62" i="11"/>
  <c r="AO68" i="11"/>
  <c r="AX68" i="11"/>
  <c r="BD68" i="11"/>
  <c r="AP47" i="10"/>
  <c r="AL47" i="10"/>
  <c r="AZ58" i="11"/>
  <c r="AV58" i="11"/>
  <c r="AB19" i="7"/>
  <c r="BB19" i="7"/>
  <c r="AS57" i="10"/>
  <c r="BC57" i="10"/>
  <c r="AZ57" i="10"/>
  <c r="AH53" i="8"/>
  <c r="AZ29" i="10"/>
  <c r="AH29" i="10"/>
  <c r="Y43" i="7"/>
  <c r="Z43" i="7"/>
  <c r="AJ43" i="7"/>
  <c r="V43" i="7"/>
  <c r="BT17" i="8"/>
  <c r="AG17" i="8"/>
  <c r="AF17" i="8"/>
  <c r="BS17" i="8"/>
  <c r="AY17" i="8"/>
  <c r="BE17" i="8"/>
  <c r="AV17" i="8"/>
  <c r="AR17" i="8"/>
  <c r="K17" i="8"/>
  <c r="BR17" i="8"/>
  <c r="W17" i="8"/>
  <c r="BK17" i="8"/>
  <c r="V17" i="8"/>
  <c r="I17" i="8"/>
  <c r="J17" i="8"/>
  <c r="T17" i="8"/>
  <c r="BH17" i="8"/>
  <c r="BI17" i="8"/>
  <c r="AU17" i="8"/>
  <c r="AT17" i="8"/>
  <c r="H17" i="8"/>
  <c r="O17" i="8"/>
  <c r="AW17" i="8"/>
  <c r="AJ17" i="8"/>
  <c r="BG17" i="8"/>
  <c r="BQ17" i="8"/>
  <c r="AI17" i="8"/>
  <c r="AH17" i="8"/>
  <c r="BO17" i="8"/>
  <c r="BF17" i="8"/>
  <c r="L17" i="8"/>
  <c r="BN17" i="8"/>
  <c r="X17" i="8"/>
  <c r="BP17" i="8"/>
  <c r="AS17" i="8"/>
  <c r="AA17" i="8"/>
  <c r="AK17" i="8"/>
  <c r="AM17" i="8"/>
  <c r="Y17" i="8"/>
  <c r="M17" i="8"/>
  <c r="U17" i="8"/>
  <c r="AP17" i="8"/>
  <c r="BB17" i="8"/>
  <c r="S17" i="8"/>
  <c r="Q17" i="8"/>
  <c r="AE17" i="8"/>
  <c r="N17" i="8"/>
  <c r="P17" i="8"/>
  <c r="AC17" i="8"/>
  <c r="AQ17" i="8"/>
  <c r="Z17" i="8"/>
  <c r="AB17" i="8"/>
  <c r="AO17" i="8"/>
  <c r="BC17" i="8"/>
  <c r="AL17" i="8"/>
  <c r="AN17" i="8"/>
  <c r="BA17" i="8"/>
  <c r="AX17" i="8"/>
  <c r="AZ17" i="8"/>
  <c r="BM17" i="8"/>
  <c r="BJ17" i="8"/>
  <c r="BL17" i="8"/>
  <c r="R17" i="8"/>
  <c r="AD17" i="8"/>
  <c r="F60" i="2"/>
  <c r="BF20" i="8"/>
  <c r="BA20" i="8"/>
  <c r="AV20" i="8"/>
  <c r="M20" i="8"/>
  <c r="BO20" i="8"/>
  <c r="BP20" i="8"/>
  <c r="BN20" i="8"/>
  <c r="BM20" i="8"/>
  <c r="BG20" i="8"/>
  <c r="K20" i="8"/>
  <c r="J20" i="8"/>
  <c r="Y20" i="8"/>
  <c r="AR20" i="8"/>
  <c r="AI20" i="8"/>
  <c r="AQ20" i="8"/>
  <c r="AC20" i="8"/>
  <c r="BH20" i="8"/>
  <c r="AW20" i="8"/>
  <c r="AN20" i="8"/>
  <c r="N20" i="8"/>
  <c r="AK20" i="8"/>
  <c r="BD20" i="8"/>
  <c r="AB20" i="8"/>
  <c r="U20" i="8"/>
  <c r="BC20" i="8"/>
  <c r="BS20" i="8"/>
  <c r="P20" i="8"/>
  <c r="AJ20" i="8"/>
  <c r="BR20" i="8"/>
  <c r="BK20" i="8"/>
  <c r="BB20" i="8"/>
  <c r="AT20" i="8"/>
  <c r="T20" i="8"/>
  <c r="AY20" i="8"/>
  <c r="BQ20" i="8"/>
  <c r="BI20" i="8"/>
  <c r="AM20" i="8"/>
  <c r="I20" i="8"/>
  <c r="AA20" i="8"/>
  <c r="X20" i="8"/>
  <c r="Q20" i="8"/>
  <c r="O20" i="8"/>
  <c r="AP20" i="8"/>
  <c r="AF20" i="8"/>
  <c r="BJ20" i="8"/>
  <c r="BE20" i="8"/>
  <c r="L20" i="8"/>
  <c r="AU20" i="8"/>
  <c r="R20" i="8"/>
  <c r="AX20" i="8"/>
  <c r="H20" i="8"/>
  <c r="BT20" i="8"/>
  <c r="AD20" i="8"/>
  <c r="AG20" i="8"/>
  <c r="S20" i="8"/>
  <c r="BL20" i="8"/>
  <c r="AL20" i="8"/>
  <c r="W20" i="8"/>
  <c r="AS20" i="8"/>
  <c r="AH20" i="8"/>
  <c r="AZ20" i="8"/>
  <c r="Z20" i="8"/>
  <c r="V20" i="8"/>
  <c r="AO20" i="8"/>
  <c r="BC31" i="11"/>
  <c r="BD31" i="11"/>
  <c r="BG31" i="11"/>
  <c r="AP31" i="11"/>
  <c r="AU66" i="11"/>
  <c r="X66" i="11"/>
  <c r="AL64" i="9"/>
  <c r="BR64" i="9"/>
  <c r="AZ64" i="9"/>
  <c r="BG64" i="9"/>
  <c r="AE64" i="9"/>
  <c r="AH64" i="9"/>
  <c r="X64" i="9"/>
  <c r="T64" i="9"/>
  <c r="BM64" i="9"/>
  <c r="N64" i="9"/>
  <c r="Q64" i="9"/>
  <c r="AR64" i="9"/>
  <c r="BI64" i="9"/>
  <c r="L64" i="9"/>
  <c r="AA64" i="9"/>
  <c r="H64" i="9"/>
  <c r="AD64" i="9"/>
  <c r="BE64" i="9"/>
  <c r="S64" i="9"/>
  <c r="I64" i="9"/>
  <c r="AN64" i="9"/>
  <c r="P64" i="9"/>
  <c r="AQ64" i="9"/>
  <c r="AG64" i="9"/>
  <c r="AF64" i="9"/>
  <c r="V64" i="9"/>
  <c r="BA64" i="9"/>
  <c r="AC64" i="9"/>
  <c r="BD64" i="9"/>
  <c r="AS64" i="9"/>
  <c r="AI64" i="9"/>
  <c r="J64" i="9"/>
  <c r="BN64" i="9"/>
  <c r="U64" i="9"/>
  <c r="AP64" i="9"/>
  <c r="BQ64" i="9"/>
  <c r="BF64" i="9"/>
  <c r="AW64" i="9"/>
  <c r="W64" i="9"/>
  <c r="AY64" i="9"/>
  <c r="K64" i="9"/>
  <c r="BC64" i="9"/>
  <c r="AU64" i="9"/>
  <c r="BS64" i="9"/>
  <c r="BJ64" i="9"/>
  <c r="AK64" i="9"/>
  <c r="O64" i="9"/>
  <c r="Y64" i="9"/>
  <c r="BP64" i="9"/>
  <c r="AX64" i="9"/>
  <c r="AB64" i="9"/>
  <c r="BT64" i="9"/>
  <c r="BK64" i="9"/>
  <c r="M64" i="9"/>
  <c r="AO64" i="9"/>
  <c r="BH64" i="9"/>
  <c r="AT64" i="9"/>
  <c r="Z64" i="9"/>
  <c r="BB64" i="9"/>
  <c r="BL64" i="9"/>
  <c r="AV64" i="9"/>
  <c r="AM64" i="9"/>
  <c r="BO64" i="9"/>
  <c r="R64" i="9"/>
  <c r="AJ64" i="9"/>
  <c r="AN31" i="7"/>
  <c r="BD31" i="7"/>
  <c r="AL41" i="9"/>
  <c r="N41" i="9"/>
  <c r="AR41" i="9"/>
  <c r="J41" i="9"/>
  <c r="AQ41" i="9"/>
  <c r="AH41" i="9"/>
  <c r="AF41" i="9"/>
  <c r="BO41" i="9"/>
  <c r="T41" i="9"/>
  <c r="BS41" i="9"/>
  <c r="V41" i="9"/>
  <c r="W41" i="9"/>
  <c r="BF41" i="9"/>
  <c r="BD41" i="9"/>
  <c r="AY41" i="9"/>
  <c r="BR41" i="9"/>
  <c r="AI41" i="9"/>
  <c r="AX41" i="9"/>
  <c r="BG41" i="9"/>
  <c r="O41" i="9"/>
  <c r="Y41" i="9"/>
  <c r="AM41" i="9"/>
  <c r="BK41" i="9"/>
  <c r="BT41" i="9"/>
  <c r="AT41" i="9"/>
  <c r="AE41" i="9"/>
  <c r="BJ41" i="9"/>
  <c r="S41" i="9"/>
  <c r="BC41" i="9"/>
  <c r="M41" i="9"/>
  <c r="AK41" i="9"/>
  <c r="BI41" i="9"/>
  <c r="K41" i="9"/>
  <c r="Z41" i="9"/>
  <c r="AU41" i="9"/>
  <c r="R41" i="9"/>
  <c r="BP41" i="9"/>
  <c r="Q41" i="9"/>
  <c r="AD41" i="9"/>
  <c r="I41" i="9"/>
  <c r="L41" i="9"/>
  <c r="AC41" i="9"/>
  <c r="AP41" i="9"/>
  <c r="U41" i="9"/>
  <c r="X41" i="9"/>
  <c r="P41" i="9"/>
  <c r="AO41" i="9"/>
  <c r="BB41" i="9"/>
  <c r="AG41" i="9"/>
  <c r="AJ41" i="9"/>
  <c r="AB41" i="9"/>
  <c r="BA41" i="9"/>
  <c r="BN41" i="9"/>
  <c r="AS41" i="9"/>
  <c r="AV41" i="9"/>
  <c r="AN41" i="9"/>
  <c r="BM41" i="9"/>
  <c r="BE41" i="9"/>
  <c r="BH41" i="9"/>
  <c r="AZ41" i="9"/>
  <c r="BQ41" i="9"/>
  <c r="BL41" i="9"/>
  <c r="H41" i="9"/>
  <c r="AA41" i="9"/>
  <c r="AW41" i="9"/>
  <c r="AR35" i="12"/>
  <c r="AH64" i="8"/>
  <c r="N64" i="8"/>
  <c r="AB64" i="8"/>
  <c r="P64" i="8"/>
  <c r="AL64" i="8"/>
  <c r="AY64" i="8"/>
  <c r="BF64" i="8"/>
  <c r="AK64" i="8"/>
  <c r="AV64" i="8"/>
  <c r="AW64" i="8"/>
  <c r="AU64" i="8"/>
  <c r="M64" i="8"/>
  <c r="Q64" i="8"/>
  <c r="O64" i="8"/>
  <c r="AA64" i="8"/>
  <c r="BS64" i="8"/>
  <c r="BM64" i="8"/>
  <c r="X64" i="8"/>
  <c r="AX64" i="8"/>
  <c r="BG64" i="8"/>
  <c r="V64" i="8"/>
  <c r="BJ64" i="8"/>
  <c r="AM64" i="8"/>
  <c r="AT64" i="8"/>
  <c r="W64" i="8"/>
  <c r="Z64" i="8"/>
  <c r="BL64" i="8"/>
  <c r="BT64" i="8"/>
  <c r="J64" i="8"/>
  <c r="AJ64" i="8"/>
  <c r="BI64" i="8"/>
  <c r="L64" i="8"/>
  <c r="AZ64" i="8"/>
  <c r="AO64" i="8"/>
  <c r="BK64" i="8"/>
  <c r="Y64" i="8"/>
  <c r="AI64" i="8"/>
  <c r="BQ64" i="8"/>
  <c r="K64" i="8"/>
  <c r="BH64" i="8"/>
  <c r="BA64" i="8"/>
  <c r="AC64" i="8"/>
  <c r="AN64" i="8"/>
  <c r="AF64" i="8"/>
  <c r="AR64" i="8"/>
  <c r="BD64" i="8"/>
  <c r="S64" i="8"/>
  <c r="BP64" i="8"/>
  <c r="R64" i="8"/>
  <c r="AE64" i="8"/>
  <c r="AD64" i="8"/>
  <c r="AQ64" i="8"/>
  <c r="AP64" i="8"/>
  <c r="BC64" i="8"/>
  <c r="BB64" i="8"/>
  <c r="BO64" i="8"/>
  <c r="I64" i="8"/>
  <c r="BN64" i="8"/>
  <c r="U64" i="8"/>
  <c r="AG64" i="8"/>
  <c r="H64" i="8"/>
  <c r="AS64" i="8"/>
  <c r="T64" i="8"/>
  <c r="BE64" i="8"/>
  <c r="AY45" i="7"/>
  <c r="BF28" i="5"/>
  <c r="AL66" i="7"/>
  <c r="AN66" i="7"/>
  <c r="J66" i="7"/>
  <c r="AO66" i="7"/>
  <c r="AY27" i="10"/>
  <c r="AB27" i="10"/>
  <c r="AZ27" i="10"/>
  <c r="AS27" i="10"/>
  <c r="AX27" i="10"/>
  <c r="AB28" i="12"/>
  <c r="AH28" i="12"/>
  <c r="BG28" i="5"/>
  <c r="AK45" i="7"/>
  <c r="AR45" i="7"/>
  <c r="AR48" i="11"/>
  <c r="AH48" i="11"/>
  <c r="AC48" i="11"/>
  <c r="BC25" i="7"/>
  <c r="AH25" i="7"/>
  <c r="AJ25" i="7"/>
  <c r="AE25" i="7"/>
  <c r="BB25" i="7"/>
  <c r="F33" i="2"/>
  <c r="BA35" i="5"/>
  <c r="AS35" i="5"/>
  <c r="AY35" i="5"/>
  <c r="BC35" i="5"/>
  <c r="BG35" i="5"/>
  <c r="AR35" i="5"/>
  <c r="AZ35" i="5"/>
  <c r="AV35" i="5"/>
  <c r="AQ35" i="5"/>
  <c r="AO35" i="5"/>
  <c r="BB35" i="5"/>
  <c r="AU35" i="5"/>
  <c r="AN35" i="5"/>
  <c r="BE35" i="5"/>
  <c r="W19" i="5"/>
  <c r="AB19" i="5"/>
  <c r="AF19" i="5"/>
  <c r="R19" i="5"/>
  <c r="AA19" i="5"/>
  <c r="X19" i="5"/>
  <c r="AR21" i="11"/>
  <c r="AW21" i="11"/>
  <c r="AF25" i="12"/>
  <c r="AE25" i="12"/>
  <c r="AO25" i="12"/>
  <c r="AC27" i="7"/>
  <c r="T27" i="7"/>
  <c r="S27" i="7"/>
  <c r="BA40" i="11"/>
  <c r="BD40" i="11"/>
  <c r="AR40" i="11"/>
  <c r="T22" i="10"/>
  <c r="AA22" i="10"/>
  <c r="AC44" i="7"/>
  <c r="V44" i="7"/>
  <c r="AX44" i="7"/>
  <c r="X44" i="7"/>
  <c r="AK44" i="7"/>
  <c r="AJ21" i="10"/>
  <c r="W21" i="10"/>
  <c r="P19" i="5"/>
  <c r="S18" i="10"/>
  <c r="AE18" i="10"/>
  <c r="BA62" i="10"/>
  <c r="AM62" i="10"/>
  <c r="AW62" i="10"/>
  <c r="AT62" i="10"/>
  <c r="AC33" i="12"/>
  <c r="V33" i="12"/>
  <c r="AW33" i="12"/>
  <c r="AL37" i="12"/>
  <c r="AI20" i="10"/>
  <c r="U45" i="7"/>
  <c r="AR63" i="10"/>
  <c r="AK63" i="10"/>
  <c r="AU42" i="10"/>
  <c r="X42" i="10"/>
  <c r="AW42" i="10"/>
  <c r="AO42" i="10"/>
  <c r="X20" i="5"/>
  <c r="X54" i="7"/>
  <c r="U54" i="7"/>
  <c r="AY54" i="12"/>
  <c r="AJ54" i="12"/>
  <c r="AD19" i="11"/>
  <c r="AQ19" i="11"/>
  <c r="AO19" i="11"/>
  <c r="AY19" i="11"/>
  <c r="AZ19" i="11"/>
  <c r="BJ45" i="8"/>
  <c r="O45" i="8"/>
  <c r="BI45" i="8"/>
  <c r="J45" i="8"/>
  <c r="BN45" i="8"/>
  <c r="Q45" i="8"/>
  <c r="X45" i="8"/>
  <c r="R45" i="8"/>
  <c r="S45" i="8"/>
  <c r="P45" i="8"/>
  <c r="BH45" i="8"/>
  <c r="I45" i="8"/>
  <c r="AZ45" i="8"/>
  <c r="BP45" i="8"/>
  <c r="AL45" i="8"/>
  <c r="AD45" i="8"/>
  <c r="BD45" i="8"/>
  <c r="AW45" i="8"/>
  <c r="AR45" i="8"/>
  <c r="AI45" i="8"/>
  <c r="AF45" i="8"/>
  <c r="AV45" i="8"/>
  <c r="AT45" i="8"/>
  <c r="T45" i="8"/>
  <c r="AH45" i="8"/>
  <c r="H45" i="8"/>
  <c r="AU45" i="8"/>
  <c r="BG45" i="8"/>
  <c r="BQ45" i="8"/>
  <c r="V45" i="8"/>
  <c r="AE45" i="8"/>
  <c r="BE45" i="8"/>
  <c r="AJ45" i="8"/>
  <c r="AC45" i="8"/>
  <c r="AQ45" i="8"/>
  <c r="AS45" i="8"/>
  <c r="AX45" i="8"/>
  <c r="AG45" i="8"/>
  <c r="U45" i="8"/>
  <c r="BC45" i="8"/>
  <c r="BS45" i="8"/>
  <c r="N45" i="8"/>
  <c r="AB45" i="8"/>
  <c r="W45" i="8"/>
  <c r="K45" i="8"/>
  <c r="AP45" i="8"/>
  <c r="AK45" i="8"/>
  <c r="Y45" i="8"/>
  <c r="L45" i="8"/>
  <c r="BF45" i="8"/>
  <c r="BL45" i="8"/>
  <c r="AY45" i="8"/>
  <c r="AM45" i="8"/>
  <c r="Z45" i="8"/>
  <c r="BT45" i="8"/>
  <c r="BM45" i="8"/>
  <c r="BA45" i="8"/>
  <c r="AN45" i="8"/>
  <c r="BO45" i="8"/>
  <c r="BB45" i="8"/>
  <c r="BR45" i="8"/>
  <c r="M45" i="8"/>
  <c r="AA45" i="8"/>
  <c r="AO45" i="8"/>
  <c r="BG71" i="7"/>
  <c r="AJ53" i="7"/>
  <c r="Q53" i="7"/>
  <c r="R47" i="11"/>
  <c r="AG47" i="11"/>
  <c r="W47" i="11"/>
  <c r="AG21" i="7"/>
  <c r="AD21" i="7"/>
  <c r="AC21" i="7"/>
  <c r="AI24" i="10"/>
  <c r="AC24" i="10"/>
  <c r="AQ24" i="11"/>
  <c r="AC24" i="11"/>
  <c r="AF32" i="7"/>
  <c r="AY32" i="7"/>
  <c r="AT52" i="10"/>
  <c r="AP52" i="10"/>
  <c r="AM54" i="7"/>
  <c r="AZ28" i="5"/>
  <c r="AG72" i="11"/>
  <c r="S72" i="11"/>
  <c r="AS62" i="11"/>
  <c r="AO62" i="11"/>
  <c r="AW68" i="11"/>
  <c r="AK47" i="10"/>
  <c r="AH47" i="10"/>
  <c r="AP58" i="11"/>
  <c r="AN58" i="11"/>
  <c r="AZ19" i="7"/>
  <c r="Z19" i="7"/>
  <c r="AJ57" i="10"/>
  <c r="AK57" i="10"/>
  <c r="AO58" i="9"/>
  <c r="AK29" i="10"/>
  <c r="Z29" i="10"/>
  <c r="AX29" i="10"/>
  <c r="AL43" i="7"/>
  <c r="Q43" i="7"/>
  <c r="BP59" i="9"/>
  <c r="J59" i="9"/>
  <c r="AU59" i="9"/>
  <c r="BB59" i="9"/>
  <c r="BE59" i="9"/>
  <c r="M59" i="9"/>
  <c r="BH59" i="9"/>
  <c r="BI59" i="9"/>
  <c r="BF59" i="9"/>
  <c r="BG59" i="9"/>
  <c r="BT59" i="9"/>
  <c r="AR59" i="9"/>
  <c r="AC59" i="9"/>
  <c r="AQ59" i="9"/>
  <c r="AD59" i="9"/>
  <c r="Q59" i="9"/>
  <c r="AS59" i="9"/>
  <c r="P59" i="9"/>
  <c r="AE59" i="9"/>
  <c r="AX59" i="9"/>
  <c r="AI59" i="9"/>
  <c r="I59" i="9"/>
  <c r="AN59" i="9"/>
  <c r="BQ59" i="9"/>
  <c r="L59" i="9"/>
  <c r="AL59" i="9"/>
  <c r="AW59" i="9"/>
  <c r="W59" i="9"/>
  <c r="AB59" i="9"/>
  <c r="R59" i="9"/>
  <c r="Z59" i="9"/>
  <c r="BM59" i="9"/>
  <c r="AK59" i="9"/>
  <c r="AP59" i="9"/>
  <c r="AF59" i="9"/>
  <c r="N59" i="9"/>
  <c r="BA59" i="9"/>
  <c r="BD59" i="9"/>
  <c r="AT59" i="9"/>
  <c r="BS59" i="9"/>
  <c r="BO59" i="9"/>
  <c r="BR59" i="9"/>
  <c r="T59" i="9"/>
  <c r="H59" i="9"/>
  <c r="BK59" i="9"/>
  <c r="AH59" i="9"/>
  <c r="V59" i="9"/>
  <c r="AG59" i="9"/>
  <c r="AY59" i="9"/>
  <c r="AV59" i="9"/>
  <c r="AJ59" i="9"/>
  <c r="AM59" i="9"/>
  <c r="BL59" i="9"/>
  <c r="AZ59" i="9"/>
  <c r="S59" i="9"/>
  <c r="K59" i="9"/>
  <c r="AA59" i="9"/>
  <c r="BN59" i="9"/>
  <c r="Y59" i="9"/>
  <c r="O59" i="9"/>
  <c r="AO59" i="9"/>
  <c r="BJ59" i="9"/>
  <c r="U59" i="9"/>
  <c r="X59" i="9"/>
  <c r="BC59" i="9"/>
  <c r="AY34" i="5"/>
  <c r="AU34" i="5"/>
  <c r="AJ34" i="5"/>
  <c r="AQ34" i="5"/>
  <c r="AM34" i="5"/>
  <c r="AT34" i="5"/>
  <c r="AN34" i="5"/>
  <c r="BB34" i="5"/>
  <c r="AW34" i="5"/>
  <c r="AZ34" i="5"/>
  <c r="AS34" i="5"/>
  <c r="BM66" i="9"/>
  <c r="O66" i="9"/>
  <c r="N66" i="9"/>
  <c r="BI66" i="9"/>
  <c r="BH66" i="9"/>
  <c r="AY66" i="9"/>
  <c r="H66" i="9"/>
  <c r="Z66" i="9"/>
  <c r="BK66" i="9"/>
  <c r="BG66" i="9"/>
  <c r="M66" i="9"/>
  <c r="AZ66" i="9"/>
  <c r="BP66" i="9"/>
  <c r="AW66" i="9"/>
  <c r="J66" i="9"/>
  <c r="BD66" i="9"/>
  <c r="I66" i="9"/>
  <c r="BR66" i="9"/>
  <c r="BA66" i="9"/>
  <c r="AV66" i="9"/>
  <c r="BQ66" i="9"/>
  <c r="L66" i="9"/>
  <c r="BF66" i="9"/>
  <c r="BS66" i="9"/>
  <c r="BT66" i="9"/>
  <c r="BE66" i="9"/>
  <c r="K66" i="9"/>
  <c r="BO66" i="9"/>
  <c r="BJ66" i="9"/>
  <c r="AX66" i="9"/>
  <c r="BL66" i="9"/>
  <c r="AL66" i="9"/>
  <c r="AC66" i="9"/>
  <c r="X66" i="9"/>
  <c r="AB66" i="9"/>
  <c r="AI66" i="9"/>
  <c r="Y66" i="9"/>
  <c r="U66" i="9"/>
  <c r="AS66" i="9"/>
  <c r="AH66" i="9"/>
  <c r="V66" i="9"/>
  <c r="T66" i="9"/>
  <c r="AT66" i="9"/>
  <c r="AU66" i="9"/>
  <c r="AR66" i="9"/>
  <c r="P66" i="9"/>
  <c r="AG66" i="9"/>
  <c r="AN66" i="9"/>
  <c r="Q66" i="9"/>
  <c r="AM66" i="9"/>
  <c r="AK66" i="9"/>
  <c r="W66" i="9"/>
  <c r="AO66" i="9"/>
  <c r="AJ66" i="9"/>
  <c r="AA66" i="9"/>
  <c r="AF66" i="9"/>
  <c r="BB66" i="9"/>
  <c r="AE66" i="9"/>
  <c r="BN66" i="9"/>
  <c r="AQ66" i="9"/>
  <c r="BC66" i="9"/>
  <c r="R66" i="9"/>
  <c r="AD66" i="9"/>
  <c r="AP66" i="9"/>
  <c r="S66" i="9"/>
  <c r="BF31" i="11"/>
  <c r="AW66" i="11"/>
  <c r="AL66" i="11"/>
  <c r="AV31" i="7"/>
  <c r="AR31" i="7"/>
  <c r="BB31" i="7"/>
  <c r="AA43" i="7"/>
  <c r="BQ70" i="8"/>
  <c r="BI70" i="8"/>
  <c r="V70" i="8"/>
  <c r="BE70" i="8"/>
  <c r="BL70" i="8"/>
  <c r="O70" i="8"/>
  <c r="AM70" i="8"/>
  <c r="AS70" i="8"/>
  <c r="BR70" i="8"/>
  <c r="BH70" i="8"/>
  <c r="AY70" i="8"/>
  <c r="X70" i="8"/>
  <c r="P70" i="8"/>
  <c r="BG70" i="8"/>
  <c r="I70" i="8"/>
  <c r="BJ70" i="8"/>
  <c r="AB70" i="8"/>
  <c r="AW70" i="8"/>
  <c r="M70" i="8"/>
  <c r="AR70" i="8"/>
  <c r="BS70" i="8"/>
  <c r="AJ70" i="8"/>
  <c r="AX70" i="8"/>
  <c r="BK70" i="8"/>
  <c r="AU70" i="8"/>
  <c r="K70" i="8"/>
  <c r="AL70" i="8"/>
  <c r="AZ70" i="8"/>
  <c r="AA70" i="8"/>
  <c r="AN70" i="8"/>
  <c r="H70" i="8"/>
  <c r="BO70" i="8"/>
  <c r="AF70" i="8"/>
  <c r="J70" i="8"/>
  <c r="AT70" i="8"/>
  <c r="AH70" i="8"/>
  <c r="BP70" i="8"/>
  <c r="T70" i="8"/>
  <c r="N70" i="8"/>
  <c r="AG70" i="8"/>
  <c r="AK70" i="8"/>
  <c r="L70" i="8"/>
  <c r="AV70" i="8"/>
  <c r="AI70" i="8"/>
  <c r="Z70" i="8"/>
  <c r="U70" i="8"/>
  <c r="BF70" i="8"/>
  <c r="Y70" i="8"/>
  <c r="BT70" i="8"/>
  <c r="BD70" i="8"/>
  <c r="W70" i="8"/>
  <c r="R70" i="8"/>
  <c r="AD70" i="8"/>
  <c r="S70" i="8"/>
  <c r="AP70" i="8"/>
  <c r="AE70" i="8"/>
  <c r="BB70" i="8"/>
  <c r="AQ70" i="8"/>
  <c r="BN70" i="8"/>
  <c r="BC70" i="8"/>
  <c r="Q70" i="8"/>
  <c r="AC70" i="8"/>
  <c r="AO70" i="8"/>
  <c r="BA70" i="8"/>
  <c r="BM70" i="8"/>
  <c r="BR28" i="8"/>
  <c r="AM28" i="7"/>
  <c r="AB28" i="7"/>
  <c r="X28" i="7"/>
  <c r="BD35" i="12"/>
  <c r="AQ35" i="12"/>
  <c r="AE72" i="8"/>
  <c r="P72" i="8"/>
  <c r="O72" i="8"/>
  <c r="BP72" i="8"/>
  <c r="BA72" i="8"/>
  <c r="AF72" i="8"/>
  <c r="AZ72" i="8"/>
  <c r="AY72" i="8"/>
  <c r="Q72" i="8"/>
  <c r="AK72" i="8"/>
  <c r="BO72" i="8"/>
  <c r="BG72" i="8"/>
  <c r="BE72" i="8"/>
  <c r="AR72" i="8"/>
  <c r="AU72" i="8"/>
  <c r="AS72" i="8"/>
  <c r="BL72" i="8"/>
  <c r="R72" i="8"/>
  <c r="S72" i="8"/>
  <c r="AI72" i="8"/>
  <c r="AG72" i="8"/>
  <c r="AL72" i="8"/>
  <c r="AM72" i="8"/>
  <c r="W72" i="8"/>
  <c r="U72" i="8"/>
  <c r="BB72" i="8"/>
  <c r="BC72" i="8"/>
  <c r="K72" i="8"/>
  <c r="I72" i="8"/>
  <c r="Y72" i="8"/>
  <c r="BT72" i="8"/>
  <c r="BR72" i="8"/>
  <c r="Z72" i="8"/>
  <c r="AO72" i="8"/>
  <c r="BH72" i="8"/>
  <c r="BF72" i="8"/>
  <c r="AP72" i="8"/>
  <c r="T72" i="8"/>
  <c r="AV72" i="8"/>
  <c r="AT72" i="8"/>
  <c r="BJ72" i="8"/>
  <c r="M72" i="8"/>
  <c r="N72" i="8"/>
  <c r="AN72" i="8"/>
  <c r="AJ72" i="8"/>
  <c r="AH72" i="8"/>
  <c r="AA72" i="8"/>
  <c r="AC72" i="8"/>
  <c r="AD72" i="8"/>
  <c r="BD72" i="8"/>
  <c r="X72" i="8"/>
  <c r="V72" i="8"/>
  <c r="AQ72" i="8"/>
  <c r="AW72" i="8"/>
  <c r="AX72" i="8"/>
  <c r="L72" i="8"/>
  <c r="J72" i="8"/>
  <c r="BK72" i="8"/>
  <c r="H72" i="8"/>
  <c r="BM72" i="8"/>
  <c r="BN72" i="8"/>
  <c r="BS72" i="8"/>
  <c r="BQ72" i="8"/>
  <c r="AB72" i="8"/>
  <c r="K71" i="9"/>
  <c r="BB71" i="9"/>
  <c r="AS71" i="9"/>
  <c r="BA71" i="9"/>
  <c r="BE71" i="9"/>
  <c r="BT71" i="9"/>
  <c r="BR71" i="9"/>
  <c r="AL71" i="9"/>
  <c r="AB71" i="9"/>
  <c r="Q71" i="9"/>
  <c r="AN71" i="9"/>
  <c r="BH71" i="9"/>
  <c r="BF71" i="9"/>
  <c r="R71" i="9"/>
  <c r="I71" i="9"/>
  <c r="AX71" i="9"/>
  <c r="AK71" i="9"/>
  <c r="U71" i="9"/>
  <c r="AV71" i="9"/>
  <c r="AT71" i="9"/>
  <c r="BQ71" i="9"/>
  <c r="BK71" i="9"/>
  <c r="N71" i="9"/>
  <c r="AC71" i="9"/>
  <c r="AJ71" i="9"/>
  <c r="AH71" i="9"/>
  <c r="AZ71" i="9"/>
  <c r="AR71" i="9"/>
  <c r="AW71" i="9"/>
  <c r="Y71" i="9"/>
  <c r="X71" i="9"/>
  <c r="V71" i="9"/>
  <c r="AG71" i="9"/>
  <c r="AA71" i="9"/>
  <c r="M71" i="9"/>
  <c r="L71" i="9"/>
  <c r="J71" i="9"/>
  <c r="P71" i="9"/>
  <c r="H71" i="9"/>
  <c r="AO71" i="9"/>
  <c r="BS71" i="9"/>
  <c r="BO71" i="9"/>
  <c r="BP71" i="9"/>
  <c r="BJ71" i="9"/>
  <c r="AM71" i="9"/>
  <c r="BG71" i="9"/>
  <c r="BC71" i="9"/>
  <c r="AY71" i="9"/>
  <c r="AP71" i="9"/>
  <c r="BN71" i="9"/>
  <c r="AU71" i="9"/>
  <c r="AQ71" i="9"/>
  <c r="AF71" i="9"/>
  <c r="Z71" i="9"/>
  <c r="AD71" i="9"/>
  <c r="AI71" i="9"/>
  <c r="AE71" i="9"/>
  <c r="O71" i="9"/>
  <c r="BD71" i="9"/>
  <c r="BM71" i="9"/>
  <c r="W71" i="9"/>
  <c r="S71" i="9"/>
  <c r="BL71" i="9"/>
  <c r="T71" i="9"/>
  <c r="BI71" i="9"/>
  <c r="BT22" i="8"/>
  <c r="N22" i="8"/>
  <c r="BO22" i="8"/>
  <c r="BN22" i="8"/>
  <c r="BH22" i="8"/>
  <c r="AY22" i="8"/>
  <c r="BI22" i="8"/>
  <c r="O22" i="8"/>
  <c r="AX22" i="8"/>
  <c r="AD22" i="8"/>
  <c r="Y22" i="8"/>
  <c r="X22" i="8"/>
  <c r="S22" i="8"/>
  <c r="R22" i="8"/>
  <c r="Q22" i="8"/>
  <c r="P22" i="8"/>
  <c r="AO22" i="8"/>
  <c r="AJ22" i="8"/>
  <c r="AE22" i="8"/>
  <c r="AK22" i="8"/>
  <c r="AL22" i="8"/>
  <c r="BF22" i="8"/>
  <c r="BD22" i="8"/>
  <c r="BA22" i="8"/>
  <c r="BB22" i="8"/>
  <c r="AT22" i="8"/>
  <c r="AR22" i="8"/>
  <c r="AZ22" i="8"/>
  <c r="AH22" i="8"/>
  <c r="AF22" i="8"/>
  <c r="V22" i="8"/>
  <c r="T22" i="8"/>
  <c r="L22" i="8"/>
  <c r="M22" i="8"/>
  <c r="AN22" i="8"/>
  <c r="J22" i="8"/>
  <c r="H22" i="8"/>
  <c r="AB22" i="8"/>
  <c r="AC22" i="8"/>
  <c r="AM22" i="8"/>
  <c r="BS22" i="8"/>
  <c r="BQ22" i="8"/>
  <c r="Z22" i="8"/>
  <c r="AV22" i="8"/>
  <c r="AW22" i="8"/>
  <c r="BC22" i="8"/>
  <c r="BG22" i="8"/>
  <c r="BE22" i="8"/>
  <c r="AP22" i="8"/>
  <c r="BL22" i="8"/>
  <c r="BM22" i="8"/>
  <c r="AU22" i="8"/>
  <c r="AS22" i="8"/>
  <c r="BJ22" i="8"/>
  <c r="AA22" i="8"/>
  <c r="AI22" i="8"/>
  <c r="AG22" i="8"/>
  <c r="AQ22" i="8"/>
  <c r="W22" i="8"/>
  <c r="U22" i="8"/>
  <c r="BK22" i="8"/>
  <c r="K22" i="8"/>
  <c r="I22" i="8"/>
  <c r="BR22" i="8"/>
  <c r="BP22" i="8"/>
  <c r="X66" i="7"/>
  <c r="I66" i="7"/>
  <c r="S66" i="7"/>
  <c r="P66" i="7"/>
  <c r="AF27" i="10"/>
  <c r="AV27" i="10"/>
  <c r="T28" i="12"/>
  <c r="AI28" i="12"/>
  <c r="R28" i="12"/>
  <c r="AG45" i="7"/>
  <c r="V45" i="7"/>
  <c r="AF48" i="11"/>
  <c r="AK48" i="11"/>
  <c r="AU48" i="11"/>
  <c r="AU25" i="7"/>
  <c r="AX25" i="7"/>
  <c r="AR25" i="7"/>
  <c r="AS25" i="7"/>
  <c r="BA21" i="11"/>
  <c r="AB21" i="11"/>
  <c r="AB25" i="12"/>
  <c r="AS25" i="12"/>
  <c r="AY25" i="12"/>
  <c r="BE25" i="12"/>
  <c r="AO27" i="7"/>
  <c r="AU27" i="7"/>
  <c r="AR55" i="10"/>
  <c r="AY55" i="10"/>
  <c r="AL55" i="10"/>
  <c r="M40" i="7"/>
  <c r="P40" i="7"/>
  <c r="AQ40" i="11"/>
  <c r="AA54" i="7"/>
  <c r="AJ44" i="7"/>
  <c r="AB44" i="7"/>
  <c r="AI44" i="7"/>
  <c r="AQ44" i="7"/>
  <c r="AM21" i="10"/>
  <c r="AU21" i="10"/>
  <c r="T21" i="10"/>
  <c r="P18" i="10"/>
  <c r="AJ62" i="10"/>
  <c r="AG30" i="12"/>
  <c r="T30" i="12"/>
  <c r="X30" i="12"/>
  <c r="AB33" i="12"/>
  <c r="AS33" i="12"/>
  <c r="AY37" i="12"/>
  <c r="AV37" i="12"/>
  <c r="BA37" i="12"/>
  <c r="AU69" i="7"/>
  <c r="Z28" i="5"/>
  <c r="AP63" i="10"/>
  <c r="AI42" i="10"/>
  <c r="AE42" i="10"/>
  <c r="AK54" i="7"/>
  <c r="AE54" i="12"/>
  <c r="AD54" i="12"/>
  <c r="BH33" i="8"/>
  <c r="H33" i="8"/>
  <c r="BT33" i="8"/>
  <c r="X33" i="8"/>
  <c r="BK33" i="8"/>
  <c r="BI33" i="8"/>
  <c r="I33" i="8"/>
  <c r="J33" i="8"/>
  <c r="BN33" i="8"/>
  <c r="M33" i="8"/>
  <c r="BO33" i="8"/>
  <c r="O33" i="8"/>
  <c r="K33" i="8"/>
  <c r="BQ33" i="8"/>
  <c r="BS33" i="8"/>
  <c r="L33" i="8"/>
  <c r="BP33" i="8"/>
  <c r="BJ33" i="8"/>
  <c r="N33" i="8"/>
  <c r="W33" i="8"/>
  <c r="AA33" i="8"/>
  <c r="BE33" i="8"/>
  <c r="AY33" i="8"/>
  <c r="AX33" i="8"/>
  <c r="AS33" i="8"/>
  <c r="AM33" i="8"/>
  <c r="AL33" i="8"/>
  <c r="BD33" i="8"/>
  <c r="AJ33" i="8"/>
  <c r="BG33" i="8"/>
  <c r="BF33" i="8"/>
  <c r="P33" i="8"/>
  <c r="Z33" i="8"/>
  <c r="AB33" i="8"/>
  <c r="AR33" i="8"/>
  <c r="AC33" i="8"/>
  <c r="AN33" i="8"/>
  <c r="Q33" i="8"/>
  <c r="AZ33" i="8"/>
  <c r="Y33" i="8"/>
  <c r="AE33" i="8"/>
  <c r="V33" i="8"/>
  <c r="BL33" i="8"/>
  <c r="AQ33" i="8"/>
  <c r="AT33" i="8"/>
  <c r="AK33" i="8"/>
  <c r="AF33" i="8"/>
  <c r="U33" i="8"/>
  <c r="BC33" i="8"/>
  <c r="R33" i="8"/>
  <c r="AU33" i="8"/>
  <c r="T33" i="8"/>
  <c r="BR33" i="8"/>
  <c r="AD33" i="8"/>
  <c r="AG33" i="8"/>
  <c r="AI33" i="8"/>
  <c r="AP33" i="8"/>
  <c r="AV33" i="8"/>
  <c r="S33" i="8"/>
  <c r="AO33" i="8"/>
  <c r="BB33" i="8"/>
  <c r="AH33" i="8"/>
  <c r="BA33" i="8"/>
  <c r="AW33" i="8"/>
  <c r="BM33" i="8"/>
  <c r="AE51" i="10"/>
  <c r="AO51" i="10"/>
  <c r="AE19" i="11"/>
  <c r="AP19" i="11"/>
  <c r="AG19" i="11"/>
  <c r="AC19" i="11"/>
  <c r="AG50" i="9"/>
  <c r="AK50" i="9"/>
  <c r="BO50" i="9"/>
  <c r="BQ50" i="9"/>
  <c r="BS50" i="9"/>
  <c r="T50" i="9"/>
  <c r="L50" i="9"/>
  <c r="BC50" i="9"/>
  <c r="BG50" i="9"/>
  <c r="AJ50" i="9"/>
  <c r="Z50" i="9"/>
  <c r="AO50" i="9"/>
  <c r="Q50" i="9"/>
  <c r="AE50" i="9"/>
  <c r="AU50" i="9"/>
  <c r="AX50" i="9"/>
  <c r="AN50" i="9"/>
  <c r="AA50" i="9"/>
  <c r="AW50" i="9"/>
  <c r="BK50" i="9"/>
  <c r="AF50" i="9"/>
  <c r="AI50" i="9"/>
  <c r="BL50" i="9"/>
  <c r="BB50" i="9"/>
  <c r="M50" i="9"/>
  <c r="AV50" i="9"/>
  <c r="R50" i="9"/>
  <c r="S50" i="9"/>
  <c r="BM50" i="9"/>
  <c r="W50" i="9"/>
  <c r="BP50" i="9"/>
  <c r="BN50" i="9"/>
  <c r="AY50" i="9"/>
  <c r="BA50" i="9"/>
  <c r="K50" i="9"/>
  <c r="AZ50" i="9"/>
  <c r="U50" i="9"/>
  <c r="BR50" i="9"/>
  <c r="AL50" i="9"/>
  <c r="BI50" i="9"/>
  <c r="Y50" i="9"/>
  <c r="BF50" i="9"/>
  <c r="X50" i="9"/>
  <c r="H50" i="9"/>
  <c r="BJ50" i="9"/>
  <c r="AT50" i="9"/>
  <c r="AM50" i="9"/>
  <c r="AS50" i="9"/>
  <c r="I50" i="9"/>
  <c r="AH50" i="9"/>
  <c r="V50" i="9"/>
  <c r="J50" i="9"/>
  <c r="BT50" i="9"/>
  <c r="O50" i="9"/>
  <c r="AC50" i="9"/>
  <c r="AQ50" i="9"/>
  <c r="BE50" i="9"/>
  <c r="P50" i="9"/>
  <c r="AD50" i="9"/>
  <c r="AR50" i="9"/>
  <c r="BH50" i="9"/>
  <c r="N50" i="9"/>
  <c r="AB50" i="9"/>
  <c r="AP50" i="9"/>
  <c r="BD50" i="9"/>
  <c r="BB63" i="11"/>
  <c r="AX63" i="11"/>
  <c r="AD53" i="7"/>
  <c r="R53" i="7"/>
  <c r="Q47" i="11"/>
  <c r="AJ47" i="11"/>
  <c r="AR47" i="11"/>
  <c r="Y47" i="11"/>
  <c r="AF21" i="7"/>
  <c r="W21" i="7"/>
  <c r="AI21" i="7"/>
  <c r="AR24" i="10"/>
  <c r="AP24" i="10"/>
  <c r="AW24" i="10"/>
  <c r="AQ24" i="10"/>
  <c r="W24" i="11"/>
  <c r="AT32" i="7"/>
  <c r="AX32" i="7"/>
  <c r="AA32" i="7"/>
  <c r="T32" i="7"/>
  <c r="AD32" i="7"/>
  <c r="AD44" i="7"/>
  <c r="V72" i="11"/>
  <c r="AF72" i="11"/>
  <c r="AH74" i="8"/>
  <c r="AZ74" i="8"/>
  <c r="Q74" i="8"/>
  <c r="BK74" i="8"/>
  <c r="P74" i="8"/>
  <c r="BR74" i="8"/>
  <c r="AF74" i="8"/>
  <c r="BE74" i="8"/>
  <c r="BQ74" i="8"/>
  <c r="R74" i="8"/>
  <c r="BB74" i="8"/>
  <c r="BP74" i="8"/>
  <c r="AG74" i="8"/>
  <c r="BA74" i="8"/>
  <c r="U74" i="8"/>
  <c r="Z74" i="8"/>
  <c r="L74" i="8"/>
  <c r="AO74" i="8"/>
  <c r="N74" i="8"/>
  <c r="BS74" i="8"/>
  <c r="BI74" i="8"/>
  <c r="BG74" i="8"/>
  <c r="AW74" i="8"/>
  <c r="AU74" i="8"/>
  <c r="H74" i="8"/>
  <c r="J74" i="8"/>
  <c r="O74" i="8"/>
  <c r="AK74" i="8"/>
  <c r="AI74" i="8"/>
  <c r="AB74" i="8"/>
  <c r="AD74" i="8"/>
  <c r="AE74" i="8"/>
  <c r="Y74" i="8"/>
  <c r="W74" i="8"/>
  <c r="AR74" i="8"/>
  <c r="AT74" i="8"/>
  <c r="AY74" i="8"/>
  <c r="M74" i="8"/>
  <c r="K74" i="8"/>
  <c r="BL74" i="8"/>
  <c r="I74" i="8"/>
  <c r="BN74" i="8"/>
  <c r="BO74" i="8"/>
  <c r="BT74" i="8"/>
  <c r="V74" i="8"/>
  <c r="AC74" i="8"/>
  <c r="S74" i="8"/>
  <c r="T74" i="8"/>
  <c r="BH74" i="8"/>
  <c r="AP74" i="8"/>
  <c r="AS74" i="8"/>
  <c r="AM74" i="8"/>
  <c r="AN74" i="8"/>
  <c r="BJ74" i="8"/>
  <c r="AV74" i="8"/>
  <c r="BF74" i="8"/>
  <c r="BM74" i="8"/>
  <c r="BC74" i="8"/>
  <c r="BD74" i="8"/>
  <c r="AX74" i="8"/>
  <c r="AJ74" i="8"/>
  <c r="AA74" i="8"/>
  <c r="AL74" i="8"/>
  <c r="X74" i="8"/>
  <c r="AQ74" i="8"/>
  <c r="BB62" i="11"/>
  <c r="AQ58" i="11"/>
  <c r="AC19" i="7"/>
  <c r="BA19" i="7"/>
  <c r="X19" i="7"/>
  <c r="AT19" i="7"/>
  <c r="AY57" i="10"/>
  <c r="AR57" i="10"/>
  <c r="BS31" i="8"/>
  <c r="K31" i="8"/>
  <c r="J31" i="8"/>
  <c r="BM31" i="8"/>
  <c r="BQ31" i="8"/>
  <c r="W31" i="8"/>
  <c r="BK31" i="8"/>
  <c r="BJ31" i="8"/>
  <c r="BH31" i="8"/>
  <c r="BN31" i="8"/>
  <c r="I31" i="8"/>
  <c r="BT31" i="8"/>
  <c r="BI31" i="8"/>
  <c r="BP31" i="8"/>
  <c r="BR31" i="8"/>
  <c r="BG31" i="8"/>
  <c r="BF31" i="8"/>
  <c r="BE31" i="8"/>
  <c r="BA31" i="8"/>
  <c r="AY31" i="8"/>
  <c r="AX31" i="8"/>
  <c r="AW31" i="8"/>
  <c r="AV31" i="8"/>
  <c r="AU31" i="8"/>
  <c r="AT31" i="8"/>
  <c r="AK31" i="8"/>
  <c r="AS31" i="8"/>
  <c r="X31" i="8"/>
  <c r="AG31" i="8"/>
  <c r="V31" i="8"/>
  <c r="U31" i="8"/>
  <c r="AO31" i="8"/>
  <c r="Y31" i="8"/>
  <c r="AJ31" i="8"/>
  <c r="AC31" i="8"/>
  <c r="Q31" i="8"/>
  <c r="AM31" i="8"/>
  <c r="AA31" i="8"/>
  <c r="AH31" i="8"/>
  <c r="M31" i="8"/>
  <c r="O31" i="8"/>
  <c r="AL31" i="8"/>
  <c r="Z31" i="8"/>
  <c r="AI31" i="8"/>
  <c r="L31" i="8"/>
  <c r="N31" i="8"/>
  <c r="S31" i="8"/>
  <c r="P31" i="8"/>
  <c r="R31" i="8"/>
  <c r="AE31" i="8"/>
  <c r="AB31" i="8"/>
  <c r="AD31" i="8"/>
  <c r="AQ31" i="8"/>
  <c r="AN31" i="8"/>
  <c r="AP31" i="8"/>
  <c r="BC31" i="8"/>
  <c r="AZ31" i="8"/>
  <c r="BB31" i="8"/>
  <c r="BO31" i="8"/>
  <c r="BL31" i="8"/>
  <c r="H31" i="8"/>
  <c r="T31" i="8"/>
  <c r="AF31" i="8"/>
  <c r="AR31" i="8"/>
  <c r="BD31" i="8"/>
  <c r="AM29" i="10"/>
  <c r="AJ29" i="10"/>
  <c r="AY29" i="10"/>
  <c r="AG43" i="7"/>
  <c r="AZ69" i="7"/>
  <c r="AX54" i="9"/>
  <c r="V54" i="9"/>
  <c r="BQ54" i="9"/>
  <c r="AK54" i="9"/>
  <c r="Q54" i="9"/>
  <c r="AW54" i="9"/>
  <c r="AT54" i="9"/>
  <c r="AQ54" i="9"/>
  <c r="BL54" i="9"/>
  <c r="AH54" i="9"/>
  <c r="AE54" i="9"/>
  <c r="Y54" i="9"/>
  <c r="AZ54" i="9"/>
  <c r="S54" i="9"/>
  <c r="M54" i="9"/>
  <c r="J54" i="9"/>
  <c r="AN54" i="9"/>
  <c r="BN54" i="9"/>
  <c r="BH54" i="9"/>
  <c r="BS54" i="9"/>
  <c r="BC54" i="9"/>
  <c r="AB54" i="9"/>
  <c r="AV54" i="9"/>
  <c r="AS54" i="9"/>
  <c r="BD54" i="9"/>
  <c r="X54" i="9"/>
  <c r="I54" i="9"/>
  <c r="P54" i="9"/>
  <c r="AG54" i="9"/>
  <c r="AD54" i="9"/>
  <c r="AL54" i="9"/>
  <c r="BT54" i="9"/>
  <c r="BK54" i="9"/>
  <c r="R54" i="9"/>
  <c r="L54" i="9"/>
  <c r="W54" i="9"/>
  <c r="AY54" i="9"/>
  <c r="BJ54" i="9"/>
  <c r="BG54" i="9"/>
  <c r="H54" i="9"/>
  <c r="BR54" i="9"/>
  <c r="BE54" i="9"/>
  <c r="BM54" i="9"/>
  <c r="AM54" i="9"/>
  <c r="AU54" i="9"/>
  <c r="AR54" i="9"/>
  <c r="BB54" i="9"/>
  <c r="AI54" i="9"/>
  <c r="AP54" i="9"/>
  <c r="BA54" i="9"/>
  <c r="AA54" i="9"/>
  <c r="AF54" i="9"/>
  <c r="Z54" i="9"/>
  <c r="T54" i="9"/>
  <c r="AJ54" i="9"/>
  <c r="AO54" i="9"/>
  <c r="O54" i="9"/>
  <c r="N54" i="9"/>
  <c r="K54" i="9"/>
  <c r="BP54" i="9"/>
  <c r="U54" i="9"/>
  <c r="AC54" i="9"/>
  <c r="BO54" i="9"/>
  <c r="BI54" i="9"/>
  <c r="BF54" i="9"/>
  <c r="H73" i="9"/>
  <c r="AA73" i="9"/>
  <c r="AH73" i="9"/>
  <c r="BP73" i="9"/>
  <c r="L73" i="9"/>
  <c r="AT73" i="9"/>
  <c r="X73" i="9"/>
  <c r="BQ73" i="9"/>
  <c r="AL73" i="9"/>
  <c r="AR73" i="9"/>
  <c r="AI73" i="9"/>
  <c r="AE73" i="9"/>
  <c r="AC73" i="9"/>
  <c r="Z73" i="9"/>
  <c r="V73" i="9"/>
  <c r="O73" i="9"/>
  <c r="I73" i="9"/>
  <c r="BD73" i="9"/>
  <c r="AO73" i="9"/>
  <c r="N73" i="9"/>
  <c r="BH73" i="9"/>
  <c r="BT73" i="9"/>
  <c r="BA73" i="9"/>
  <c r="R73" i="9"/>
  <c r="BI73" i="9"/>
  <c r="AQ73" i="9"/>
  <c r="BC73" i="9"/>
  <c r="BM73" i="9"/>
  <c r="AD73" i="9"/>
  <c r="AW73" i="9"/>
  <c r="U73" i="9"/>
  <c r="AG73" i="9"/>
  <c r="AP73" i="9"/>
  <c r="BL73" i="9"/>
  <c r="AK73" i="9"/>
  <c r="BG73" i="9"/>
  <c r="K73" i="9"/>
  <c r="BB73" i="9"/>
  <c r="AZ73" i="9"/>
  <c r="Y73" i="9"/>
  <c r="AM73" i="9"/>
  <c r="BS73" i="9"/>
  <c r="AN73" i="9"/>
  <c r="M73" i="9"/>
  <c r="T73" i="9"/>
  <c r="AY73" i="9"/>
  <c r="AB73" i="9"/>
  <c r="BO73" i="9"/>
  <c r="BF73" i="9"/>
  <c r="AF73" i="9"/>
  <c r="BN73" i="9"/>
  <c r="P73" i="9"/>
  <c r="AS73" i="9"/>
  <c r="AJ73" i="9"/>
  <c r="J73" i="9"/>
  <c r="BJ73" i="9"/>
  <c r="W73" i="9"/>
  <c r="S73" i="9"/>
  <c r="BR73" i="9"/>
  <c r="AX73" i="9"/>
  <c r="BK73" i="9"/>
  <c r="BE73" i="9"/>
  <c r="AV73" i="9"/>
  <c r="AU73" i="9"/>
  <c r="Q73" i="9"/>
  <c r="BA31" i="11"/>
  <c r="AO31" i="11"/>
  <c r="AB45" i="7"/>
  <c r="AD66" i="11"/>
  <c r="AY66" i="11"/>
  <c r="F21" i="2"/>
  <c r="AQ31" i="7"/>
  <c r="AS31" i="7"/>
  <c r="O34" i="9"/>
  <c r="BP34" i="9"/>
  <c r="AD34" i="9"/>
  <c r="BN34" i="9"/>
  <c r="AL34" i="9"/>
  <c r="BK34" i="9"/>
  <c r="AT34" i="9"/>
  <c r="T34" i="9"/>
  <c r="AS34" i="9"/>
  <c r="AG34" i="9"/>
  <c r="R34" i="9"/>
  <c r="BS34" i="9"/>
  <c r="K34" i="9"/>
  <c r="V34" i="9"/>
  <c r="AF34" i="9"/>
  <c r="BL34" i="9"/>
  <c r="BI34" i="9"/>
  <c r="BG34" i="9"/>
  <c r="BE34" i="9"/>
  <c r="H34" i="9"/>
  <c r="Q34" i="9"/>
  <c r="AW34" i="9"/>
  <c r="AU34" i="9"/>
  <c r="AP34" i="9"/>
  <c r="BQ34" i="9"/>
  <c r="AY34" i="9"/>
  <c r="AK34" i="9"/>
  <c r="AI34" i="9"/>
  <c r="AA34" i="9"/>
  <c r="BB34" i="9"/>
  <c r="AE34" i="9"/>
  <c r="Y34" i="9"/>
  <c r="W34" i="9"/>
  <c r="J34" i="9"/>
  <c r="AM34" i="9"/>
  <c r="M34" i="9"/>
  <c r="BJ34" i="9"/>
  <c r="BD34" i="9"/>
  <c r="U34" i="9"/>
  <c r="BT34" i="9"/>
  <c r="AR34" i="9"/>
  <c r="AO34" i="9"/>
  <c r="BO34" i="9"/>
  <c r="BH34" i="9"/>
  <c r="AC34" i="9"/>
  <c r="Z34" i="9"/>
  <c r="AZ34" i="9"/>
  <c r="AV34" i="9"/>
  <c r="N34" i="9"/>
  <c r="I34" i="9"/>
  <c r="AH34" i="9"/>
  <c r="BA34" i="9"/>
  <c r="AJ34" i="9"/>
  <c r="BF34" i="9"/>
  <c r="BR34" i="9"/>
  <c r="S34" i="9"/>
  <c r="X34" i="9"/>
  <c r="AQ34" i="9"/>
  <c r="BC34" i="9"/>
  <c r="BM34" i="9"/>
  <c r="L34" i="9"/>
  <c r="AB34" i="9"/>
  <c r="AN34" i="9"/>
  <c r="AX34" i="9"/>
  <c r="P34" i="9"/>
  <c r="BO57" i="8"/>
  <c r="BA57" i="8"/>
  <c r="AC57" i="8"/>
  <c r="BL57" i="8"/>
  <c r="AV57" i="8"/>
  <c r="AB57" i="8"/>
  <c r="BJ57" i="8"/>
  <c r="AX57" i="8"/>
  <c r="AW57" i="8"/>
  <c r="AQ57" i="8"/>
  <c r="AL57" i="8"/>
  <c r="AY57" i="8"/>
  <c r="AU57" i="8"/>
  <c r="BI57" i="8"/>
  <c r="BS57" i="8"/>
  <c r="BN57" i="8"/>
  <c r="BM57" i="8"/>
  <c r="V57" i="8"/>
  <c r="T57" i="8"/>
  <c r="BG57" i="8"/>
  <c r="J57" i="8"/>
  <c r="H57" i="8"/>
  <c r="M57" i="8"/>
  <c r="BQ57" i="8"/>
  <c r="X57" i="8"/>
  <c r="Y57" i="8"/>
  <c r="BE57" i="8"/>
  <c r="AM57" i="8"/>
  <c r="AN57" i="8"/>
  <c r="AJ57" i="8"/>
  <c r="BK57" i="8"/>
  <c r="AS57" i="8"/>
  <c r="BB57" i="8"/>
  <c r="BC57" i="8"/>
  <c r="R57" i="8"/>
  <c r="S57" i="8"/>
  <c r="AG57" i="8"/>
  <c r="BT57" i="8"/>
  <c r="AI57" i="8"/>
  <c r="W57" i="8"/>
  <c r="AK57" i="8"/>
  <c r="U57" i="8"/>
  <c r="Q57" i="8"/>
  <c r="N57" i="8"/>
  <c r="AZ57" i="8"/>
  <c r="I57" i="8"/>
  <c r="AE57" i="8"/>
  <c r="BR57" i="8"/>
  <c r="BP57" i="8"/>
  <c r="L57" i="8"/>
  <c r="P57" i="8"/>
  <c r="BF57" i="8"/>
  <c r="BD57" i="8"/>
  <c r="K57" i="8"/>
  <c r="AA57" i="8"/>
  <c r="AD57" i="8"/>
  <c r="AT57" i="8"/>
  <c r="AR57" i="8"/>
  <c r="Z57" i="8"/>
  <c r="AP57" i="8"/>
  <c r="O57" i="8"/>
  <c r="AH57" i="8"/>
  <c r="AF57" i="8"/>
  <c r="AO57" i="8"/>
  <c r="BH57" i="8"/>
  <c r="Q28" i="7"/>
  <c r="Z28" i="7"/>
  <c r="AK28" i="7"/>
  <c r="AG28" i="7"/>
  <c r="AT35" i="12"/>
  <c r="AA7" i="2"/>
  <c r="AF54" i="7"/>
  <c r="BJ36" i="9"/>
  <c r="BQ36" i="9"/>
  <c r="AP36" i="9"/>
  <c r="BG36" i="9"/>
  <c r="AD36" i="9"/>
  <c r="AU36" i="9"/>
  <c r="AQ36" i="9"/>
  <c r="U36" i="9"/>
  <c r="T36" i="9"/>
  <c r="BN36" i="9"/>
  <c r="H36" i="9"/>
  <c r="AB36" i="9"/>
  <c r="BT36" i="9"/>
  <c r="BP36" i="9"/>
  <c r="BB36" i="9"/>
  <c r="P36" i="9"/>
  <c r="BH36" i="9"/>
  <c r="BS36" i="9"/>
  <c r="V36" i="9"/>
  <c r="BK36" i="9"/>
  <c r="AV36" i="9"/>
  <c r="I36" i="9"/>
  <c r="AR36" i="9"/>
  <c r="AY36" i="9"/>
  <c r="AJ36" i="9"/>
  <c r="AE36" i="9"/>
  <c r="R36" i="9"/>
  <c r="BM36" i="9"/>
  <c r="AM36" i="9"/>
  <c r="X36" i="9"/>
  <c r="AX36" i="9"/>
  <c r="AI36" i="9"/>
  <c r="BA36" i="9"/>
  <c r="AA36" i="9"/>
  <c r="L36" i="9"/>
  <c r="BR36" i="9"/>
  <c r="BE36" i="9"/>
  <c r="S36" i="9"/>
  <c r="AO36" i="9"/>
  <c r="O36" i="9"/>
  <c r="W36" i="9"/>
  <c r="N36" i="9"/>
  <c r="AL36" i="9"/>
  <c r="AC36" i="9"/>
  <c r="BI36" i="9"/>
  <c r="AS36" i="9"/>
  <c r="K36" i="9"/>
  <c r="AH36" i="9"/>
  <c r="BF36" i="9"/>
  <c r="Q36" i="9"/>
  <c r="AW36" i="9"/>
  <c r="BO36" i="9"/>
  <c r="AG36" i="9"/>
  <c r="BD36" i="9"/>
  <c r="BL36" i="9"/>
  <c r="AK36" i="9"/>
  <c r="BC36" i="9"/>
  <c r="AZ36" i="9"/>
  <c r="Y36" i="9"/>
  <c r="Z36" i="9"/>
  <c r="J36" i="9"/>
  <c r="AN36" i="9"/>
  <c r="M36" i="9"/>
  <c r="AT36" i="9"/>
  <c r="AF36" i="9"/>
  <c r="AN60" i="8"/>
  <c r="AF60" i="8"/>
  <c r="AO60" i="8"/>
  <c r="BD60" i="8"/>
  <c r="BC60" i="8"/>
  <c r="BM60" i="8"/>
  <c r="AX60" i="8"/>
  <c r="AG60" i="8"/>
  <c r="AC60" i="8"/>
  <c r="AJ60" i="8"/>
  <c r="BQ60" i="8"/>
  <c r="R60" i="8"/>
  <c r="N60" i="8"/>
  <c r="X60" i="8"/>
  <c r="BP60" i="8"/>
  <c r="BL60" i="8"/>
  <c r="BF60" i="8"/>
  <c r="L60" i="8"/>
  <c r="BA60" i="8"/>
  <c r="AT60" i="8"/>
  <c r="AQ60" i="8"/>
  <c r="BS60" i="8"/>
  <c r="AL60" i="8"/>
  <c r="AE60" i="8"/>
  <c r="AB60" i="8"/>
  <c r="Q60" i="8"/>
  <c r="BI60" i="8"/>
  <c r="BG60" i="8"/>
  <c r="T60" i="8"/>
  <c r="P60" i="8"/>
  <c r="J60" i="8"/>
  <c r="AW60" i="8"/>
  <c r="AU60" i="8"/>
  <c r="BO60" i="8"/>
  <c r="BK60" i="8"/>
  <c r="BE60" i="8"/>
  <c r="AK60" i="8"/>
  <c r="AI60" i="8"/>
  <c r="AZ60" i="8"/>
  <c r="AS60" i="8"/>
  <c r="AP60" i="8"/>
  <c r="Y60" i="8"/>
  <c r="W60" i="8"/>
  <c r="AH60" i="8"/>
  <c r="AD60" i="8"/>
  <c r="AA60" i="8"/>
  <c r="M60" i="8"/>
  <c r="K60" i="8"/>
  <c r="S60" i="8"/>
  <c r="O60" i="8"/>
  <c r="I60" i="8"/>
  <c r="V60" i="8"/>
  <c r="Z60" i="8"/>
  <c r="BT60" i="8"/>
  <c r="U60" i="8"/>
  <c r="BN60" i="8"/>
  <c r="BJ60" i="8"/>
  <c r="BR60" i="8"/>
  <c r="BH60" i="8"/>
  <c r="AM60" i="8"/>
  <c r="AY60" i="8"/>
  <c r="AR60" i="8"/>
  <c r="H60" i="8"/>
  <c r="AV60" i="8"/>
  <c r="BB60" i="8"/>
  <c r="W43" i="7"/>
  <c r="AJ69" i="7"/>
  <c r="AJ29" i="9"/>
  <c r="AH29" i="9"/>
  <c r="X29" i="9"/>
  <c r="O29" i="9"/>
  <c r="W29" i="9"/>
  <c r="L29" i="9"/>
  <c r="I29" i="9"/>
  <c r="BB29" i="9"/>
  <c r="BI29" i="9"/>
  <c r="BJ29" i="9"/>
  <c r="BR29" i="9"/>
  <c r="BO29" i="9"/>
  <c r="BF29" i="9"/>
  <c r="AQ29" i="9"/>
  <c r="AX29" i="9"/>
  <c r="BA29" i="9"/>
  <c r="AT29" i="9"/>
  <c r="AP29" i="9"/>
  <c r="AO29" i="9"/>
  <c r="BC29" i="9"/>
  <c r="BL29" i="9"/>
  <c r="AL29" i="9"/>
  <c r="AG29" i="9"/>
  <c r="AD29" i="9"/>
  <c r="V29" i="9"/>
  <c r="AZ29" i="9"/>
  <c r="Z29" i="9"/>
  <c r="Q29" i="9"/>
  <c r="K29" i="9"/>
  <c r="BE29" i="9"/>
  <c r="AN29" i="9"/>
  <c r="N29" i="9"/>
  <c r="BQ29" i="9"/>
  <c r="BN29" i="9"/>
  <c r="BD29" i="9"/>
  <c r="AB29" i="9"/>
  <c r="BT29" i="9"/>
  <c r="AW29" i="9"/>
  <c r="AS29" i="9"/>
  <c r="AK29" i="9"/>
  <c r="P29" i="9"/>
  <c r="BH29" i="9"/>
  <c r="AF29" i="9"/>
  <c r="AC29" i="9"/>
  <c r="T29" i="9"/>
  <c r="BK29" i="9"/>
  <c r="BS29" i="9"/>
  <c r="M29" i="9"/>
  <c r="J29" i="9"/>
  <c r="U29" i="9"/>
  <c r="AY29" i="9"/>
  <c r="BG29" i="9"/>
  <c r="BP29" i="9"/>
  <c r="BM29" i="9"/>
  <c r="S29" i="9"/>
  <c r="AM29" i="9"/>
  <c r="AU29" i="9"/>
  <c r="AV29" i="9"/>
  <c r="AR29" i="9"/>
  <c r="R29" i="9"/>
  <c r="AA29" i="9"/>
  <c r="AI29" i="9"/>
  <c r="AE29" i="9"/>
  <c r="Y29" i="9"/>
  <c r="H29" i="9"/>
  <c r="Y66" i="7"/>
  <c r="AJ66" i="7"/>
  <c r="L66" i="7"/>
  <c r="BB27" i="10"/>
  <c r="AQ27" i="10"/>
  <c r="AR27" i="10"/>
  <c r="Y28" i="12"/>
  <c r="AI46" i="8"/>
  <c r="AV46" i="8"/>
  <c r="AD46" i="8"/>
  <c r="P46" i="8"/>
  <c r="AF46" i="8"/>
  <c r="BH46" i="8"/>
  <c r="AW46" i="8"/>
  <c r="AE46" i="8"/>
  <c r="BJ46" i="8"/>
  <c r="R46" i="8"/>
  <c r="Q46" i="8"/>
  <c r="BK46" i="8"/>
  <c r="AU46" i="8"/>
  <c r="BI46" i="8"/>
  <c r="S46" i="8"/>
  <c r="AR46" i="8"/>
  <c r="BR46" i="8"/>
  <c r="BP46" i="8"/>
  <c r="BF46" i="8"/>
  <c r="T46" i="8"/>
  <c r="AT46" i="8"/>
  <c r="AJ46" i="8"/>
  <c r="AH46" i="8"/>
  <c r="AX46" i="8"/>
  <c r="V46" i="8"/>
  <c r="BL46" i="8"/>
  <c r="J46" i="8"/>
  <c r="BQ46" i="8"/>
  <c r="BE46" i="8"/>
  <c r="AS46" i="8"/>
  <c r="AG46" i="8"/>
  <c r="U46" i="8"/>
  <c r="I46" i="8"/>
  <c r="BS46" i="8"/>
  <c r="BC46" i="8"/>
  <c r="BT46" i="8"/>
  <c r="N46" i="8"/>
  <c r="K46" i="8"/>
  <c r="AB46" i="8"/>
  <c r="Y46" i="8"/>
  <c r="AP46" i="8"/>
  <c r="AM46" i="8"/>
  <c r="BD46" i="8"/>
  <c r="W46" i="8"/>
  <c r="BA46" i="8"/>
  <c r="O46" i="8"/>
  <c r="AK46" i="8"/>
  <c r="H46" i="8"/>
  <c r="BO46" i="8"/>
  <c r="AC46" i="8"/>
  <c r="AY46" i="8"/>
  <c r="X46" i="8"/>
  <c r="L46" i="8"/>
  <c r="AQ46" i="8"/>
  <c r="BM46" i="8"/>
  <c r="AL46" i="8"/>
  <c r="Z46" i="8"/>
  <c r="M46" i="8"/>
  <c r="BG46" i="8"/>
  <c r="AZ46" i="8"/>
  <c r="AN46" i="8"/>
  <c r="AA46" i="8"/>
  <c r="BN46" i="8"/>
  <c r="BB46" i="8"/>
  <c r="AO46" i="8"/>
  <c r="Z54" i="7"/>
  <c r="AV45" i="7"/>
  <c r="AL48" i="11"/>
  <c r="AO48" i="11"/>
  <c r="AG25" i="7"/>
  <c r="AG21" i="11"/>
  <c r="AM21" i="11"/>
  <c r="AQ21" i="11"/>
  <c r="AX21" i="11"/>
  <c r="AK27" i="7"/>
  <c r="I40" i="7"/>
  <c r="AV40" i="11"/>
  <c r="AT40" i="11"/>
  <c r="AI69" i="7"/>
  <c r="AK28" i="5"/>
  <c r="AW71" i="8"/>
  <c r="AI22" i="10"/>
  <c r="W44" i="7"/>
  <c r="AV44" i="7"/>
  <c r="AA21" i="10"/>
  <c r="AB21" i="10"/>
  <c r="Z21" i="10"/>
  <c r="AH21" i="10"/>
  <c r="J35" i="8"/>
  <c r="AZ35" i="8"/>
  <c r="Z35" i="8"/>
  <c r="K35" i="8"/>
  <c r="AF35" i="8"/>
  <c r="AN35" i="8"/>
  <c r="N35" i="8"/>
  <c r="AT35" i="8"/>
  <c r="BO35" i="8"/>
  <c r="I35" i="8"/>
  <c r="BB35" i="8"/>
  <c r="AB35" i="8"/>
  <c r="BI35" i="8"/>
  <c r="U35" i="8"/>
  <c r="V35" i="8"/>
  <c r="AE35" i="8"/>
  <c r="BT35" i="8"/>
  <c r="L35" i="8"/>
  <c r="P35" i="8"/>
  <c r="AW35" i="8"/>
  <c r="AQ35" i="8"/>
  <c r="AR35" i="8"/>
  <c r="BA35" i="8"/>
  <c r="X35" i="8"/>
  <c r="AG35" i="8"/>
  <c r="BK35" i="8"/>
  <c r="AK35" i="8"/>
  <c r="BM35" i="8"/>
  <c r="BN35" i="8"/>
  <c r="BR35" i="8"/>
  <c r="AC35" i="8"/>
  <c r="BC35" i="8"/>
  <c r="AY35" i="8"/>
  <c r="Y35" i="8"/>
  <c r="T35" i="8"/>
  <c r="H35" i="8"/>
  <c r="AM35" i="8"/>
  <c r="M35" i="8"/>
  <c r="AP35" i="8"/>
  <c r="AD35" i="8"/>
  <c r="AS35" i="8"/>
  <c r="AA35" i="8"/>
  <c r="BS35" i="8"/>
  <c r="BH35" i="8"/>
  <c r="AV35" i="8"/>
  <c r="Q35" i="8"/>
  <c r="O35" i="8"/>
  <c r="BG35" i="8"/>
  <c r="BQ35" i="8"/>
  <c r="AH35" i="8"/>
  <c r="R35" i="8"/>
  <c r="BJ35" i="8"/>
  <c r="AU35" i="8"/>
  <c r="BD35" i="8"/>
  <c r="AJ35" i="8"/>
  <c r="S35" i="8"/>
  <c r="AX35" i="8"/>
  <c r="AI35" i="8"/>
  <c r="BP35" i="8"/>
  <c r="BE35" i="8"/>
  <c r="AO35" i="8"/>
  <c r="BL35" i="8"/>
  <c r="AL35" i="8"/>
  <c r="W35" i="8"/>
  <c r="X18" i="10"/>
  <c r="AO18" i="10"/>
  <c r="AD18" i="10"/>
  <c r="AO62" i="10"/>
  <c r="AV33" i="12"/>
  <c r="BI50" i="8"/>
  <c r="AK50" i="8"/>
  <c r="AJ50" i="8"/>
  <c r="AP50" i="8"/>
  <c r="BH50" i="8"/>
  <c r="AO50" i="8"/>
  <c r="U50" i="8"/>
  <c r="T50" i="8"/>
  <c r="BE50" i="8"/>
  <c r="BF50" i="8"/>
  <c r="R50" i="8"/>
  <c r="Q50" i="8"/>
  <c r="AB50" i="8"/>
  <c r="BS50" i="8"/>
  <c r="BM50" i="8"/>
  <c r="P50" i="8"/>
  <c r="BG50" i="8"/>
  <c r="BK50" i="8"/>
  <c r="AU50" i="8"/>
  <c r="AY50" i="8"/>
  <c r="AI50" i="8"/>
  <c r="AM50" i="8"/>
  <c r="W50" i="8"/>
  <c r="AA50" i="8"/>
  <c r="BO50" i="8"/>
  <c r="O50" i="8"/>
  <c r="BC50" i="8"/>
  <c r="BJ50" i="8"/>
  <c r="AQ50" i="8"/>
  <c r="AX50" i="8"/>
  <c r="AE50" i="8"/>
  <c r="BL50" i="8"/>
  <c r="AL50" i="8"/>
  <c r="S50" i="8"/>
  <c r="AZ50" i="8"/>
  <c r="Z50" i="8"/>
  <c r="V50" i="8"/>
  <c r="AN50" i="8"/>
  <c r="N50" i="8"/>
  <c r="AR50" i="8"/>
  <c r="BB50" i="8"/>
  <c r="M50" i="8"/>
  <c r="X50" i="8"/>
  <c r="AH50" i="8"/>
  <c r="AS50" i="8"/>
  <c r="BD50" i="8"/>
  <c r="BN50" i="8"/>
  <c r="J50" i="8"/>
  <c r="K50" i="8"/>
  <c r="I50" i="8"/>
  <c r="AD50" i="8"/>
  <c r="AF50" i="8"/>
  <c r="H50" i="8"/>
  <c r="AC50" i="8"/>
  <c r="AW50" i="8"/>
  <c r="BA50" i="8"/>
  <c r="Y50" i="8"/>
  <c r="AV50" i="8"/>
  <c r="BR50" i="8"/>
  <c r="BT50" i="8"/>
  <c r="AT50" i="8"/>
  <c r="BQ50" i="8"/>
  <c r="BP50" i="8"/>
  <c r="L50" i="8"/>
  <c r="AG50" i="8"/>
  <c r="AB37" i="12"/>
  <c r="AX37" i="12"/>
  <c r="AO20" i="10"/>
  <c r="AK20" i="10"/>
  <c r="AL28" i="5"/>
  <c r="AM42" i="10"/>
  <c r="BB42" i="10"/>
  <c r="BA54" i="12"/>
  <c r="AX54" i="12"/>
  <c r="X68" i="9"/>
  <c r="BS68" i="9"/>
  <c r="AA68" i="9"/>
  <c r="J68" i="9"/>
  <c r="BC68" i="9"/>
  <c r="BK68" i="9"/>
  <c r="BN68" i="9"/>
  <c r="BI68" i="9"/>
  <c r="BH68" i="9"/>
  <c r="BG68" i="9"/>
  <c r="O68" i="9"/>
  <c r="AZ68" i="9"/>
  <c r="AC68" i="9"/>
  <c r="AE68" i="9"/>
  <c r="M68" i="9"/>
  <c r="AK68" i="9"/>
  <c r="W68" i="9"/>
  <c r="AW68" i="9"/>
  <c r="AG68" i="9"/>
  <c r="BL68" i="9"/>
  <c r="N68" i="9"/>
  <c r="BM68" i="9"/>
  <c r="AY68" i="9"/>
  <c r="R68" i="9"/>
  <c r="U68" i="9"/>
  <c r="K68" i="9"/>
  <c r="AB68" i="9"/>
  <c r="AH68" i="9"/>
  <c r="I68" i="9"/>
  <c r="Y68" i="9"/>
  <c r="AP68" i="9"/>
  <c r="Q68" i="9"/>
  <c r="AV68" i="9"/>
  <c r="BP68" i="9"/>
  <c r="AM68" i="9"/>
  <c r="BF68" i="9"/>
  <c r="AU68" i="9"/>
  <c r="BJ68" i="9"/>
  <c r="BD68" i="9"/>
  <c r="BA68" i="9"/>
  <c r="BT68" i="9"/>
  <c r="AQ68" i="9"/>
  <c r="P68" i="9"/>
  <c r="AR68" i="9"/>
  <c r="BO68" i="9"/>
  <c r="AO68" i="9"/>
  <c r="AT68" i="9"/>
  <c r="AF68" i="9"/>
  <c r="AD68" i="9"/>
  <c r="BR68" i="9"/>
  <c r="T68" i="9"/>
  <c r="AL68" i="9"/>
  <c r="BB68" i="9"/>
  <c r="H68" i="9"/>
  <c r="AN68" i="9"/>
  <c r="BQ68" i="9"/>
  <c r="V68" i="9"/>
  <c r="Z68" i="9"/>
  <c r="S68" i="9"/>
  <c r="BE68" i="9"/>
  <c r="AJ68" i="9"/>
  <c r="L68" i="9"/>
  <c r="AI68" i="9"/>
  <c r="AS68" i="9"/>
  <c r="AX68" i="9"/>
  <c r="AF19" i="11"/>
  <c r="AX19" i="11"/>
  <c r="BA19" i="11"/>
  <c r="AK69" i="7"/>
  <c r="AS69" i="7"/>
  <c r="AU63" i="11"/>
  <c r="AP63" i="11"/>
  <c r="BF69" i="7"/>
  <c r="S53" i="7"/>
  <c r="Y53" i="7"/>
  <c r="AC47" i="11"/>
  <c r="AF47" i="11"/>
  <c r="P47" i="11"/>
  <c r="AO47" i="11"/>
  <c r="AL21" i="7"/>
  <c r="AA21" i="7"/>
  <c r="AP21" i="7"/>
  <c r="W24" i="10"/>
  <c r="AO24" i="10"/>
  <c r="AM24" i="11"/>
  <c r="AP24" i="11"/>
  <c r="AC32" i="7"/>
  <c r="AL32" i="7"/>
  <c r="AS52" i="10"/>
  <c r="AL52" i="10"/>
  <c r="AO71" i="7"/>
  <c r="AD72" i="11"/>
  <c r="AV74" i="9"/>
  <c r="BP74" i="9"/>
  <c r="K74" i="9"/>
  <c r="Z74" i="9"/>
  <c r="BQ74" i="9"/>
  <c r="H74" i="9"/>
  <c r="X74" i="9"/>
  <c r="BR74" i="9"/>
  <c r="BD74" i="9"/>
  <c r="AO74" i="9"/>
  <c r="Y74" i="9"/>
  <c r="AY74" i="9"/>
  <c r="BM74" i="9"/>
  <c r="L74" i="9"/>
  <c r="BG74" i="9"/>
  <c r="BK74" i="9"/>
  <c r="AJ74" i="9"/>
  <c r="AW74" i="9"/>
  <c r="AI74" i="9"/>
  <c r="AS74" i="9"/>
  <c r="AM74" i="9"/>
  <c r="BS74" i="9"/>
  <c r="AC74" i="9"/>
  <c r="U74" i="9"/>
  <c r="BO74" i="9"/>
  <c r="O74" i="9"/>
  <c r="BJ74" i="9"/>
  <c r="AA74" i="9"/>
  <c r="BI74" i="9"/>
  <c r="BT74" i="9"/>
  <c r="AL74" i="9"/>
  <c r="AU74" i="9"/>
  <c r="BF74" i="9"/>
  <c r="T74" i="9"/>
  <c r="AG74" i="9"/>
  <c r="AR74" i="9"/>
  <c r="BE74" i="9"/>
  <c r="Q74" i="9"/>
  <c r="AB74" i="9"/>
  <c r="AK74" i="9"/>
  <c r="BH74" i="9"/>
  <c r="N74" i="9"/>
  <c r="M74" i="9"/>
  <c r="W74" i="9"/>
  <c r="AX74" i="9"/>
  <c r="AT74" i="9"/>
  <c r="BL74" i="9"/>
  <c r="AZ74" i="9"/>
  <c r="BA74" i="9"/>
  <c r="AF74" i="9"/>
  <c r="AN74" i="9"/>
  <c r="AH74" i="9"/>
  <c r="P74" i="9"/>
  <c r="V74" i="9"/>
  <c r="J74" i="9"/>
  <c r="I74" i="9"/>
  <c r="R74" i="9"/>
  <c r="AD74" i="9"/>
  <c r="AP74" i="9"/>
  <c r="S74" i="9"/>
  <c r="BB74" i="9"/>
  <c r="AE74" i="9"/>
  <c r="BN74" i="9"/>
  <c r="AQ74" i="9"/>
  <c r="BC74" i="9"/>
  <c r="AY62" i="11"/>
  <c r="AV63" i="11"/>
  <c r="BA68" i="11"/>
  <c r="AR68" i="11"/>
  <c r="AU68" i="11"/>
  <c r="BN21" i="8"/>
  <c r="BF21" i="8"/>
  <c r="BP21" i="8"/>
  <c r="AV21" i="8"/>
  <c r="AW21" i="8"/>
  <c r="R21" i="8"/>
  <c r="AH21" i="8"/>
  <c r="AG21" i="8"/>
  <c r="S21" i="8"/>
  <c r="AZ21" i="8"/>
  <c r="BQ21" i="8"/>
  <c r="BC21" i="8"/>
  <c r="W21" i="8"/>
  <c r="AU21" i="8"/>
  <c r="T21" i="8"/>
  <c r="AN21" i="8"/>
  <c r="BR21" i="8"/>
  <c r="AL21" i="8"/>
  <c r="I21" i="8"/>
  <c r="BJ21" i="8"/>
  <c r="AI21" i="8"/>
  <c r="AB21" i="8"/>
  <c r="BD21" i="8"/>
  <c r="X21" i="8"/>
  <c r="M21" i="8"/>
  <c r="AX21" i="8"/>
  <c r="P21" i="8"/>
  <c r="BS21" i="8"/>
  <c r="AP21" i="8"/>
  <c r="L21" i="8"/>
  <c r="AE21" i="8"/>
  <c r="BK21" i="8"/>
  <c r="BE21" i="8"/>
  <c r="AD21" i="8"/>
  <c r="AT21" i="8"/>
  <c r="AY21" i="8"/>
  <c r="BT21" i="8"/>
  <c r="J21" i="8"/>
  <c r="K21" i="8"/>
  <c r="AS21" i="8"/>
  <c r="BI21" i="8"/>
  <c r="BM21" i="8"/>
  <c r="AM21" i="8"/>
  <c r="Y21" i="8"/>
  <c r="Z21" i="8"/>
  <c r="BH21" i="8"/>
  <c r="BA21" i="8"/>
  <c r="AA21" i="8"/>
  <c r="AQ21" i="8"/>
  <c r="AR21" i="8"/>
  <c r="AO21" i="8"/>
  <c r="O21" i="8"/>
  <c r="BG21" i="8"/>
  <c r="AC21" i="8"/>
  <c r="U21" i="8"/>
  <c r="Q21" i="8"/>
  <c r="AJ21" i="8"/>
  <c r="V21" i="8"/>
  <c r="N21" i="8"/>
  <c r="BL21" i="8"/>
  <c r="BB21" i="8"/>
  <c r="AK21" i="8"/>
  <c r="H21" i="8"/>
  <c r="AF21" i="8"/>
  <c r="Z47" i="10"/>
  <c r="AA47" i="10"/>
  <c r="BE58" i="11"/>
  <c r="AH19" i="7"/>
  <c r="AJ19" i="7"/>
  <c r="AN57" i="10"/>
  <c r="BA57" i="10"/>
  <c r="H61" i="9"/>
  <c r="BE61" i="9"/>
  <c r="BT61" i="9"/>
  <c r="AU61" i="9"/>
  <c r="AO61" i="9"/>
  <c r="O61" i="9"/>
  <c r="W61" i="9"/>
  <c r="T61" i="9"/>
  <c r="AC61" i="9"/>
  <c r="BI61" i="9"/>
  <c r="BG61" i="9"/>
  <c r="AJ61" i="9"/>
  <c r="Q61" i="9"/>
  <c r="AW61" i="9"/>
  <c r="AE61" i="9"/>
  <c r="R61" i="9"/>
  <c r="BD61" i="9"/>
  <c r="BM61" i="9"/>
  <c r="AK61" i="9"/>
  <c r="AR61" i="9"/>
  <c r="AH61" i="9"/>
  <c r="BH61" i="9"/>
  <c r="AZ61" i="9"/>
  <c r="Y61" i="9"/>
  <c r="L61" i="9"/>
  <c r="BB61" i="9"/>
  <c r="AS61" i="9"/>
  <c r="U61" i="9"/>
  <c r="AN61" i="9"/>
  <c r="M61" i="9"/>
  <c r="AF61" i="9"/>
  <c r="BS61" i="9"/>
  <c r="Z61" i="9"/>
  <c r="AL61" i="9"/>
  <c r="AB61" i="9"/>
  <c r="V61" i="9"/>
  <c r="AV61" i="9"/>
  <c r="N61" i="9"/>
  <c r="BP61" i="9"/>
  <c r="X61" i="9"/>
  <c r="P61" i="9"/>
  <c r="AP61" i="9"/>
  <c r="I61" i="9"/>
  <c r="J61" i="9"/>
  <c r="BQ61" i="9"/>
  <c r="AG61" i="9"/>
  <c r="K61" i="9"/>
  <c r="BK61" i="9"/>
  <c r="BF61" i="9"/>
  <c r="BJ61" i="9"/>
  <c r="AD61" i="9"/>
  <c r="AX61" i="9"/>
  <c r="S61" i="9"/>
  <c r="BL61" i="9"/>
  <c r="AY61" i="9"/>
  <c r="AT61" i="9"/>
  <c r="BR61" i="9"/>
  <c r="AI61" i="9"/>
  <c r="AQ61" i="9"/>
  <c r="BN61" i="9"/>
  <c r="AM61" i="9"/>
  <c r="BO61" i="9"/>
  <c r="BC61" i="9"/>
  <c r="BA61" i="9"/>
  <c r="AA61" i="9"/>
  <c r="AK43" i="7"/>
  <c r="AD43" i="7"/>
  <c r="AM61" i="7"/>
  <c r="L7" i="2"/>
  <c r="BN30" i="8"/>
  <c r="BM30" i="8"/>
  <c r="BB30" i="8"/>
  <c r="AP30" i="8"/>
  <c r="AO30" i="8"/>
  <c r="BA30" i="8"/>
  <c r="AB30" i="8"/>
  <c r="BI30" i="8"/>
  <c r="BG30" i="8"/>
  <c r="BE30" i="8"/>
  <c r="BC30" i="8"/>
  <c r="P30" i="8"/>
  <c r="AW30" i="8"/>
  <c r="AU30" i="8"/>
  <c r="AS30" i="8"/>
  <c r="AQ30" i="8"/>
  <c r="Q30" i="8"/>
  <c r="BK30" i="8"/>
  <c r="AK30" i="8"/>
  <c r="AI30" i="8"/>
  <c r="AG30" i="8"/>
  <c r="AE30" i="8"/>
  <c r="R30" i="8"/>
  <c r="AY30" i="8"/>
  <c r="Y30" i="8"/>
  <c r="W30" i="8"/>
  <c r="U30" i="8"/>
  <c r="S30" i="8"/>
  <c r="AM30" i="8"/>
  <c r="M30" i="8"/>
  <c r="K30" i="8"/>
  <c r="I30" i="8"/>
  <c r="AA30" i="8"/>
  <c r="BT30" i="8"/>
  <c r="BR30" i="8"/>
  <c r="BP30" i="8"/>
  <c r="O30" i="8"/>
  <c r="BH30" i="8"/>
  <c r="BF30" i="8"/>
  <c r="BD30" i="8"/>
  <c r="AD30" i="8"/>
  <c r="BJ30" i="8"/>
  <c r="AV30" i="8"/>
  <c r="AT30" i="8"/>
  <c r="AR30" i="8"/>
  <c r="AX30" i="8"/>
  <c r="AJ30" i="8"/>
  <c r="AH30" i="8"/>
  <c r="AF30" i="8"/>
  <c r="BL30" i="8"/>
  <c r="AL30" i="8"/>
  <c r="X30" i="8"/>
  <c r="V30" i="8"/>
  <c r="T30" i="8"/>
  <c r="AZ30" i="8"/>
  <c r="Z30" i="8"/>
  <c r="L30" i="8"/>
  <c r="J30" i="8"/>
  <c r="H30" i="8"/>
  <c r="AC30" i="8"/>
  <c r="AN30" i="8"/>
  <c r="N30" i="8"/>
  <c r="BS30" i="8"/>
  <c r="BQ30" i="8"/>
  <c r="BO30" i="8"/>
  <c r="AR49" i="8"/>
  <c r="AO49" i="8"/>
  <c r="AN49" i="8"/>
  <c r="X49" i="8"/>
  <c r="V49" i="8"/>
  <c r="BT49" i="8"/>
  <c r="BF49" i="8"/>
  <c r="BH49" i="8"/>
  <c r="H49" i="8"/>
  <c r="BK49" i="8"/>
  <c r="BE49" i="8"/>
  <c r="I49" i="8"/>
  <c r="AB49" i="8"/>
  <c r="AS49" i="8"/>
  <c r="W49" i="8"/>
  <c r="BL49" i="8"/>
  <c r="AQ49" i="8"/>
  <c r="BG49" i="8"/>
  <c r="AT49" i="8"/>
  <c r="BD49" i="8"/>
  <c r="AP49" i="8"/>
  <c r="AW49" i="8"/>
  <c r="AL49" i="8"/>
  <c r="AY49" i="8"/>
  <c r="BM49" i="8"/>
  <c r="P49" i="8"/>
  <c r="Q49" i="8"/>
  <c r="BB49" i="8"/>
  <c r="BI49" i="8"/>
  <c r="AX49" i="8"/>
  <c r="L49" i="8"/>
  <c r="AG49" i="8"/>
  <c r="AH49" i="8"/>
  <c r="BN49" i="8"/>
  <c r="BJ49" i="8"/>
  <c r="K49" i="8"/>
  <c r="AF49" i="8"/>
  <c r="AZ49" i="8"/>
  <c r="BA49" i="8"/>
  <c r="AE49" i="8"/>
  <c r="AV49" i="8"/>
  <c r="BQ49" i="8"/>
  <c r="BR49" i="8"/>
  <c r="AU49" i="8"/>
  <c r="BP49" i="8"/>
  <c r="BO49" i="8"/>
  <c r="S49" i="8"/>
  <c r="AI49" i="8"/>
  <c r="BC49" i="8"/>
  <c r="BS49" i="8"/>
  <c r="M49" i="8"/>
  <c r="O49" i="8"/>
  <c r="J49" i="8"/>
  <c r="T49" i="8"/>
  <c r="R49" i="8"/>
  <c r="Y49" i="8"/>
  <c r="N49" i="8"/>
  <c r="AA49" i="8"/>
  <c r="AC49" i="8"/>
  <c r="AJ49" i="8"/>
  <c r="AD49" i="8"/>
  <c r="AK49" i="8"/>
  <c r="Z49" i="8"/>
  <c r="AM49" i="8"/>
  <c r="BE73" i="8"/>
  <c r="AL73" i="8"/>
  <c r="BK73" i="8"/>
  <c r="BP73" i="8"/>
  <c r="R73" i="8"/>
  <c r="Q73" i="8"/>
  <c r="P73" i="8"/>
  <c r="BQ73" i="8"/>
  <c r="AG73" i="8"/>
  <c r="BA73" i="8"/>
  <c r="BB73" i="8"/>
  <c r="AZ73" i="8"/>
  <c r="AF73" i="8"/>
  <c r="BT73" i="8"/>
  <c r="BR73" i="8"/>
  <c r="AB73" i="8"/>
  <c r="AD73" i="8"/>
  <c r="AE73" i="8"/>
  <c r="BH73" i="8"/>
  <c r="BF73" i="8"/>
  <c r="AR73" i="8"/>
  <c r="AX73" i="8"/>
  <c r="AY73" i="8"/>
  <c r="AV73" i="8"/>
  <c r="AT73" i="8"/>
  <c r="BL73" i="8"/>
  <c r="I73" i="8"/>
  <c r="BN73" i="8"/>
  <c r="BO73" i="8"/>
  <c r="AJ73" i="8"/>
  <c r="AH73" i="8"/>
  <c r="AC73" i="8"/>
  <c r="X73" i="8"/>
  <c r="V73" i="8"/>
  <c r="AS73" i="8"/>
  <c r="S73" i="8"/>
  <c r="T73" i="8"/>
  <c r="L73" i="8"/>
  <c r="J73" i="8"/>
  <c r="BM73" i="8"/>
  <c r="AM73" i="8"/>
  <c r="AN73" i="8"/>
  <c r="BS73" i="8"/>
  <c r="Z73" i="8"/>
  <c r="BC73" i="8"/>
  <c r="BD73" i="8"/>
  <c r="BI73" i="8"/>
  <c r="BG73" i="8"/>
  <c r="AP73" i="8"/>
  <c r="AW73" i="8"/>
  <c r="AU73" i="8"/>
  <c r="BJ73" i="8"/>
  <c r="AA73" i="8"/>
  <c r="AK73" i="8"/>
  <c r="AI73" i="8"/>
  <c r="AQ73" i="8"/>
  <c r="U73" i="8"/>
  <c r="Y73" i="8"/>
  <c r="W73" i="8"/>
  <c r="AO73" i="8"/>
  <c r="M73" i="8"/>
  <c r="K73" i="8"/>
  <c r="H73" i="8"/>
  <c r="N73" i="8"/>
  <c r="O73" i="8"/>
  <c r="BE31" i="11"/>
  <c r="AS31" i="11"/>
  <c r="AM37" i="8"/>
  <c r="AA37" i="8"/>
  <c r="AC37" i="8"/>
  <c r="V37" i="8"/>
  <c r="BL37" i="8"/>
  <c r="AB37" i="8"/>
  <c r="AH37" i="8"/>
  <c r="BJ37" i="8"/>
  <c r="Q37" i="8"/>
  <c r="P37" i="8"/>
  <c r="BK37" i="8"/>
  <c r="BR37" i="8"/>
  <c r="O37" i="8"/>
  <c r="BM37" i="8"/>
  <c r="J37" i="8"/>
  <c r="AN37" i="8"/>
  <c r="BF37" i="8"/>
  <c r="BA37" i="8"/>
  <c r="AZ37" i="8"/>
  <c r="AY37" i="8"/>
  <c r="AT37" i="8"/>
  <c r="AO37" i="8"/>
  <c r="AK37" i="8"/>
  <c r="S37" i="8"/>
  <c r="AW37" i="8"/>
  <c r="R37" i="8"/>
  <c r="AE37" i="8"/>
  <c r="L37" i="8"/>
  <c r="BI37" i="8"/>
  <c r="N37" i="8"/>
  <c r="AD37" i="8"/>
  <c r="AQ37" i="8"/>
  <c r="K37" i="8"/>
  <c r="X37" i="8"/>
  <c r="Z37" i="8"/>
  <c r="AP37" i="8"/>
  <c r="BC37" i="8"/>
  <c r="I37" i="8"/>
  <c r="W37" i="8"/>
  <c r="AJ37" i="8"/>
  <c r="AL37" i="8"/>
  <c r="BB37" i="8"/>
  <c r="BO37" i="8"/>
  <c r="H37" i="8"/>
  <c r="U37" i="8"/>
  <c r="AI37" i="8"/>
  <c r="AV37" i="8"/>
  <c r="AX37" i="8"/>
  <c r="BN37" i="8"/>
  <c r="T37" i="8"/>
  <c r="AG37" i="8"/>
  <c r="AU37" i="8"/>
  <c r="BH37" i="8"/>
  <c r="AF37" i="8"/>
  <c r="AS37" i="8"/>
  <c r="BG37" i="8"/>
  <c r="BT37" i="8"/>
  <c r="AR37" i="8"/>
  <c r="BE37" i="8"/>
  <c r="BS37" i="8"/>
  <c r="BD37" i="8"/>
  <c r="BQ37" i="8"/>
  <c r="BP37" i="8"/>
  <c r="M37" i="8"/>
  <c r="Y37" i="8"/>
  <c r="BB66" i="11"/>
  <c r="Y66" i="11"/>
  <c r="AF66" i="11"/>
  <c r="AW31" i="7"/>
  <c r="AP31" i="7"/>
  <c r="AG52" i="9"/>
  <c r="BD23" i="9"/>
  <c r="BF23" i="9"/>
  <c r="AS23" i="9"/>
  <c r="AP23" i="9"/>
  <c r="AO23" i="9"/>
  <c r="AT23" i="9"/>
  <c r="AL23" i="9"/>
  <c r="BM23" i="9"/>
  <c r="I23" i="9"/>
  <c r="AG23" i="9"/>
  <c r="BJ23" i="9"/>
  <c r="AA23" i="9"/>
  <c r="P23" i="9"/>
  <c r="BI23" i="9"/>
  <c r="BB23" i="9"/>
  <c r="Z23" i="9"/>
  <c r="R23" i="9"/>
  <c r="AD23" i="9"/>
  <c r="BE23" i="9"/>
  <c r="M23" i="9"/>
  <c r="Q23" i="9"/>
  <c r="AC23" i="9"/>
  <c r="BH23" i="9"/>
  <c r="L23" i="9"/>
  <c r="AF23" i="9"/>
  <c r="X23" i="9"/>
  <c r="Y23" i="9"/>
  <c r="AR23" i="9"/>
  <c r="BK23" i="9"/>
  <c r="AM23" i="9"/>
  <c r="J23" i="9"/>
  <c r="AW23" i="9"/>
  <c r="BR23" i="9"/>
  <c r="O23" i="9"/>
  <c r="AB23" i="9"/>
  <c r="AV23" i="9"/>
  <c r="BT23" i="9"/>
  <c r="N23" i="9"/>
  <c r="BL23" i="9"/>
  <c r="BN23" i="9"/>
  <c r="V23" i="9"/>
  <c r="AZ23" i="9"/>
  <c r="AK23" i="9"/>
  <c r="AN23" i="9"/>
  <c r="BA23" i="9"/>
  <c r="BS23" i="9"/>
  <c r="BQ23" i="9"/>
  <c r="BG23" i="9"/>
  <c r="U23" i="9"/>
  <c r="AU23" i="9"/>
  <c r="AJ23" i="9"/>
  <c r="AI23" i="9"/>
  <c r="AY23" i="9"/>
  <c r="BO23" i="9"/>
  <c r="W23" i="9"/>
  <c r="BP23" i="9"/>
  <c r="BC23" i="9"/>
  <c r="K23" i="9"/>
  <c r="AQ23" i="9"/>
  <c r="T23" i="9"/>
  <c r="AE23" i="9"/>
  <c r="AH23" i="9"/>
  <c r="S23" i="9"/>
  <c r="AX23" i="9"/>
  <c r="H23" i="9"/>
  <c r="BJ42" i="8"/>
  <c r="AV42" i="8"/>
  <c r="R42" i="8"/>
  <c r="BI42" i="8"/>
  <c r="AT42" i="8"/>
  <c r="AH42" i="8"/>
  <c r="AS42" i="8"/>
  <c r="T42" i="8"/>
  <c r="BH42" i="8"/>
  <c r="S42" i="8"/>
  <c r="BM42" i="8"/>
  <c r="AR42" i="8"/>
  <c r="L42" i="8"/>
  <c r="AY42" i="8"/>
  <c r="U42" i="8"/>
  <c r="BA42" i="8"/>
  <c r="AD42" i="8"/>
  <c r="BQ42" i="8"/>
  <c r="AK42" i="8"/>
  <c r="AU42" i="8"/>
  <c r="AO42" i="8"/>
  <c r="N42" i="8"/>
  <c r="BC42" i="8"/>
  <c r="W42" i="8"/>
  <c r="AC42" i="8"/>
  <c r="BS42" i="8"/>
  <c r="AM42" i="8"/>
  <c r="I42" i="8"/>
  <c r="O42" i="8"/>
  <c r="Q42" i="8"/>
  <c r="BE42" i="8"/>
  <c r="Y42" i="8"/>
  <c r="BN42" i="8"/>
  <c r="BG42" i="8"/>
  <c r="AG42" i="8"/>
  <c r="BL42" i="8"/>
  <c r="AQ42" i="8"/>
  <c r="K42" i="8"/>
  <c r="AX42" i="8"/>
  <c r="AZ42" i="8"/>
  <c r="AA42" i="8"/>
  <c r="BP42" i="8"/>
  <c r="AJ42" i="8"/>
  <c r="AN42" i="8"/>
  <c r="M42" i="8"/>
  <c r="BB42" i="8"/>
  <c r="V42" i="8"/>
  <c r="AB42" i="8"/>
  <c r="BR42" i="8"/>
  <c r="AL42" i="8"/>
  <c r="H42" i="8"/>
  <c r="AE42" i="8"/>
  <c r="P42" i="8"/>
  <c r="BD42" i="8"/>
  <c r="X42" i="8"/>
  <c r="BK42" i="8"/>
  <c r="BT42" i="8"/>
  <c r="AP42" i="8"/>
  <c r="J42" i="8"/>
  <c r="AW42" i="8"/>
  <c r="BF42" i="8"/>
  <c r="Z42" i="8"/>
  <c r="BO42" i="8"/>
  <c r="AI42" i="8"/>
  <c r="AF42" i="8"/>
  <c r="AN35" i="12"/>
  <c r="U7" i="2"/>
  <c r="AR69" i="7"/>
  <c r="AP69" i="7"/>
  <c r="BL40" i="9"/>
  <c r="AU40" i="9"/>
  <c r="AF40" i="9"/>
  <c r="BQ40" i="9"/>
  <c r="AD40" i="9"/>
  <c r="AC40" i="9"/>
  <c r="AI40" i="9"/>
  <c r="BN40" i="9"/>
  <c r="AQ40" i="9"/>
  <c r="BG40" i="9"/>
  <c r="H40" i="9"/>
  <c r="Q40" i="9"/>
  <c r="AE40" i="9"/>
  <c r="AP40" i="9"/>
  <c r="BS40" i="9"/>
  <c r="AS40" i="9"/>
  <c r="S40" i="9"/>
  <c r="AA40" i="9"/>
  <c r="BB40" i="9"/>
  <c r="BJ40" i="9"/>
  <c r="K40" i="9"/>
  <c r="AM40" i="9"/>
  <c r="M40" i="9"/>
  <c r="BR40" i="9"/>
  <c r="AX40" i="9"/>
  <c r="BE40" i="9"/>
  <c r="W40" i="9"/>
  <c r="AV40" i="9"/>
  <c r="BF40" i="9"/>
  <c r="AL40" i="9"/>
  <c r="AO40" i="9"/>
  <c r="BP40" i="9"/>
  <c r="AT40" i="9"/>
  <c r="Z40" i="9"/>
  <c r="Y40" i="9"/>
  <c r="AZ40" i="9"/>
  <c r="AH40" i="9"/>
  <c r="N40" i="9"/>
  <c r="I40" i="9"/>
  <c r="AJ40" i="9"/>
  <c r="V40" i="9"/>
  <c r="BH40" i="9"/>
  <c r="BT40" i="9"/>
  <c r="T40" i="9"/>
  <c r="J40" i="9"/>
  <c r="AR40" i="9"/>
  <c r="BD40" i="9"/>
  <c r="BM40" i="9"/>
  <c r="BO40" i="9"/>
  <c r="AB40" i="9"/>
  <c r="AN40" i="9"/>
  <c r="AW40" i="9"/>
  <c r="BC40" i="9"/>
  <c r="L40" i="9"/>
  <c r="X40" i="9"/>
  <c r="AG40" i="9"/>
  <c r="O40" i="9"/>
  <c r="BK40" i="9"/>
  <c r="AY40" i="9"/>
  <c r="P40" i="9"/>
  <c r="R40" i="9"/>
  <c r="BA40" i="9"/>
  <c r="BI40" i="9"/>
  <c r="U40" i="9"/>
  <c r="T54" i="7"/>
  <c r="BI72" i="8"/>
  <c r="N66" i="7"/>
  <c r="AM66" i="7"/>
  <c r="AO27" i="10"/>
  <c r="W28" i="12"/>
  <c r="BO51" i="9"/>
  <c r="AZ51" i="9"/>
  <c r="AK51" i="9"/>
  <c r="BN51" i="9"/>
  <c r="BQ51" i="9"/>
  <c r="AF51" i="9"/>
  <c r="Z51" i="9"/>
  <c r="V51" i="9"/>
  <c r="R51" i="9"/>
  <c r="BM51" i="9"/>
  <c r="AU51" i="9"/>
  <c r="BK51" i="9"/>
  <c r="BE51" i="9"/>
  <c r="AM51" i="9"/>
  <c r="AI51" i="9"/>
  <c r="AS51" i="9"/>
  <c r="AP51" i="9"/>
  <c r="W51" i="9"/>
  <c r="AD51" i="9"/>
  <c r="AA51" i="9"/>
  <c r="K51" i="9"/>
  <c r="P51" i="9"/>
  <c r="M51" i="9"/>
  <c r="BT51" i="9"/>
  <c r="BR51" i="9"/>
  <c r="BJ51" i="9"/>
  <c r="BC51" i="9"/>
  <c r="S51" i="9"/>
  <c r="BH51" i="9"/>
  <c r="BF51" i="9"/>
  <c r="AR51" i="9"/>
  <c r="AN51" i="9"/>
  <c r="BB51" i="9"/>
  <c r="T51" i="9"/>
  <c r="AV51" i="9"/>
  <c r="AT51" i="9"/>
  <c r="AC51" i="9"/>
  <c r="Y51" i="9"/>
  <c r="AO51" i="9"/>
  <c r="H51" i="9"/>
  <c r="BD51" i="9"/>
  <c r="AJ51" i="9"/>
  <c r="AH51" i="9"/>
  <c r="O51" i="9"/>
  <c r="I51" i="9"/>
  <c r="AX51" i="9"/>
  <c r="X51" i="9"/>
  <c r="BL51" i="9"/>
  <c r="BI51" i="9"/>
  <c r="BP51" i="9"/>
  <c r="J51" i="9"/>
  <c r="L51" i="9"/>
  <c r="AW51" i="9"/>
  <c r="AQ51" i="9"/>
  <c r="BA51" i="9"/>
  <c r="AY51" i="9"/>
  <c r="AG51" i="9"/>
  <c r="BS51" i="9"/>
  <c r="AE51" i="9"/>
  <c r="AB51" i="9"/>
  <c r="AL51" i="9"/>
  <c r="BG51" i="9"/>
  <c r="Q51" i="9"/>
  <c r="N51" i="9"/>
  <c r="U51" i="9"/>
  <c r="AI63" i="8"/>
  <c r="AI45" i="7"/>
  <c r="AS48" i="11"/>
  <c r="AZ25" i="7"/>
  <c r="AP25" i="7"/>
  <c r="AI25" i="7"/>
  <c r="BC69" i="7"/>
  <c r="BR62" i="8"/>
  <c r="Y62" i="8"/>
  <c r="AR62" i="8"/>
  <c r="AY62" i="8"/>
  <c r="O62" i="8"/>
  <c r="BL62" i="8"/>
  <c r="U62" i="8"/>
  <c r="I62" i="8"/>
  <c r="BJ62" i="8"/>
  <c r="AW62" i="8"/>
  <c r="AU62" i="8"/>
  <c r="AZ62" i="8"/>
  <c r="AF62" i="8"/>
  <c r="T62" i="8"/>
  <c r="AN62" i="8"/>
  <c r="V62" i="8"/>
  <c r="AL62" i="8"/>
  <c r="BE62" i="8"/>
  <c r="BP62" i="8"/>
  <c r="AM62" i="8"/>
  <c r="BS62" i="8"/>
  <c r="AV62" i="8"/>
  <c r="AS62" i="8"/>
  <c r="BT62" i="8"/>
  <c r="AA62" i="8"/>
  <c r="AX62" i="8"/>
  <c r="Z62" i="8"/>
  <c r="L62" i="8"/>
  <c r="X62" i="8"/>
  <c r="BQ62" i="8"/>
  <c r="W62" i="8"/>
  <c r="BG62" i="8"/>
  <c r="BK62" i="8"/>
  <c r="AK62" i="8"/>
  <c r="AG62" i="8"/>
  <c r="K62" i="8"/>
  <c r="N62" i="8"/>
  <c r="BF62" i="8"/>
  <c r="BI62" i="8"/>
  <c r="AJ62" i="8"/>
  <c r="BO62" i="8"/>
  <c r="P62" i="8"/>
  <c r="AT62" i="8"/>
  <c r="J62" i="8"/>
  <c r="AB62" i="8"/>
  <c r="BD62" i="8"/>
  <c r="M62" i="8"/>
  <c r="AH62" i="8"/>
  <c r="AI62" i="8"/>
  <c r="BH62" i="8"/>
  <c r="H62" i="8"/>
  <c r="R62" i="8"/>
  <c r="AQ62" i="8"/>
  <c r="AD62" i="8"/>
  <c r="BC62" i="8"/>
  <c r="AP62" i="8"/>
  <c r="BB62" i="8"/>
  <c r="BN62" i="8"/>
  <c r="Q62" i="8"/>
  <c r="AC62" i="8"/>
  <c r="AO62" i="8"/>
  <c r="BA62" i="8"/>
  <c r="BM62" i="8"/>
  <c r="S62" i="8"/>
  <c r="AE62" i="8"/>
  <c r="Z19" i="5"/>
  <c r="AO21" i="11"/>
  <c r="AD21" i="11"/>
  <c r="Y21" i="11"/>
  <c r="AT25" i="12"/>
  <c r="AQ25" i="12"/>
  <c r="AH27" i="7"/>
  <c r="V40" i="7"/>
  <c r="Y40" i="7"/>
  <c r="L40" i="7"/>
  <c r="BE40" i="11"/>
  <c r="AW28" i="5"/>
  <c r="Q22" i="10"/>
  <c r="P22" i="10"/>
  <c r="BO34" i="8"/>
  <c r="AS44" i="7"/>
  <c r="AN44" i="7"/>
  <c r="AA44" i="7"/>
  <c r="AK21" i="10"/>
  <c r="Y21" i="10"/>
  <c r="P21" i="10"/>
  <c r="BL59" i="8"/>
  <c r="BC59" i="8"/>
  <c r="BM59" i="8"/>
  <c r="BK59" i="8"/>
  <c r="AZ59" i="8"/>
  <c r="O59" i="8"/>
  <c r="AA59" i="8"/>
  <c r="AK59" i="8"/>
  <c r="I59" i="8"/>
  <c r="S59" i="8"/>
  <c r="BD59" i="8"/>
  <c r="BN59" i="8"/>
  <c r="AO59" i="8"/>
  <c r="AY59" i="8"/>
  <c r="Z59" i="8"/>
  <c r="AG59" i="8"/>
  <c r="H59" i="8"/>
  <c r="R59" i="8"/>
  <c r="BP59" i="8"/>
  <c r="AX59" i="8"/>
  <c r="BA59" i="8"/>
  <c r="AF59" i="8"/>
  <c r="AL59" i="8"/>
  <c r="Q59" i="8"/>
  <c r="T59" i="8"/>
  <c r="BO59" i="8"/>
  <c r="Y59" i="8"/>
  <c r="X59" i="8"/>
  <c r="V59" i="8"/>
  <c r="N59" i="8"/>
  <c r="AD59" i="8"/>
  <c r="L59" i="8"/>
  <c r="J59" i="8"/>
  <c r="M59" i="8"/>
  <c r="AC59" i="8"/>
  <c r="BS59" i="8"/>
  <c r="U59" i="8"/>
  <c r="AB59" i="8"/>
  <c r="AR59" i="8"/>
  <c r="AN59" i="8"/>
  <c r="BG59" i="8"/>
  <c r="AM59" i="8"/>
  <c r="AQ59" i="8"/>
  <c r="BJ59" i="8"/>
  <c r="AU59" i="8"/>
  <c r="BB59" i="8"/>
  <c r="BI59" i="8"/>
  <c r="AI59" i="8"/>
  <c r="BQ59" i="8"/>
  <c r="AP59" i="8"/>
  <c r="W59" i="8"/>
  <c r="BE59" i="8"/>
  <c r="K59" i="8"/>
  <c r="AS59" i="8"/>
  <c r="AW59" i="8"/>
  <c r="BT59" i="8"/>
  <c r="BR59" i="8"/>
  <c r="BH59" i="8"/>
  <c r="BF59" i="8"/>
  <c r="P59" i="8"/>
  <c r="AE59" i="8"/>
  <c r="AV59" i="8"/>
  <c r="AT59" i="8"/>
  <c r="AJ59" i="8"/>
  <c r="AH59" i="8"/>
  <c r="R62" i="9"/>
  <c r="BP62" i="9"/>
  <c r="BE62" i="9"/>
  <c r="Q62" i="9"/>
  <c r="BD62" i="9"/>
  <c r="P62" i="9"/>
  <c r="BO62" i="9"/>
  <c r="I62" i="9"/>
  <c r="BR62" i="9"/>
  <c r="AE62" i="9"/>
  <c r="AD62" i="9"/>
  <c r="AC62" i="9"/>
  <c r="BM62" i="9"/>
  <c r="M62" i="9"/>
  <c r="AB62" i="9"/>
  <c r="AA62" i="9"/>
  <c r="Z62" i="9"/>
  <c r="U62" i="9"/>
  <c r="V62" i="9"/>
  <c r="N62" i="9"/>
  <c r="H62" i="9"/>
  <c r="AH62" i="9"/>
  <c r="BN62" i="9"/>
  <c r="BJ62" i="9"/>
  <c r="BI62" i="9"/>
  <c r="O62" i="9"/>
  <c r="BQ62" i="9"/>
  <c r="AW62" i="9"/>
  <c r="BT62" i="9"/>
  <c r="AJ62" i="9"/>
  <c r="AV62" i="9"/>
  <c r="BS62" i="9"/>
  <c r="AZ62" i="9"/>
  <c r="BG62" i="9"/>
  <c r="T62" i="9"/>
  <c r="L62" i="9"/>
  <c r="AQ62" i="9"/>
  <c r="AU62" i="9"/>
  <c r="AG62" i="9"/>
  <c r="Y62" i="9"/>
  <c r="AR62" i="9"/>
  <c r="AI62" i="9"/>
  <c r="AT62" i="9"/>
  <c r="AL62" i="9"/>
  <c r="BC62" i="9"/>
  <c r="W62" i="9"/>
  <c r="BH62" i="9"/>
  <c r="J62" i="9"/>
  <c r="AY62" i="9"/>
  <c r="AP62" i="9"/>
  <c r="K62" i="9"/>
  <c r="X62" i="9"/>
  <c r="BL62" i="9"/>
  <c r="BB62" i="9"/>
  <c r="S62" i="9"/>
  <c r="AK62" i="9"/>
  <c r="BA62" i="9"/>
  <c r="AO62" i="9"/>
  <c r="AF62" i="9"/>
  <c r="AX62" i="9"/>
  <c r="AM62" i="9"/>
  <c r="AS62" i="9"/>
  <c r="BK62" i="9"/>
  <c r="AN62" i="9"/>
  <c r="BF62" i="9"/>
  <c r="T18" i="10"/>
  <c r="V18" i="10"/>
  <c r="AR62" i="10"/>
  <c r="AP33" i="12"/>
  <c r="BJ55" i="9"/>
  <c r="N55" i="9"/>
  <c r="AS55" i="9"/>
  <c r="AW55" i="9"/>
  <c r="U55" i="9"/>
  <c r="AF55" i="9"/>
  <c r="BO55" i="9"/>
  <c r="AR55" i="9"/>
  <c r="AA55" i="9"/>
  <c r="BF55" i="9"/>
  <c r="L55" i="9"/>
  <c r="T55" i="9"/>
  <c r="BP55" i="9"/>
  <c r="Z55" i="9"/>
  <c r="AG55" i="9"/>
  <c r="AE55" i="9"/>
  <c r="BK55" i="9"/>
  <c r="AQ55" i="9"/>
  <c r="O55" i="9"/>
  <c r="AV55" i="9"/>
  <c r="AY55" i="9"/>
  <c r="K55" i="9"/>
  <c r="S55" i="9"/>
  <c r="BH55" i="9"/>
  <c r="Y55" i="9"/>
  <c r="M55" i="9"/>
  <c r="BN55" i="9"/>
  <c r="AT55" i="9"/>
  <c r="BQ55" i="9"/>
  <c r="BG55" i="9"/>
  <c r="AH55" i="9"/>
  <c r="AI55" i="9"/>
  <c r="AJ55" i="9"/>
  <c r="J55" i="9"/>
  <c r="AU55" i="9"/>
  <c r="AX55" i="9"/>
  <c r="BI55" i="9"/>
  <c r="AN55" i="9"/>
  <c r="H55" i="9"/>
  <c r="I55" i="9"/>
  <c r="AB55" i="9"/>
  <c r="W55" i="9"/>
  <c r="X55" i="9"/>
  <c r="P55" i="9"/>
  <c r="AL55" i="9"/>
  <c r="AM55" i="9"/>
  <c r="R55" i="9"/>
  <c r="V55" i="9"/>
  <c r="BD55" i="9"/>
  <c r="BE55" i="9"/>
  <c r="AD55" i="9"/>
  <c r="AK55" i="9"/>
  <c r="BS55" i="9"/>
  <c r="BT55" i="9"/>
  <c r="AP55" i="9"/>
  <c r="BM55" i="9"/>
  <c r="BC55" i="9"/>
  <c r="BB55" i="9"/>
  <c r="BA55" i="9"/>
  <c r="BR55" i="9"/>
  <c r="AO55" i="9"/>
  <c r="AC55" i="9"/>
  <c r="Q55" i="9"/>
  <c r="BL55" i="9"/>
  <c r="AZ55" i="9"/>
  <c r="AI37" i="12"/>
  <c r="AM37" i="12"/>
  <c r="Q20" i="10"/>
  <c r="AS54" i="7"/>
  <c r="AZ63" i="10"/>
  <c r="AX63" i="10"/>
  <c r="BC42" i="10"/>
  <c r="AB42" i="10"/>
  <c r="AH42" i="10"/>
  <c r="AJ54" i="7"/>
  <c r="V54" i="7"/>
  <c r="AC54" i="12"/>
  <c r="AZ54" i="12"/>
  <c r="AK19" i="11"/>
  <c r="AW69" i="7"/>
  <c r="AL53" i="7"/>
  <c r="V53" i="7"/>
  <c r="AR53" i="7"/>
  <c r="AI47" i="11"/>
  <c r="V47" i="11"/>
  <c r="AN21" i="7"/>
  <c r="L21" i="7"/>
  <c r="AS21" i="7"/>
  <c r="T21" i="7"/>
  <c r="AX24" i="10"/>
  <c r="AD24" i="10"/>
  <c r="Z24" i="10"/>
  <c r="AF24" i="11"/>
  <c r="AT24" i="11"/>
  <c r="AJ24" i="11"/>
  <c r="AE32" i="7"/>
  <c r="AK32" i="7"/>
  <c r="AR52" i="10"/>
  <c r="AX52" i="10"/>
  <c r="AM71" i="7"/>
  <c r="P72" i="11"/>
  <c r="BC62" i="11"/>
  <c r="BC68" i="11"/>
  <c r="BE68" i="11"/>
  <c r="BR67" i="9"/>
  <c r="BM67" i="9"/>
  <c r="N67" i="9"/>
  <c r="BL67" i="9"/>
  <c r="BG67" i="9"/>
  <c r="I67" i="9"/>
  <c r="BB67" i="9"/>
  <c r="BA67" i="9"/>
  <c r="L67" i="9"/>
  <c r="BJ67" i="9"/>
  <c r="K67" i="9"/>
  <c r="BF67" i="9"/>
  <c r="AY67" i="9"/>
  <c r="V67" i="9"/>
  <c r="BT67" i="9"/>
  <c r="BQ67" i="9"/>
  <c r="AX67" i="9"/>
  <c r="O67" i="9"/>
  <c r="BH67" i="9"/>
  <c r="P67" i="9"/>
  <c r="AP67" i="9"/>
  <c r="AN67" i="9"/>
  <c r="AK67" i="9"/>
  <c r="AJ67" i="9"/>
  <c r="AC67" i="9"/>
  <c r="Z67" i="9"/>
  <c r="W67" i="9"/>
  <c r="AM67" i="9"/>
  <c r="Y67" i="9"/>
  <c r="AS67" i="9"/>
  <c r="BI67" i="9"/>
  <c r="BO67" i="9"/>
  <c r="BN67" i="9"/>
  <c r="BC67" i="9"/>
  <c r="AQ67" i="9"/>
  <c r="AD67" i="9"/>
  <c r="AE67" i="9"/>
  <c r="S67" i="9"/>
  <c r="AT67" i="9"/>
  <c r="U67" i="9"/>
  <c r="BP67" i="9"/>
  <c r="AI67" i="9"/>
  <c r="R67" i="9"/>
  <c r="BD67" i="9"/>
  <c r="AW67" i="9"/>
  <c r="M67" i="9"/>
  <c r="AH67" i="9"/>
  <c r="AR67" i="9"/>
  <c r="BK67" i="9"/>
  <c r="J67" i="9"/>
  <c r="AA67" i="9"/>
  <c r="AB67" i="9"/>
  <c r="Q67" i="9"/>
  <c r="AV67" i="9"/>
  <c r="AF67" i="9"/>
  <c r="X67" i="9"/>
  <c r="AO67" i="9"/>
  <c r="AG67" i="9"/>
  <c r="T67" i="9"/>
  <c r="AL67" i="9"/>
  <c r="BE67" i="9"/>
  <c r="AU67" i="9"/>
  <c r="H67" i="9"/>
  <c r="AZ67" i="9"/>
  <c r="BS67" i="9"/>
  <c r="AG47" i="10"/>
  <c r="Y47" i="10"/>
  <c r="BB58" i="11"/>
  <c r="BF58" i="11"/>
  <c r="AY58" i="11"/>
  <c r="BT25" i="8"/>
  <c r="BO25" i="8"/>
  <c r="BS25" i="8"/>
  <c r="P25" i="8"/>
  <c r="AZ25" i="8"/>
  <c r="AE25" i="8"/>
  <c r="AN25" i="8"/>
  <c r="AK25" i="8"/>
  <c r="AJ25" i="8"/>
  <c r="AM25" i="8"/>
  <c r="AA25" i="8"/>
  <c r="O25" i="8"/>
  <c r="BJ25" i="8"/>
  <c r="AX25" i="8"/>
  <c r="BM25" i="8"/>
  <c r="AL25" i="8"/>
  <c r="BA25" i="8"/>
  <c r="Z25" i="8"/>
  <c r="AO25" i="8"/>
  <c r="N25" i="8"/>
  <c r="AC25" i="8"/>
  <c r="AQ25" i="8"/>
  <c r="Q25" i="8"/>
  <c r="BK25" i="8"/>
  <c r="AY25" i="8"/>
  <c r="X25" i="8"/>
  <c r="I25" i="8"/>
  <c r="BR25" i="8"/>
  <c r="S25" i="8"/>
  <c r="BH25" i="8"/>
  <c r="U25" i="8"/>
  <c r="M25" i="8"/>
  <c r="BC25" i="8"/>
  <c r="AG25" i="8"/>
  <c r="AW25" i="8"/>
  <c r="AB25" i="8"/>
  <c r="AS25" i="8"/>
  <c r="Y25" i="8"/>
  <c r="BL25" i="8"/>
  <c r="R25" i="8"/>
  <c r="BE25" i="8"/>
  <c r="BI25" i="8"/>
  <c r="AD25" i="8"/>
  <c r="H25" i="8"/>
  <c r="BQ25" i="8"/>
  <c r="AP25" i="8"/>
  <c r="T25" i="8"/>
  <c r="BB25" i="8"/>
  <c r="AF25" i="8"/>
  <c r="J25" i="8"/>
  <c r="K25" i="8"/>
  <c r="L25" i="8"/>
  <c r="BN25" i="8"/>
  <c r="AR25" i="8"/>
  <c r="V25" i="8"/>
  <c r="W25" i="8"/>
  <c r="AV25" i="8"/>
  <c r="BD25" i="8"/>
  <c r="AH25" i="8"/>
  <c r="AI25" i="8"/>
  <c r="BP25" i="8"/>
  <c r="AT25" i="8"/>
  <c r="AU25" i="8"/>
  <c r="BF25" i="8"/>
  <c r="BG25" i="8"/>
  <c r="AE19" i="7"/>
  <c r="AU19" i="7"/>
  <c r="AU57" i="10"/>
  <c r="AT29" i="10"/>
  <c r="AO29" i="10"/>
  <c r="S43" i="7"/>
  <c r="AF71" i="7"/>
  <c r="BD31" i="9"/>
  <c r="AQ31" i="9"/>
  <c r="BC31" i="9"/>
  <c r="AD31" i="9"/>
  <c r="AC31" i="9"/>
  <c r="AE31" i="9"/>
  <c r="AT31" i="9"/>
  <c r="AM31" i="9"/>
  <c r="BK31" i="9"/>
  <c r="AU31" i="9"/>
  <c r="AJ31" i="9"/>
  <c r="AH31" i="9"/>
  <c r="Y31" i="9"/>
  <c r="AW31" i="9"/>
  <c r="Z31" i="9"/>
  <c r="M31" i="9"/>
  <c r="BP31" i="9"/>
  <c r="AP31" i="9"/>
  <c r="V31" i="9"/>
  <c r="K31" i="9"/>
  <c r="AI31" i="9"/>
  <c r="BT31" i="9"/>
  <c r="BG31" i="9"/>
  <c r="J31" i="9"/>
  <c r="BN31" i="9"/>
  <c r="S31" i="9"/>
  <c r="AR31" i="9"/>
  <c r="BQ31" i="9"/>
  <c r="AZ31" i="9"/>
  <c r="BJ31" i="9"/>
  <c r="T31" i="9"/>
  <c r="BE31" i="9"/>
  <c r="AL31" i="9"/>
  <c r="AV31" i="9"/>
  <c r="BL31" i="9"/>
  <c r="P31" i="9"/>
  <c r="AS31" i="9"/>
  <c r="X31" i="9"/>
  <c r="AF31" i="9"/>
  <c r="AO31" i="9"/>
  <c r="AG31" i="9"/>
  <c r="H31" i="9"/>
  <c r="R31" i="9"/>
  <c r="O31" i="9"/>
  <c r="U31" i="9"/>
  <c r="BM31" i="9"/>
  <c r="BB31" i="9"/>
  <c r="BI31" i="9"/>
  <c r="I31" i="9"/>
  <c r="AY31" i="9"/>
  <c r="AB31" i="9"/>
  <c r="AN31" i="9"/>
  <c r="BR31" i="9"/>
  <c r="BO31" i="9"/>
  <c r="AK31" i="9"/>
  <c r="AX31" i="9"/>
  <c r="N31" i="9"/>
  <c r="L31" i="9"/>
  <c r="Q31" i="9"/>
  <c r="BF31" i="9"/>
  <c r="BA31" i="9"/>
  <c r="W31" i="9"/>
  <c r="AA31" i="9"/>
  <c r="BH31" i="9"/>
  <c r="BS31" i="9"/>
  <c r="BP47" i="8"/>
  <c r="S47" i="8"/>
  <c r="BO47" i="8"/>
  <c r="BA47" i="8"/>
  <c r="AZ47" i="8"/>
  <c r="BC47" i="8"/>
  <c r="AL47" i="8"/>
  <c r="AU47" i="8"/>
  <c r="AS47" i="8"/>
  <c r="AN47" i="8"/>
  <c r="AI47" i="8"/>
  <c r="AG47" i="8"/>
  <c r="W47" i="8"/>
  <c r="U47" i="8"/>
  <c r="K47" i="8"/>
  <c r="I47" i="8"/>
  <c r="BR47" i="8"/>
  <c r="X47" i="8"/>
  <c r="BF47" i="8"/>
  <c r="AM47" i="8"/>
  <c r="H47" i="8"/>
  <c r="AK47" i="8"/>
  <c r="AT47" i="8"/>
  <c r="BB47" i="8"/>
  <c r="Z47" i="8"/>
  <c r="AH47" i="8"/>
  <c r="BT47" i="8"/>
  <c r="AO47" i="8"/>
  <c r="V47" i="8"/>
  <c r="BD47" i="8"/>
  <c r="J47" i="8"/>
  <c r="T47" i="8"/>
  <c r="BS47" i="8"/>
  <c r="BQ47" i="8"/>
  <c r="BG47" i="8"/>
  <c r="BE47" i="8"/>
  <c r="Y47" i="8"/>
  <c r="AP47" i="8"/>
  <c r="M47" i="8"/>
  <c r="AY47" i="8"/>
  <c r="BH47" i="8"/>
  <c r="AB47" i="8"/>
  <c r="O47" i="8"/>
  <c r="BN47" i="8"/>
  <c r="AQ47" i="8"/>
  <c r="AD47" i="8"/>
  <c r="P47" i="8"/>
  <c r="BI47" i="8"/>
  <c r="AV47" i="8"/>
  <c r="AE47" i="8"/>
  <c r="BK47" i="8"/>
  <c r="AW47" i="8"/>
  <c r="BL47" i="8"/>
  <c r="Q47" i="8"/>
  <c r="AF47" i="8"/>
  <c r="N47" i="8"/>
  <c r="AX47" i="8"/>
  <c r="AC47" i="8"/>
  <c r="BM47" i="8"/>
  <c r="L47" i="8"/>
  <c r="AR47" i="8"/>
  <c r="R47" i="8"/>
  <c r="AA47" i="8"/>
  <c r="BJ47" i="8"/>
  <c r="AJ47" i="8"/>
  <c r="AG24" i="9"/>
  <c r="BN24" i="9"/>
  <c r="K24" i="9"/>
  <c r="AQ24" i="9"/>
  <c r="U24" i="9"/>
  <c r="BC24" i="9"/>
  <c r="J24" i="9"/>
  <c r="T24" i="9"/>
  <c r="AF24" i="9"/>
  <c r="BJ24" i="9"/>
  <c r="BP24" i="9"/>
  <c r="BR24" i="9"/>
  <c r="BG24" i="9"/>
  <c r="I24" i="9"/>
  <c r="BS24" i="9"/>
  <c r="BB24" i="9"/>
  <c r="AX24" i="9"/>
  <c r="AR24" i="9"/>
  <c r="P24" i="9"/>
  <c r="BH24" i="9"/>
  <c r="N24" i="9"/>
  <c r="BK24" i="9"/>
  <c r="AV24" i="9"/>
  <c r="AH24" i="9"/>
  <c r="AY24" i="9"/>
  <c r="AJ24" i="9"/>
  <c r="BD24" i="9"/>
  <c r="BM24" i="9"/>
  <c r="AM24" i="9"/>
  <c r="X24" i="9"/>
  <c r="AP24" i="9"/>
  <c r="BA24" i="9"/>
  <c r="AA24" i="9"/>
  <c r="L24" i="9"/>
  <c r="S24" i="9"/>
  <c r="AO24" i="9"/>
  <c r="O24" i="9"/>
  <c r="W24" i="9"/>
  <c r="R24" i="9"/>
  <c r="AL24" i="9"/>
  <c r="AC24" i="9"/>
  <c r="BI24" i="9"/>
  <c r="AS24" i="9"/>
  <c r="AI24" i="9"/>
  <c r="BF24" i="9"/>
  <c r="Q24" i="9"/>
  <c r="AW24" i="9"/>
  <c r="BO24" i="9"/>
  <c r="H24" i="9"/>
  <c r="BE24" i="9"/>
  <c r="BL24" i="9"/>
  <c r="AK24" i="9"/>
  <c r="AD24" i="9"/>
  <c r="AZ24" i="9"/>
  <c r="Y24" i="9"/>
  <c r="Z24" i="9"/>
  <c r="AU24" i="9"/>
  <c r="AN24" i="9"/>
  <c r="M24" i="9"/>
  <c r="AT24" i="9"/>
  <c r="BQ24" i="9"/>
  <c r="V24" i="9"/>
  <c r="AB24" i="9"/>
  <c r="BT24" i="9"/>
  <c r="AT66" i="11"/>
  <c r="AQ66" i="11"/>
  <c r="AH66" i="11"/>
  <c r="AZ31" i="7"/>
  <c r="BC31" i="7"/>
  <c r="BE31" i="7"/>
  <c r="AI47" i="9"/>
  <c r="W47" i="9"/>
  <c r="BI47" i="9"/>
  <c r="BJ47" i="9"/>
  <c r="P47" i="9"/>
  <c r="Q47" i="9"/>
  <c r="AW47" i="9"/>
  <c r="AL47" i="9"/>
  <c r="AS47" i="9"/>
  <c r="BK47" i="9"/>
  <c r="BO47" i="9"/>
  <c r="I47" i="9"/>
  <c r="AZ47" i="9"/>
  <c r="X47" i="9"/>
  <c r="AH47" i="9"/>
  <c r="BH47" i="9"/>
  <c r="BG47" i="9"/>
  <c r="AY47" i="9"/>
  <c r="BM47" i="9"/>
  <c r="AC47" i="9"/>
  <c r="AG47" i="9"/>
  <c r="BF47" i="9"/>
  <c r="Z47" i="9"/>
  <c r="AF47" i="9"/>
  <c r="AR47" i="9"/>
  <c r="L47" i="9"/>
  <c r="AV47" i="9"/>
  <c r="AB47" i="9"/>
  <c r="BQ47" i="9"/>
  <c r="T47" i="9"/>
  <c r="J47" i="9"/>
  <c r="N47" i="9"/>
  <c r="BA47" i="9"/>
  <c r="AT47" i="9"/>
  <c r="BS47" i="9"/>
  <c r="AM47" i="9"/>
  <c r="BP47" i="9"/>
  <c r="U47" i="9"/>
  <c r="BE47" i="9"/>
  <c r="Y47" i="9"/>
  <c r="AK47" i="9"/>
  <c r="AU47" i="9"/>
  <c r="AO47" i="9"/>
  <c r="K47" i="9"/>
  <c r="AA47" i="9"/>
  <c r="BL47" i="9"/>
  <c r="M47" i="9"/>
  <c r="AX47" i="9"/>
  <c r="O47" i="9"/>
  <c r="BR47" i="9"/>
  <c r="AJ47" i="9"/>
  <c r="BD47" i="9"/>
  <c r="V47" i="9"/>
  <c r="AN47" i="9"/>
  <c r="H47" i="9"/>
  <c r="BT47" i="9"/>
  <c r="AQ47" i="9"/>
  <c r="R47" i="9"/>
  <c r="BC47" i="9"/>
  <c r="AD47" i="9"/>
  <c r="AP47" i="9"/>
  <c r="BB47" i="9"/>
  <c r="BN47" i="9"/>
  <c r="S47" i="9"/>
  <c r="AE47" i="9"/>
  <c r="L28" i="7"/>
  <c r="AJ28" i="7"/>
  <c r="AL28" i="7"/>
  <c r="BK36" i="8"/>
  <c r="BN36" i="8"/>
  <c r="AD36" i="8"/>
  <c r="BM36" i="8"/>
  <c r="R36" i="8"/>
  <c r="O36" i="8"/>
  <c r="Q36" i="8"/>
  <c r="BL36" i="8"/>
  <c r="AG36" i="8"/>
  <c r="AE36" i="8"/>
  <c r="P36" i="8"/>
  <c r="AF36" i="8"/>
  <c r="AY36" i="8"/>
  <c r="BE36" i="8"/>
  <c r="AU36" i="8"/>
  <c r="AT36" i="8"/>
  <c r="AS36" i="8"/>
  <c r="S36" i="8"/>
  <c r="AH36" i="8"/>
  <c r="AZ36" i="8"/>
  <c r="BO36" i="8"/>
  <c r="BI36" i="8"/>
  <c r="AM36" i="8"/>
  <c r="BC36" i="8"/>
  <c r="BS36" i="8"/>
  <c r="AP36" i="8"/>
  <c r="AW36" i="8"/>
  <c r="BB36" i="8"/>
  <c r="BR36" i="8"/>
  <c r="AK36" i="8"/>
  <c r="BQ36" i="8"/>
  <c r="J36" i="8"/>
  <c r="Y36" i="8"/>
  <c r="AB36" i="8"/>
  <c r="M36" i="8"/>
  <c r="AQ36" i="8"/>
  <c r="BT36" i="8"/>
  <c r="BF36" i="8"/>
  <c r="T36" i="8"/>
  <c r="BH36" i="8"/>
  <c r="K36" i="8"/>
  <c r="AI36" i="8"/>
  <c r="BJ36" i="8"/>
  <c r="AV36" i="8"/>
  <c r="AC36" i="8"/>
  <c r="BA36" i="8"/>
  <c r="AX36" i="8"/>
  <c r="AJ36" i="8"/>
  <c r="H36" i="8"/>
  <c r="AR36" i="8"/>
  <c r="BP36" i="8"/>
  <c r="AL36" i="8"/>
  <c r="X36" i="8"/>
  <c r="W36" i="8"/>
  <c r="BG36" i="8"/>
  <c r="Z36" i="8"/>
  <c r="L36" i="8"/>
  <c r="V36" i="8"/>
  <c r="AO36" i="8"/>
  <c r="I36" i="8"/>
  <c r="N36" i="8"/>
  <c r="U36" i="8"/>
  <c r="AN36" i="8"/>
  <c r="BD36" i="8"/>
  <c r="AA36" i="8"/>
  <c r="AX35" i="12"/>
  <c r="AZ35" i="12"/>
  <c r="F10" i="2"/>
  <c r="I7" i="2"/>
  <c r="BB69" i="7"/>
  <c r="AB66" i="7"/>
  <c r="R66" i="7"/>
  <c r="BN38" i="8"/>
  <c r="BP38" i="8"/>
  <c r="AA38" i="8"/>
  <c r="BT38" i="8"/>
  <c r="BR38" i="8"/>
  <c r="BO38" i="8"/>
  <c r="BM38" i="8"/>
  <c r="AP38" i="8"/>
  <c r="O38" i="8"/>
  <c r="BH38" i="8"/>
  <c r="BF38" i="8"/>
  <c r="BD38" i="8"/>
  <c r="P38" i="8"/>
  <c r="BB38" i="8"/>
  <c r="BJ38" i="8"/>
  <c r="AV38" i="8"/>
  <c r="AT38" i="8"/>
  <c r="BC38" i="8"/>
  <c r="AB38" i="8"/>
  <c r="AX38" i="8"/>
  <c r="AJ38" i="8"/>
  <c r="AH38" i="8"/>
  <c r="AR38" i="8"/>
  <c r="AN38" i="8"/>
  <c r="AL38" i="8"/>
  <c r="X38" i="8"/>
  <c r="V38" i="8"/>
  <c r="AQ38" i="8"/>
  <c r="AZ38" i="8"/>
  <c r="Z38" i="8"/>
  <c r="L38" i="8"/>
  <c r="J38" i="8"/>
  <c r="AF38" i="8"/>
  <c r="BL38" i="8"/>
  <c r="N38" i="8"/>
  <c r="BS38" i="8"/>
  <c r="BQ38" i="8"/>
  <c r="AE38" i="8"/>
  <c r="BI38" i="8"/>
  <c r="BG38" i="8"/>
  <c r="BE38" i="8"/>
  <c r="T38" i="8"/>
  <c r="AW38" i="8"/>
  <c r="AU38" i="8"/>
  <c r="AS38" i="8"/>
  <c r="S38" i="8"/>
  <c r="Q38" i="8"/>
  <c r="BK38" i="8"/>
  <c r="AK38" i="8"/>
  <c r="AI38" i="8"/>
  <c r="AG38" i="8"/>
  <c r="H38" i="8"/>
  <c r="AC38" i="8"/>
  <c r="AY38" i="8"/>
  <c r="Y38" i="8"/>
  <c r="W38" i="8"/>
  <c r="U38" i="8"/>
  <c r="AO38" i="8"/>
  <c r="R38" i="8"/>
  <c r="AM38" i="8"/>
  <c r="M38" i="8"/>
  <c r="K38" i="8"/>
  <c r="I38" i="8"/>
  <c r="BA38" i="8"/>
  <c r="AD38" i="8"/>
  <c r="AE27" i="10"/>
  <c r="AP27" i="10"/>
  <c r="AL27" i="10"/>
  <c r="Z28" i="12"/>
  <c r="AO28" i="12"/>
  <c r="AG54" i="7"/>
  <c r="AL69" i="7"/>
  <c r="AE70" i="9"/>
  <c r="AC45" i="7"/>
  <c r="AM48" i="11"/>
  <c r="AY25" i="7"/>
  <c r="Y25" i="7"/>
  <c r="AV25" i="7"/>
  <c r="AB25" i="7"/>
  <c r="AA45" i="7"/>
  <c r="BT69" i="9"/>
  <c r="AU69" i="9"/>
  <c r="AF69" i="9"/>
  <c r="AB69" i="9"/>
  <c r="AA69" i="9"/>
  <c r="Y69" i="9"/>
  <c r="AV69" i="9"/>
  <c r="AE69" i="9"/>
  <c r="AM69" i="9"/>
  <c r="K69" i="9"/>
  <c r="N69" i="9"/>
  <c r="AZ69" i="9"/>
  <c r="BI69" i="9"/>
  <c r="H69" i="9"/>
  <c r="AL69" i="9"/>
  <c r="AR69" i="9"/>
  <c r="BK69" i="9"/>
  <c r="M69" i="9"/>
  <c r="BP69" i="9"/>
  <c r="BC69" i="9"/>
  <c r="AP69" i="9"/>
  <c r="AD69" i="9"/>
  <c r="Q69" i="9"/>
  <c r="BH69" i="9"/>
  <c r="BO69" i="9"/>
  <c r="X69" i="9"/>
  <c r="AO69" i="9"/>
  <c r="BD69" i="9"/>
  <c r="P69" i="9"/>
  <c r="R69" i="9"/>
  <c r="BJ69" i="9"/>
  <c r="BA69" i="9"/>
  <c r="I69" i="9"/>
  <c r="BR69" i="9"/>
  <c r="BM69" i="9"/>
  <c r="W69" i="9"/>
  <c r="BF69" i="9"/>
  <c r="T69" i="9"/>
  <c r="AK69" i="9"/>
  <c r="AT69" i="9"/>
  <c r="AJ69" i="9"/>
  <c r="AY69" i="9"/>
  <c r="AH69" i="9"/>
  <c r="AX69" i="9"/>
  <c r="BN69" i="9"/>
  <c r="S69" i="9"/>
  <c r="V69" i="9"/>
  <c r="BL69" i="9"/>
  <c r="O69" i="9"/>
  <c r="AI69" i="9"/>
  <c r="J69" i="9"/>
  <c r="L69" i="9"/>
  <c r="AC69" i="9"/>
  <c r="AW69" i="9"/>
  <c r="BQ69" i="9"/>
  <c r="Z69" i="9"/>
  <c r="AQ69" i="9"/>
  <c r="BE69" i="9"/>
  <c r="AN69" i="9"/>
  <c r="BG69" i="9"/>
  <c r="AS69" i="9"/>
  <c r="BB69" i="9"/>
  <c r="AG69" i="9"/>
  <c r="BS69" i="9"/>
  <c r="U69" i="9"/>
  <c r="BB21" i="11"/>
  <c r="AV21" i="11"/>
  <c r="AD25" i="12"/>
  <c r="AU25" i="12"/>
  <c r="AE27" i="7"/>
  <c r="R27" i="7"/>
  <c r="AA27" i="7"/>
  <c r="AS55" i="10"/>
  <c r="Z40" i="7"/>
  <c r="O40" i="7"/>
  <c r="K40" i="7"/>
  <c r="AX40" i="11"/>
  <c r="AB61" i="7"/>
  <c r="AE75" i="8"/>
  <c r="Q75" i="8"/>
  <c r="K75" i="8"/>
  <c r="BL75" i="8"/>
  <c r="P75" i="8"/>
  <c r="AF75" i="8"/>
  <c r="BS75" i="8"/>
  <c r="AG75" i="8"/>
  <c r="BC75" i="8"/>
  <c r="BA75" i="8"/>
  <c r="BB75" i="8"/>
  <c r="AI75" i="8"/>
  <c r="AN75" i="8"/>
  <c r="BK75" i="8"/>
  <c r="AK75" i="8"/>
  <c r="AH75" i="8"/>
  <c r="AS75" i="8"/>
  <c r="BD75" i="8"/>
  <c r="BE75" i="8"/>
  <c r="AY75" i="8"/>
  <c r="Y75" i="8"/>
  <c r="V75" i="8"/>
  <c r="BO75" i="8"/>
  <c r="T75" i="8"/>
  <c r="AM75" i="8"/>
  <c r="M75" i="8"/>
  <c r="AQ75" i="8"/>
  <c r="AO75" i="8"/>
  <c r="AA75" i="8"/>
  <c r="BT75" i="8"/>
  <c r="BM75" i="8"/>
  <c r="BG75" i="8"/>
  <c r="O75" i="8"/>
  <c r="BH75" i="8"/>
  <c r="BJ75" i="8"/>
  <c r="AV75" i="8"/>
  <c r="AX75" i="8"/>
  <c r="AJ75" i="8"/>
  <c r="AL75" i="8"/>
  <c r="X75" i="8"/>
  <c r="W75" i="8"/>
  <c r="I75" i="8"/>
  <c r="J75" i="8"/>
  <c r="Z75" i="8"/>
  <c r="L75" i="8"/>
  <c r="AR75" i="8"/>
  <c r="AC75" i="8"/>
  <c r="AD75" i="8"/>
  <c r="N75" i="8"/>
  <c r="BR75" i="8"/>
  <c r="BN75" i="8"/>
  <c r="AU75" i="8"/>
  <c r="AZ75" i="8"/>
  <c r="U75" i="8"/>
  <c r="BI75" i="8"/>
  <c r="BF75" i="8"/>
  <c r="H75" i="8"/>
  <c r="BP75" i="8"/>
  <c r="BQ75" i="8"/>
  <c r="R75" i="8"/>
  <c r="S75" i="8"/>
  <c r="AP75" i="8"/>
  <c r="AW75" i="8"/>
  <c r="AT75" i="8"/>
  <c r="AB75" i="8"/>
  <c r="U22" i="10"/>
  <c r="Y22" i="10"/>
  <c r="AE22" i="10"/>
  <c r="T44" i="7"/>
  <c r="X21" i="10"/>
  <c r="H39" i="9"/>
  <c r="BT39" i="9"/>
  <c r="BC39" i="9"/>
  <c r="AU39" i="9"/>
  <c r="AE39" i="9"/>
  <c r="AM39" i="9"/>
  <c r="AN39" i="9"/>
  <c r="L39" i="9"/>
  <c r="AR39" i="9"/>
  <c r="J39" i="9"/>
  <c r="S39" i="9"/>
  <c r="N39" i="9"/>
  <c r="BR39" i="9"/>
  <c r="BM39" i="9"/>
  <c r="BG39" i="9"/>
  <c r="O39" i="9"/>
  <c r="BA39" i="9"/>
  <c r="AX39" i="9"/>
  <c r="AQ39" i="9"/>
  <c r="BD39" i="9"/>
  <c r="AL39" i="9"/>
  <c r="AH39" i="9"/>
  <c r="AA39" i="9"/>
  <c r="V39" i="9"/>
  <c r="Q39" i="9"/>
  <c r="K39" i="9"/>
  <c r="BP39" i="9"/>
  <c r="BL39" i="9"/>
  <c r="AO39" i="9"/>
  <c r="AZ39" i="9"/>
  <c r="AV39" i="9"/>
  <c r="AJ39" i="9"/>
  <c r="AF39" i="9"/>
  <c r="T39" i="9"/>
  <c r="P39" i="9"/>
  <c r="BO39" i="9"/>
  <c r="BJ39" i="9"/>
  <c r="AY39" i="9"/>
  <c r="AT39" i="9"/>
  <c r="AI39" i="9"/>
  <c r="AC39" i="9"/>
  <c r="BH39" i="9"/>
  <c r="BK39" i="9"/>
  <c r="Y39" i="9"/>
  <c r="BB39" i="9"/>
  <c r="AS39" i="9"/>
  <c r="AK39" i="9"/>
  <c r="BN39" i="9"/>
  <c r="BE39" i="9"/>
  <c r="AW39" i="9"/>
  <c r="BI39" i="9"/>
  <c r="BQ39" i="9"/>
  <c r="AB39" i="9"/>
  <c r="R39" i="9"/>
  <c r="I39" i="9"/>
  <c r="W39" i="9"/>
  <c r="BS39" i="9"/>
  <c r="AD39" i="9"/>
  <c r="U39" i="9"/>
  <c r="BF39" i="9"/>
  <c r="X39" i="9"/>
  <c r="Z39" i="9"/>
  <c r="M39" i="9"/>
  <c r="AP39" i="9"/>
  <c r="AG39" i="9"/>
  <c r="AA18" i="10"/>
  <c r="Y18" i="10"/>
  <c r="AJ18" i="10"/>
  <c r="AH18" i="10"/>
  <c r="Q18" i="10"/>
  <c r="AL62" i="10"/>
  <c r="AK62" i="10"/>
  <c r="R30" i="12"/>
  <c r="AI30" i="12"/>
  <c r="AS30" i="12"/>
  <c r="AN33" i="12"/>
  <c r="AQ33" i="12"/>
  <c r="AC37" i="12"/>
  <c r="AD37" i="12"/>
  <c r="AE37" i="12"/>
  <c r="AH20" i="10"/>
  <c r="U20" i="10"/>
  <c r="P20" i="10"/>
  <c r="AW63" i="10"/>
  <c r="AL63" i="10"/>
  <c r="AK42" i="10"/>
  <c r="AT42" i="10"/>
  <c r="AD54" i="7"/>
  <c r="AG54" i="12"/>
  <c r="AB54" i="12"/>
  <c r="AF51" i="10"/>
  <c r="U19" i="5"/>
  <c r="AH19" i="11"/>
  <c r="AL19" i="11"/>
  <c r="AM19" i="11"/>
  <c r="M18" i="8"/>
  <c r="BH18" i="8"/>
  <c r="AX18" i="8"/>
  <c r="L18" i="8"/>
  <c r="AW18" i="8"/>
  <c r="AY18" i="8"/>
  <c r="AV18" i="8"/>
  <c r="N18" i="8"/>
  <c r="BT18" i="8"/>
  <c r="BK18" i="8"/>
  <c r="BI18" i="8"/>
  <c r="BJ18" i="8"/>
  <c r="O18" i="8"/>
  <c r="AM18" i="8"/>
  <c r="AL18" i="8"/>
  <c r="AK18" i="8"/>
  <c r="AJ18" i="8"/>
  <c r="AA18" i="8"/>
  <c r="Z18" i="8"/>
  <c r="Y18" i="8"/>
  <c r="X18" i="8"/>
  <c r="P18" i="8"/>
  <c r="AB18" i="8"/>
  <c r="AN18" i="8"/>
  <c r="AZ18" i="8"/>
  <c r="Q18" i="8"/>
  <c r="BM18" i="8"/>
  <c r="AC18" i="8"/>
  <c r="AO18" i="8"/>
  <c r="BA18" i="8"/>
  <c r="BN18" i="8"/>
  <c r="BL18" i="8"/>
  <c r="T18" i="8"/>
  <c r="I18" i="8"/>
  <c r="W18" i="8"/>
  <c r="R18" i="8"/>
  <c r="AF18" i="8"/>
  <c r="U18" i="8"/>
  <c r="AI18" i="8"/>
  <c r="AD18" i="8"/>
  <c r="AR18" i="8"/>
  <c r="AG18" i="8"/>
  <c r="AU18" i="8"/>
  <c r="AP18" i="8"/>
  <c r="BD18" i="8"/>
  <c r="AS18" i="8"/>
  <c r="BG18" i="8"/>
  <c r="BB18" i="8"/>
  <c r="BQ18" i="8"/>
  <c r="BE18" i="8"/>
  <c r="BO18" i="8"/>
  <c r="BR18" i="8"/>
  <c r="J18" i="8"/>
  <c r="S18" i="8"/>
  <c r="V18" i="8"/>
  <c r="AE18" i="8"/>
  <c r="AH18" i="8"/>
  <c r="AQ18" i="8"/>
  <c r="AT18" i="8"/>
  <c r="BC18" i="8"/>
  <c r="BF18" i="8"/>
  <c r="BP18" i="8"/>
  <c r="BS18" i="8"/>
  <c r="H18" i="8"/>
  <c r="K18" i="8"/>
  <c r="AJ45" i="7"/>
  <c r="BD63" i="11"/>
  <c r="BC63" i="11"/>
  <c r="AX69" i="7"/>
  <c r="W53" i="7"/>
  <c r="AU53" i="7"/>
  <c r="AK47" i="11"/>
  <c r="U21" i="7"/>
  <c r="M21" i="7"/>
  <c r="P21" i="7"/>
  <c r="AH21" i="7"/>
  <c r="AA24" i="10"/>
  <c r="AB24" i="10"/>
  <c r="Z24" i="11"/>
  <c r="AG24" i="11"/>
  <c r="AA24" i="11"/>
  <c r="AB32" i="7"/>
  <c r="Y32" i="7"/>
  <c r="Z32" i="7"/>
  <c r="AM32" i="7"/>
  <c r="AJ52" i="10"/>
  <c r="R72" i="11"/>
  <c r="BA62" i="11"/>
  <c r="BG68" i="11"/>
  <c r="BB68" i="11"/>
  <c r="AP68" i="11"/>
  <c r="U50" i="5"/>
  <c r="AP50" i="5"/>
  <c r="R50" i="5"/>
  <c r="Y50" i="5"/>
  <c r="AM47" i="10"/>
  <c r="AO58" i="11"/>
  <c r="BS20" i="9"/>
  <c r="BF20" i="9"/>
  <c r="L20" i="9"/>
  <c r="BQ20" i="9"/>
  <c r="BA20" i="9"/>
  <c r="Q20" i="9"/>
  <c r="AY20" i="9"/>
  <c r="N20" i="9"/>
  <c r="M20" i="9"/>
  <c r="S20" i="9"/>
  <c r="AD20" i="9"/>
  <c r="BB20" i="9"/>
  <c r="BD20" i="9"/>
  <c r="BN20" i="9"/>
  <c r="BM20" i="9"/>
  <c r="AM20" i="9"/>
  <c r="AQ20" i="9"/>
  <c r="AO20" i="9"/>
  <c r="Y20" i="9"/>
  <c r="Z20" i="9"/>
  <c r="AS20" i="9"/>
  <c r="AW20" i="9"/>
  <c r="U20" i="9"/>
  <c r="BP20" i="9"/>
  <c r="BL20" i="9"/>
  <c r="AJ20" i="9"/>
  <c r="H20" i="9"/>
  <c r="BC20" i="9"/>
  <c r="AZ20" i="9"/>
  <c r="W20" i="9"/>
  <c r="BT20" i="9"/>
  <c r="AP20" i="9"/>
  <c r="AN20" i="9"/>
  <c r="J20" i="9"/>
  <c r="BG20" i="9"/>
  <c r="AC20" i="9"/>
  <c r="AB20" i="9"/>
  <c r="BI20" i="9"/>
  <c r="AT20" i="9"/>
  <c r="O20" i="9"/>
  <c r="P20" i="9"/>
  <c r="AV20" i="9"/>
  <c r="AG20" i="9"/>
  <c r="AL20" i="9"/>
  <c r="BK20" i="9"/>
  <c r="AI20" i="9"/>
  <c r="T20" i="9"/>
  <c r="BO20" i="9"/>
  <c r="AA20" i="9"/>
  <c r="AX20" i="9"/>
  <c r="V20" i="9"/>
  <c r="BR20" i="9"/>
  <c r="AF20" i="9"/>
  <c r="AK20" i="9"/>
  <c r="I20" i="9"/>
  <c r="BE20" i="9"/>
  <c r="X20" i="9"/>
  <c r="BH20" i="9"/>
  <c r="AR20" i="9"/>
  <c r="K20" i="9"/>
  <c r="AU20" i="9"/>
  <c r="AE20" i="9"/>
  <c r="BJ20" i="9"/>
  <c r="AH20" i="9"/>
  <c r="R20" i="9"/>
  <c r="AQ19" i="7"/>
  <c r="AR19" i="7"/>
  <c r="Y19" i="7"/>
  <c r="AA19" i="7"/>
  <c r="AV57" i="10"/>
  <c r="AL57" i="10"/>
  <c r="AQ57" i="10"/>
  <c r="AQ29" i="10"/>
  <c r="AR29" i="10"/>
  <c r="R43" i="7"/>
  <c r="AE43" i="7"/>
  <c r="AP53" i="7"/>
  <c r="AU39" i="12"/>
  <c r="F50" i="2"/>
  <c r="BD17" i="8"/>
  <c r="BF44" i="8"/>
  <c r="AV44" i="8"/>
  <c r="AT44" i="8"/>
  <c r="AS44" i="8"/>
  <c r="AK44" i="8"/>
  <c r="AH44" i="8"/>
  <c r="AG44" i="8"/>
  <c r="AD44" i="8"/>
  <c r="BM44" i="8"/>
  <c r="AC44" i="8"/>
  <c r="BJ44" i="8"/>
  <c r="R44" i="8"/>
  <c r="BI44" i="8"/>
  <c r="BH44" i="8"/>
  <c r="BG44" i="8"/>
  <c r="P44" i="8"/>
  <c r="O44" i="8"/>
  <c r="I44" i="8"/>
  <c r="W44" i="8"/>
  <c r="AY44" i="8"/>
  <c r="AB44" i="8"/>
  <c r="N44" i="8"/>
  <c r="Q44" i="8"/>
  <c r="AP44" i="8"/>
  <c r="AU44" i="8"/>
  <c r="BT44" i="8"/>
  <c r="AQ44" i="8"/>
  <c r="AE44" i="8"/>
  <c r="S44" i="8"/>
  <c r="U44" i="8"/>
  <c r="BP44" i="8"/>
  <c r="AI44" i="8"/>
  <c r="BD44" i="8"/>
  <c r="AW44" i="8"/>
  <c r="AR44" i="8"/>
  <c r="BK44" i="8"/>
  <c r="AF44" i="8"/>
  <c r="T44" i="8"/>
  <c r="H44" i="8"/>
  <c r="BO44" i="8"/>
  <c r="BC44" i="8"/>
  <c r="AJ44" i="8"/>
  <c r="AL44" i="8"/>
  <c r="Y44" i="8"/>
  <c r="BS44" i="8"/>
  <c r="AX44" i="8"/>
  <c r="AZ44" i="8"/>
  <c r="AM44" i="8"/>
  <c r="BL44" i="8"/>
  <c r="BN44" i="8"/>
  <c r="BA44" i="8"/>
  <c r="BQ44" i="8"/>
  <c r="L44" i="8"/>
  <c r="Z44" i="8"/>
  <c r="AN44" i="8"/>
  <c r="BB44" i="8"/>
  <c r="BR44" i="8"/>
  <c r="M44" i="8"/>
  <c r="AA44" i="8"/>
  <c r="J44" i="8"/>
  <c r="AO44" i="8"/>
  <c r="V44" i="8"/>
  <c r="X44" i="8"/>
  <c r="K44" i="8"/>
  <c r="BE44" i="8"/>
  <c r="BN52" i="9"/>
  <c r="BP52" i="9"/>
  <c r="BL52" i="9"/>
  <c r="I52" i="9"/>
  <c r="AB52" i="9"/>
  <c r="AQ52" i="9"/>
  <c r="P52" i="9"/>
  <c r="R52" i="9"/>
  <c r="AT52" i="9"/>
  <c r="BA52" i="9"/>
  <c r="AR52" i="9"/>
  <c r="N52" i="9"/>
  <c r="AP52" i="9"/>
  <c r="AX52" i="9"/>
  <c r="AC52" i="9"/>
  <c r="Q52" i="9"/>
  <c r="AF52" i="9"/>
  <c r="T52" i="9"/>
  <c r="BJ52" i="9"/>
  <c r="BE52" i="9"/>
  <c r="AA52" i="9"/>
  <c r="AE52" i="9"/>
  <c r="AY52" i="9"/>
  <c r="BF52" i="9"/>
  <c r="J52" i="9"/>
  <c r="AL52" i="9"/>
  <c r="BM52" i="9"/>
  <c r="O52" i="9"/>
  <c r="AD52" i="9"/>
  <c r="S52" i="9"/>
  <c r="AS52" i="9"/>
  <c r="AH52" i="9"/>
  <c r="BK52" i="9"/>
  <c r="AZ52" i="9"/>
  <c r="BO52" i="9"/>
  <c r="BS52" i="9"/>
  <c r="BI52" i="9"/>
  <c r="BG52" i="9"/>
  <c r="AW52" i="9"/>
  <c r="AU52" i="9"/>
  <c r="AK52" i="9"/>
  <c r="AI52" i="9"/>
  <c r="Y52" i="9"/>
  <c r="W52" i="9"/>
  <c r="M52" i="9"/>
  <c r="K52" i="9"/>
  <c r="V52" i="9"/>
  <c r="BT52" i="9"/>
  <c r="U52" i="9"/>
  <c r="AN52" i="9"/>
  <c r="BH52" i="9"/>
  <c r="AM52" i="9"/>
  <c r="BC52" i="9"/>
  <c r="AV52" i="9"/>
  <c r="BB52" i="9"/>
  <c r="BR52" i="9"/>
  <c r="H52" i="9"/>
  <c r="AJ52" i="9"/>
  <c r="BQ52" i="9"/>
  <c r="Z52" i="9"/>
  <c r="X52" i="9"/>
  <c r="AO52" i="9"/>
  <c r="L52" i="9"/>
  <c r="BD52" i="9"/>
  <c r="AB66" i="11"/>
  <c r="AC66" i="11"/>
  <c r="AJ66" i="11"/>
  <c r="AN43" i="9"/>
  <c r="BK43" i="9"/>
  <c r="BL43" i="9"/>
  <c r="L43" i="9"/>
  <c r="N43" i="9"/>
  <c r="O43" i="9"/>
  <c r="M43" i="9"/>
  <c r="BR43" i="9"/>
  <c r="W43" i="9"/>
  <c r="AR43" i="9"/>
  <c r="BJ43" i="9"/>
  <c r="BN43" i="9"/>
  <c r="BQ43" i="9"/>
  <c r="BO43" i="9"/>
  <c r="BI43" i="9"/>
  <c r="K43" i="9"/>
  <c r="BE43" i="9"/>
  <c r="J43" i="9"/>
  <c r="AX43" i="9"/>
  <c r="I43" i="9"/>
  <c r="AV43" i="9"/>
  <c r="R43" i="9"/>
  <c r="BP43" i="9"/>
  <c r="V43" i="9"/>
  <c r="AB43" i="9"/>
  <c r="Y43" i="9"/>
  <c r="AP43" i="9"/>
  <c r="Z43" i="9"/>
  <c r="X43" i="9"/>
  <c r="AA43" i="9"/>
  <c r="AZ43" i="9"/>
  <c r="AW43" i="9"/>
  <c r="AK43" i="9"/>
  <c r="BC43" i="9"/>
  <c r="AL43" i="9"/>
  <c r="AJ43" i="9"/>
  <c r="AM43" i="9"/>
  <c r="BB43" i="9"/>
  <c r="P43" i="9"/>
  <c r="AE43" i="9"/>
  <c r="AD43" i="9"/>
  <c r="AY43" i="9"/>
  <c r="AQ43" i="9"/>
  <c r="AI43" i="9"/>
  <c r="BD43" i="9"/>
  <c r="AO43" i="9"/>
  <c r="BT43" i="9"/>
  <c r="U43" i="9"/>
  <c r="AC43" i="9"/>
  <c r="AH43" i="9"/>
  <c r="Q43" i="9"/>
  <c r="AU43" i="9"/>
  <c r="S43" i="9"/>
  <c r="BH43" i="9"/>
  <c r="AF43" i="9"/>
  <c r="AS43" i="9"/>
  <c r="BF43" i="9"/>
  <c r="BS43" i="9"/>
  <c r="T43" i="9"/>
  <c r="AG43" i="9"/>
  <c r="BM43" i="9"/>
  <c r="AT43" i="9"/>
  <c r="BA43" i="9"/>
  <c r="BG43" i="9"/>
  <c r="H43" i="9"/>
  <c r="AT31" i="7"/>
  <c r="AR54" i="7"/>
  <c r="AN28" i="7"/>
  <c r="BO46" i="9"/>
  <c r="BP46" i="9"/>
  <c r="AS46" i="9"/>
  <c r="AH46" i="9"/>
  <c r="AD46" i="9"/>
  <c r="AF46" i="9"/>
  <c r="AE46" i="9"/>
  <c r="M46" i="9"/>
  <c r="Q46" i="9"/>
  <c r="L46" i="9"/>
  <c r="BH46" i="9"/>
  <c r="AW46" i="9"/>
  <c r="BI46" i="9"/>
  <c r="BM46" i="9"/>
  <c r="S46" i="9"/>
  <c r="AT46" i="9"/>
  <c r="AU46" i="9"/>
  <c r="AM46" i="9"/>
  <c r="AA46" i="9"/>
  <c r="V46" i="9"/>
  <c r="O46" i="9"/>
  <c r="AK46" i="9"/>
  <c r="BJ46" i="9"/>
  <c r="BC46" i="9"/>
  <c r="R46" i="9"/>
  <c r="AX46" i="9"/>
  <c r="BR46" i="9"/>
  <c r="AG46" i="9"/>
  <c r="BL46" i="9"/>
  <c r="AL46" i="9"/>
  <c r="AV46" i="9"/>
  <c r="T46" i="9"/>
  <c r="AZ46" i="9"/>
  <c r="Z46" i="9"/>
  <c r="BN46" i="9"/>
  <c r="AI46" i="9"/>
  <c r="AN46" i="9"/>
  <c r="N46" i="9"/>
  <c r="BA46" i="9"/>
  <c r="AB46" i="9"/>
  <c r="U46" i="9"/>
  <c r="P46" i="9"/>
  <c r="AJ46" i="9"/>
  <c r="BK46" i="9"/>
  <c r="BB46" i="9"/>
  <c r="AY46" i="9"/>
  <c r="BQ46" i="9"/>
  <c r="H46" i="9"/>
  <c r="I46" i="9"/>
  <c r="W46" i="9"/>
  <c r="X46" i="9"/>
  <c r="AO46" i="9"/>
  <c r="AP46" i="9"/>
  <c r="BD46" i="9"/>
  <c r="BE46" i="9"/>
  <c r="BS46" i="9"/>
  <c r="BT46" i="9"/>
  <c r="J46" i="9"/>
  <c r="K46" i="9"/>
  <c r="Y46" i="9"/>
  <c r="AC46" i="9"/>
  <c r="AQ46" i="9"/>
  <c r="AR46" i="9"/>
  <c r="BF46" i="9"/>
  <c r="BG46" i="9"/>
  <c r="AW35" i="12"/>
  <c r="AO35" i="12"/>
  <c r="O66" i="7"/>
  <c r="AC66" i="7"/>
  <c r="BI33" i="9"/>
  <c r="AF33" i="9"/>
  <c r="Q33" i="9"/>
  <c r="AC33" i="9"/>
  <c r="P33" i="9"/>
  <c r="H33" i="9"/>
  <c r="AE33" i="9"/>
  <c r="BJ33" i="9"/>
  <c r="O33" i="9"/>
  <c r="AR33" i="9"/>
  <c r="AB33" i="9"/>
  <c r="N33" i="9"/>
  <c r="AD33" i="9"/>
  <c r="BR33" i="9"/>
  <c r="V33" i="9"/>
  <c r="BN33" i="9"/>
  <c r="S33" i="9"/>
  <c r="BK33" i="9"/>
  <c r="R33" i="9"/>
  <c r="BM33" i="9"/>
  <c r="AQ33" i="9"/>
  <c r="AL33" i="9"/>
  <c r="AG33" i="9"/>
  <c r="L33" i="9"/>
  <c r="U33" i="9"/>
  <c r="BO33" i="9"/>
  <c r="BQ33" i="9"/>
  <c r="BS33" i="9"/>
  <c r="AK33" i="9"/>
  <c r="BG33" i="9"/>
  <c r="AY33" i="9"/>
  <c r="AZ33" i="9"/>
  <c r="AU33" i="9"/>
  <c r="AT33" i="9"/>
  <c r="AI33" i="9"/>
  <c r="BF33" i="9"/>
  <c r="W33" i="9"/>
  <c r="J33" i="9"/>
  <c r="BE33" i="9"/>
  <c r="K33" i="9"/>
  <c r="Z33" i="9"/>
  <c r="BD33" i="9"/>
  <c r="BT33" i="9"/>
  <c r="T33" i="9"/>
  <c r="AN33" i="9"/>
  <c r="AW33" i="9"/>
  <c r="BH33" i="9"/>
  <c r="AH33" i="9"/>
  <c r="I33" i="9"/>
  <c r="BB33" i="9"/>
  <c r="M33" i="9"/>
  <c r="AS33" i="9"/>
  <c r="AV33" i="9"/>
  <c r="AX33" i="9"/>
  <c r="Y33" i="9"/>
  <c r="BP33" i="9"/>
  <c r="AA33" i="9"/>
  <c r="AP33" i="9"/>
  <c r="AJ33" i="9"/>
  <c r="BL33" i="9"/>
  <c r="AM33" i="9"/>
  <c r="AO33" i="9"/>
  <c r="X33" i="9"/>
  <c r="BA33" i="9"/>
  <c r="BC33" i="9"/>
  <c r="AU27" i="10"/>
  <c r="AK27" i="10"/>
  <c r="X28" i="12"/>
  <c r="V28" i="12"/>
  <c r="AG28" i="12"/>
  <c r="AM45" i="7"/>
  <c r="AU45" i="7"/>
  <c r="Y45" i="7"/>
  <c r="W45" i="7"/>
  <c r="AE48" i="11"/>
  <c r="AG48" i="11"/>
  <c r="AT48" i="11"/>
  <c r="AQ25" i="7"/>
  <c r="AQ54" i="7"/>
  <c r="AF21" i="11"/>
  <c r="AL21" i="11"/>
  <c r="X21" i="11"/>
  <c r="AR25" i="12"/>
  <c r="AM25" i="12"/>
  <c r="AV25" i="12"/>
  <c r="BG25" i="12"/>
  <c r="AF27" i="7"/>
  <c r="AI27" i="7"/>
  <c r="AP27" i="7"/>
  <c r="T40" i="7"/>
  <c r="R40" i="7"/>
  <c r="AW40" i="11"/>
  <c r="AF61" i="7"/>
  <c r="AQ69" i="7"/>
  <c r="BO75" i="9"/>
  <c r="AM75" i="9"/>
  <c r="BN75" i="9"/>
  <c r="Y75" i="9"/>
  <c r="W75" i="9"/>
  <c r="BP75" i="9"/>
  <c r="AP75" i="9"/>
  <c r="K75" i="9"/>
  <c r="Z75" i="9"/>
  <c r="AW75" i="9"/>
  <c r="M75" i="9"/>
  <c r="N75" i="9"/>
  <c r="AQ75" i="9"/>
  <c r="BM75" i="9"/>
  <c r="I75" i="9"/>
  <c r="AR75" i="9"/>
  <c r="L75" i="9"/>
  <c r="BS75" i="9"/>
  <c r="AA75" i="9"/>
  <c r="BB75" i="9"/>
  <c r="BD75" i="9"/>
  <c r="AK75" i="9"/>
  <c r="R75" i="9"/>
  <c r="J75" i="9"/>
  <c r="BR75" i="9"/>
  <c r="AE75" i="9"/>
  <c r="BA75" i="9"/>
  <c r="AC75" i="9"/>
  <c r="BJ75" i="9"/>
  <c r="AX75" i="9"/>
  <c r="AJ75" i="9"/>
  <c r="BE75" i="9"/>
  <c r="Q75" i="9"/>
  <c r="X75" i="9"/>
  <c r="BQ75" i="9"/>
  <c r="AV75" i="9"/>
  <c r="BC75" i="9"/>
  <c r="AY75" i="9"/>
  <c r="AD75" i="9"/>
  <c r="AL75" i="9"/>
  <c r="AI75" i="9"/>
  <c r="BI75" i="9"/>
  <c r="O75" i="9"/>
  <c r="V75" i="9"/>
  <c r="AN75" i="9"/>
  <c r="BG75" i="9"/>
  <c r="AH75" i="9"/>
  <c r="AB75" i="9"/>
  <c r="AU75" i="9"/>
  <c r="P75" i="9"/>
  <c r="BH75" i="9"/>
  <c r="BK75" i="9"/>
  <c r="S75" i="9"/>
  <c r="AF75" i="9"/>
  <c r="AS75" i="9"/>
  <c r="BF75" i="9"/>
  <c r="BT75" i="9"/>
  <c r="T75" i="9"/>
  <c r="BL75" i="9"/>
  <c r="AG75" i="9"/>
  <c r="H75" i="9"/>
  <c r="AZ75" i="9"/>
  <c r="AT75" i="9"/>
  <c r="U75" i="9"/>
  <c r="AG22" i="10"/>
  <c r="X22" i="10"/>
  <c r="AU44" i="7"/>
  <c r="BR56" i="8"/>
  <c r="AA56" i="8"/>
  <c r="Q56" i="8"/>
  <c r="V56" i="8"/>
  <c r="BI56" i="8"/>
  <c r="N56" i="8"/>
  <c r="M56" i="8"/>
  <c r="BH56" i="8"/>
  <c r="BL56" i="8"/>
  <c r="H56" i="8"/>
  <c r="AZ56" i="8"/>
  <c r="AW56" i="8"/>
  <c r="AT56" i="8"/>
  <c r="AS56" i="8"/>
  <c r="AK56" i="8"/>
  <c r="AH56" i="8"/>
  <c r="AB56" i="8"/>
  <c r="BO56" i="8"/>
  <c r="BM56" i="8"/>
  <c r="BQ56" i="8"/>
  <c r="W56" i="8"/>
  <c r="L56" i="8"/>
  <c r="BC56" i="8"/>
  <c r="AL56" i="8"/>
  <c r="K56" i="8"/>
  <c r="Z56" i="8"/>
  <c r="AQ56" i="8"/>
  <c r="BA56" i="8"/>
  <c r="Y56" i="8"/>
  <c r="AO56" i="8"/>
  <c r="O56" i="8"/>
  <c r="AE56" i="8"/>
  <c r="BS56" i="8"/>
  <c r="AN56" i="8"/>
  <c r="BG56" i="8"/>
  <c r="AC56" i="8"/>
  <c r="S56" i="8"/>
  <c r="BF56" i="8"/>
  <c r="AU56" i="8"/>
  <c r="BN56" i="8"/>
  <c r="BJ56" i="8"/>
  <c r="BB56" i="8"/>
  <c r="J56" i="8"/>
  <c r="BP56" i="8"/>
  <c r="AP56" i="8"/>
  <c r="X56" i="8"/>
  <c r="P56" i="8"/>
  <c r="BD56" i="8"/>
  <c r="AD56" i="8"/>
  <c r="AM56" i="8"/>
  <c r="AG56" i="8"/>
  <c r="AR56" i="8"/>
  <c r="R56" i="8"/>
  <c r="U56" i="8"/>
  <c r="BE56" i="8"/>
  <c r="AV56" i="8"/>
  <c r="AF56" i="8"/>
  <c r="AI56" i="8"/>
  <c r="AJ56" i="8"/>
  <c r="BT56" i="8"/>
  <c r="T56" i="8"/>
  <c r="AX56" i="8"/>
  <c r="AY56" i="8"/>
  <c r="I56" i="8"/>
  <c r="V21" i="10"/>
  <c r="U21" i="10"/>
  <c r="AM18" i="10"/>
  <c r="AY62" i="10"/>
  <c r="Y33" i="12"/>
  <c r="AA33" i="12"/>
  <c r="AR33" i="12"/>
  <c r="AH37" i="12"/>
  <c r="AG37" i="12"/>
  <c r="AZ37" i="12"/>
  <c r="W20" i="10"/>
  <c r="AB20" i="10"/>
  <c r="Z20" i="10"/>
  <c r="AY63" i="10"/>
  <c r="AQ63" i="10"/>
  <c r="AR42" i="10"/>
  <c r="AA42" i="10"/>
  <c r="AL42" i="10"/>
  <c r="AL54" i="7"/>
  <c r="AI54" i="12"/>
  <c r="AH54" i="12"/>
  <c r="AF54" i="12"/>
  <c r="BK56" i="8"/>
  <c r="AB51" i="10"/>
  <c r="AK51" i="10"/>
  <c r="AD19" i="5"/>
  <c r="AW19" i="11"/>
  <c r="X19" i="11"/>
  <c r="BO42" i="9"/>
  <c r="I42" i="9"/>
  <c r="O42" i="9"/>
  <c r="AU42" i="9"/>
  <c r="AF42" i="9"/>
  <c r="BI42" i="9"/>
  <c r="BL42" i="9"/>
  <c r="H42" i="9"/>
  <c r="BH42" i="9"/>
  <c r="AX42" i="9"/>
  <c r="AY42" i="9"/>
  <c r="AW42" i="9"/>
  <c r="BG42" i="9"/>
  <c r="AJ42" i="9"/>
  <c r="AS42" i="9"/>
  <c r="AK42" i="9"/>
  <c r="S42" i="9"/>
  <c r="AC42" i="9"/>
  <c r="BR42" i="9"/>
  <c r="AL42" i="9"/>
  <c r="V42" i="9"/>
  <c r="Q42" i="9"/>
  <c r="BD42" i="9"/>
  <c r="X42" i="9"/>
  <c r="P42" i="9"/>
  <c r="BT42" i="9"/>
  <c r="AN42" i="9"/>
  <c r="J42" i="9"/>
  <c r="AT42" i="9"/>
  <c r="AE42" i="9"/>
  <c r="BF42" i="9"/>
  <c r="Z42" i="9"/>
  <c r="BJ42" i="9"/>
  <c r="AR42" i="9"/>
  <c r="L42" i="9"/>
  <c r="AV42" i="9"/>
  <c r="AB42" i="9"/>
  <c r="BQ42" i="9"/>
  <c r="AH42" i="9"/>
  <c r="N42" i="9"/>
  <c r="BC42" i="9"/>
  <c r="T42" i="9"/>
  <c r="BS42" i="9"/>
  <c r="AM42" i="9"/>
  <c r="AI42" i="9"/>
  <c r="AG42" i="9"/>
  <c r="BE42" i="9"/>
  <c r="Y42" i="9"/>
  <c r="BK42" i="9"/>
  <c r="W42" i="9"/>
  <c r="BM42" i="9"/>
  <c r="AQ42" i="9"/>
  <c r="K42" i="9"/>
  <c r="BA42" i="9"/>
  <c r="AA42" i="9"/>
  <c r="BP42" i="9"/>
  <c r="U42" i="9"/>
  <c r="AO42" i="9"/>
  <c r="M42" i="9"/>
  <c r="AZ42" i="9"/>
  <c r="BN42" i="9"/>
  <c r="R42" i="9"/>
  <c r="AD42" i="9"/>
  <c r="AP42" i="9"/>
  <c r="BB42" i="9"/>
  <c r="AN63" i="11"/>
  <c r="X53" i="7"/>
  <c r="AE53" i="7"/>
  <c r="Z47" i="11"/>
  <c r="AS47" i="11"/>
  <c r="Q21" i="7"/>
  <c r="AY24" i="10"/>
  <c r="AG24" i="10"/>
  <c r="AE24" i="10"/>
  <c r="R24" i="11"/>
  <c r="AL24" i="11"/>
  <c r="Q24" i="11"/>
  <c r="AR32" i="7"/>
  <c r="AP32" i="7"/>
  <c r="AG32" i="7"/>
  <c r="AJ32" i="7"/>
  <c r="AU52" i="10"/>
  <c r="AY52" i="10"/>
  <c r="AN52" i="10"/>
  <c r="AF69" i="7"/>
  <c r="Y72" i="11"/>
  <c r="AK62" i="11"/>
  <c r="AV68" i="11"/>
  <c r="AF47" i="10"/>
  <c r="AO47" i="10"/>
  <c r="BD58" i="11"/>
  <c r="AR58" i="11"/>
  <c r="AD19" i="7"/>
  <c r="AL19" i="7"/>
  <c r="AA29" i="10"/>
  <c r="AU29" i="10"/>
  <c r="AV29" i="10"/>
  <c r="AN29" i="10"/>
  <c r="AE54" i="7"/>
  <c r="AZ49" i="9"/>
  <c r="AR49" i="9"/>
  <c r="AY49" i="9"/>
  <c r="AL49" i="9"/>
  <c r="AF49" i="9"/>
  <c r="W49" i="9"/>
  <c r="BJ49" i="9"/>
  <c r="T49" i="9"/>
  <c r="BI49" i="9"/>
  <c r="P49" i="9"/>
  <c r="BN49" i="9"/>
  <c r="BH49" i="9"/>
  <c r="X49" i="9"/>
  <c r="AX49" i="9"/>
  <c r="AE49" i="9"/>
  <c r="H49" i="9"/>
  <c r="AT49" i="9"/>
  <c r="AC49" i="9"/>
  <c r="BP49" i="9"/>
  <c r="AI49" i="9"/>
  <c r="Q49" i="9"/>
  <c r="AH49" i="9"/>
  <c r="O49" i="9"/>
  <c r="BB49" i="9"/>
  <c r="S49" i="9"/>
  <c r="AU49" i="9"/>
  <c r="R49" i="9"/>
  <c r="V49" i="9"/>
  <c r="BT49" i="9"/>
  <c r="AN49" i="9"/>
  <c r="AJ49" i="9"/>
  <c r="AK49" i="9"/>
  <c r="AV49" i="9"/>
  <c r="J49" i="9"/>
  <c r="BD49" i="9"/>
  <c r="Z49" i="9"/>
  <c r="BL49" i="9"/>
  <c r="BM49" i="9"/>
  <c r="BQ49" i="9"/>
  <c r="AP49" i="9"/>
  <c r="L49" i="9"/>
  <c r="BE49" i="9"/>
  <c r="AB49" i="9"/>
  <c r="BO49" i="9"/>
  <c r="AS49" i="9"/>
  <c r="N49" i="9"/>
  <c r="BA49" i="9"/>
  <c r="AD49" i="9"/>
  <c r="AG49" i="9"/>
  <c r="BS49" i="9"/>
  <c r="AM49" i="9"/>
  <c r="U49" i="9"/>
  <c r="BC49" i="9"/>
  <c r="Y49" i="9"/>
  <c r="I49" i="9"/>
  <c r="AO49" i="9"/>
  <c r="K49" i="9"/>
  <c r="BR49" i="9"/>
  <c r="BG49" i="9"/>
  <c r="AA49" i="9"/>
  <c r="BK49" i="9"/>
  <c r="BF49" i="9"/>
  <c r="AQ49" i="9"/>
  <c r="M49" i="9"/>
  <c r="AW49" i="9"/>
  <c r="U49" i="8"/>
  <c r="AR66" i="11"/>
  <c r="AA66" i="11"/>
  <c r="AG66" i="11"/>
  <c r="AX66" i="11"/>
  <c r="O27" i="8"/>
  <c r="BS28" i="8"/>
  <c r="BI28" i="8"/>
  <c r="BH28" i="8"/>
  <c r="W28" i="8"/>
  <c r="N28" i="8"/>
  <c r="M28" i="8"/>
  <c r="L28" i="8"/>
  <c r="K28" i="8"/>
  <c r="BT28" i="8"/>
  <c r="BJ28" i="8"/>
  <c r="BG28" i="8"/>
  <c r="AU28" i="8"/>
  <c r="AL28" i="8"/>
  <c r="AK28" i="8"/>
  <c r="AJ28" i="8"/>
  <c r="AI28" i="8"/>
  <c r="Z28" i="8"/>
  <c r="AW28" i="8"/>
  <c r="Y28" i="8"/>
  <c r="X28" i="8"/>
  <c r="AX28" i="8"/>
  <c r="AV28" i="8"/>
  <c r="AM28" i="8"/>
  <c r="AY28" i="8"/>
  <c r="P28" i="8"/>
  <c r="BK28" i="8"/>
  <c r="AB28" i="8"/>
  <c r="AN28" i="8"/>
  <c r="AZ28" i="8"/>
  <c r="BL28" i="8"/>
  <c r="O28" i="8"/>
  <c r="AA28" i="8"/>
  <c r="U28" i="8"/>
  <c r="R28" i="8"/>
  <c r="AG28" i="8"/>
  <c r="AD28" i="8"/>
  <c r="AS28" i="8"/>
  <c r="AP28" i="8"/>
  <c r="BE28" i="8"/>
  <c r="BB28" i="8"/>
  <c r="BQ28" i="8"/>
  <c r="BN28" i="8"/>
  <c r="S28" i="8"/>
  <c r="H28" i="8"/>
  <c r="J28" i="8"/>
  <c r="Q28" i="8"/>
  <c r="AE28" i="8"/>
  <c r="T28" i="8"/>
  <c r="V28" i="8"/>
  <c r="AC28" i="8"/>
  <c r="AQ28" i="8"/>
  <c r="AF28" i="8"/>
  <c r="AH28" i="8"/>
  <c r="AO28" i="8"/>
  <c r="BC28" i="8"/>
  <c r="AR28" i="8"/>
  <c r="AT28" i="8"/>
  <c r="BA28" i="8"/>
  <c r="BO28" i="8"/>
  <c r="BD28" i="8"/>
  <c r="BF28" i="8"/>
  <c r="BM28" i="8"/>
  <c r="BP28" i="8"/>
  <c r="I28" i="8"/>
  <c r="AO31" i="7"/>
  <c r="BC35" i="12"/>
  <c r="BE35" i="12"/>
  <c r="BB35" i="12"/>
  <c r="BJ66" i="8"/>
  <c r="BH66" i="8"/>
  <c r="BC66" i="8"/>
  <c r="AW66" i="8"/>
  <c r="AV66" i="8"/>
  <c r="AL66" i="8"/>
  <c r="Y66" i="8"/>
  <c r="X66" i="8"/>
  <c r="M66" i="8"/>
  <c r="BS66" i="8"/>
  <c r="AE66" i="8"/>
  <c r="BO66" i="8"/>
  <c r="Z66" i="8"/>
  <c r="L66" i="8"/>
  <c r="BI66" i="8"/>
  <c r="AK66" i="8"/>
  <c r="S66" i="8"/>
  <c r="AJ66" i="8"/>
  <c r="N66" i="8"/>
  <c r="BT66" i="8"/>
  <c r="AY66" i="8"/>
  <c r="AR66" i="8"/>
  <c r="BE66" i="8"/>
  <c r="K66" i="8"/>
  <c r="AM66" i="8"/>
  <c r="R66" i="8"/>
  <c r="BD66" i="8"/>
  <c r="BQ66" i="8"/>
  <c r="W66" i="8"/>
  <c r="AA66" i="8"/>
  <c r="AN66" i="8"/>
  <c r="Q66" i="8"/>
  <c r="AD66" i="8"/>
  <c r="BP66" i="8"/>
  <c r="AI66" i="8"/>
  <c r="O66" i="8"/>
  <c r="BK66" i="8"/>
  <c r="AZ66" i="8"/>
  <c r="AC66" i="8"/>
  <c r="AP66" i="8"/>
  <c r="AU66" i="8"/>
  <c r="AQ66" i="8"/>
  <c r="BL66" i="8"/>
  <c r="AO66" i="8"/>
  <c r="BB66" i="8"/>
  <c r="J66" i="8"/>
  <c r="BG66" i="8"/>
  <c r="BA66" i="8"/>
  <c r="BN66" i="8"/>
  <c r="V66" i="8"/>
  <c r="BM66" i="8"/>
  <c r="AH66" i="8"/>
  <c r="AT66" i="8"/>
  <c r="I66" i="8"/>
  <c r="BF66" i="8"/>
  <c r="H66" i="8"/>
  <c r="U66" i="8"/>
  <c r="BR66" i="8"/>
  <c r="AB66" i="8"/>
  <c r="T66" i="8"/>
  <c r="AG66" i="8"/>
  <c r="P66" i="8"/>
  <c r="AF66" i="8"/>
  <c r="AS66" i="8"/>
  <c r="AK66" i="7"/>
  <c r="AG66" i="7"/>
  <c r="AT27" i="10"/>
  <c r="AJ27" i="10"/>
  <c r="K24" i="8"/>
  <c r="BP24" i="8"/>
  <c r="I24" i="8"/>
  <c r="BS24" i="8"/>
  <c r="L24" i="8"/>
  <c r="BL24" i="8"/>
  <c r="P24" i="8"/>
  <c r="BT24" i="8"/>
  <c r="BJ24" i="8"/>
  <c r="BQ24" i="8"/>
  <c r="H24" i="8"/>
  <c r="BF24" i="8"/>
  <c r="AZ24" i="8"/>
  <c r="BR24" i="8"/>
  <c r="M24" i="8"/>
  <c r="BI24" i="8"/>
  <c r="N24" i="8"/>
  <c r="J24" i="8"/>
  <c r="BH24" i="8"/>
  <c r="BO24" i="8"/>
  <c r="AB24" i="8"/>
  <c r="X24" i="8"/>
  <c r="Y24" i="8"/>
  <c r="W24" i="8"/>
  <c r="V24" i="8"/>
  <c r="AJ24" i="8"/>
  <c r="U24" i="8"/>
  <c r="T24" i="8"/>
  <c r="AT24" i="8"/>
  <c r="AS24" i="8"/>
  <c r="AN24" i="8"/>
  <c r="AH24" i="8"/>
  <c r="AG24" i="8"/>
  <c r="AL24" i="8"/>
  <c r="AW24" i="8"/>
  <c r="Z24" i="8"/>
  <c r="AK24" i="8"/>
  <c r="AI24" i="8"/>
  <c r="BG24" i="8"/>
  <c r="AV24" i="8"/>
  <c r="BD24" i="8"/>
  <c r="AR24" i="8"/>
  <c r="AU24" i="8"/>
  <c r="AF24" i="8"/>
  <c r="AX24" i="8"/>
  <c r="AY24" i="8"/>
  <c r="BA24" i="8"/>
  <c r="BN24" i="8"/>
  <c r="BK24" i="8"/>
  <c r="BM24" i="8"/>
  <c r="S24" i="8"/>
  <c r="AE24" i="8"/>
  <c r="AQ24" i="8"/>
  <c r="BC24" i="8"/>
  <c r="R24" i="8"/>
  <c r="O24" i="8"/>
  <c r="Q24" i="8"/>
  <c r="AD24" i="8"/>
  <c r="AA24" i="8"/>
  <c r="AC24" i="8"/>
  <c r="AP24" i="8"/>
  <c r="AM24" i="8"/>
  <c r="AO24" i="8"/>
  <c r="BB24" i="8"/>
  <c r="P28" i="12"/>
  <c r="Q28" i="12"/>
  <c r="Y54" i="7"/>
  <c r="AH45" i="7"/>
  <c r="AP45" i="7"/>
  <c r="AJ48" i="11"/>
  <c r="BE24" i="8"/>
  <c r="Z25" i="7"/>
  <c r="AM25" i="7"/>
  <c r="AD25" i="7"/>
  <c r="AC25" i="7"/>
  <c r="F51" i="2"/>
  <c r="AT21" i="11"/>
  <c r="AC21" i="11"/>
  <c r="AA21" i="11"/>
  <c r="AS21" i="11"/>
  <c r="AW25" i="12"/>
  <c r="AN25" i="12"/>
  <c r="AS27" i="7"/>
  <c r="X27" i="7"/>
  <c r="P27" i="7"/>
  <c r="AP40" i="11"/>
  <c r="AY40" i="11"/>
  <c r="AO40" i="11"/>
  <c r="AI69" i="5"/>
  <c r="AG69" i="5"/>
  <c r="AQ69" i="5"/>
  <c r="AH69" i="5"/>
  <c r="BG69" i="5"/>
  <c r="AB22" i="10"/>
  <c r="BG22" i="9"/>
  <c r="BI22" i="9"/>
  <c r="U22" i="9"/>
  <c r="AX22" i="9"/>
  <c r="BK22" i="9"/>
  <c r="AG22" i="9"/>
  <c r="AZ22" i="9"/>
  <c r="V22" i="9"/>
  <c r="X22" i="9"/>
  <c r="BH22" i="9"/>
  <c r="BC22" i="9"/>
  <c r="Y22" i="9"/>
  <c r="BT22" i="9"/>
  <c r="BR22" i="9"/>
  <c r="AP22" i="9"/>
  <c r="L22" i="9"/>
  <c r="BE22" i="9"/>
  <c r="AB22" i="9"/>
  <c r="BJ22" i="9"/>
  <c r="AH22" i="9"/>
  <c r="AR22" i="9"/>
  <c r="O22" i="9"/>
  <c r="AW22" i="9"/>
  <c r="AE22" i="9"/>
  <c r="BO22" i="9"/>
  <c r="AJ22" i="9"/>
  <c r="R22" i="9"/>
  <c r="BB22" i="9"/>
  <c r="W22" i="9"/>
  <c r="BQ22" i="9"/>
  <c r="AN22" i="9"/>
  <c r="J22" i="9"/>
  <c r="BD22" i="9"/>
  <c r="AA22" i="9"/>
  <c r="AI22" i="9"/>
  <c r="AQ22" i="9"/>
  <c r="N22" i="9"/>
  <c r="BN22" i="9"/>
  <c r="AD22" i="9"/>
  <c r="BL22" i="9"/>
  <c r="P22" i="9"/>
  <c r="AY22" i="9"/>
  <c r="H22" i="9"/>
  <c r="Z22" i="9"/>
  <c r="BP22" i="9"/>
  <c r="AL22" i="9"/>
  <c r="AK22" i="9"/>
  <c r="BM22" i="9"/>
  <c r="BA22" i="9"/>
  <c r="AO22" i="9"/>
  <c r="AC22" i="9"/>
  <c r="Q22" i="9"/>
  <c r="S22" i="9"/>
  <c r="T22" i="9"/>
  <c r="AF22" i="9"/>
  <c r="I22" i="9"/>
  <c r="AV22" i="9"/>
  <c r="AS22" i="9"/>
  <c r="AM22" i="9"/>
  <c r="K22" i="9"/>
  <c r="M22" i="9"/>
  <c r="BF22" i="9"/>
  <c r="AT22" i="9"/>
  <c r="AU22" i="9"/>
  <c r="BS22" i="9"/>
  <c r="AP21" i="10"/>
  <c r="AF21" i="10"/>
  <c r="Q21" i="10"/>
  <c r="BC62" i="10"/>
  <c r="AE30" i="12"/>
  <c r="AT30" i="12"/>
  <c r="AR30" i="12"/>
  <c r="AL33" i="12"/>
  <c r="AK37" i="12"/>
  <c r="AQ37" i="12"/>
  <c r="AM20" i="10"/>
  <c r="Y20" i="10"/>
  <c r="AG20" i="10"/>
  <c r="V22" i="5"/>
  <c r="AS22" i="5"/>
  <c r="AO22" i="5"/>
  <c r="AD22" i="5"/>
  <c r="W22" i="5"/>
  <c r="AN22" i="5"/>
  <c r="AB22" i="5"/>
  <c r="AR22" i="5"/>
  <c r="AQ71" i="7"/>
  <c r="AM63" i="10"/>
  <c r="AJ63" i="10"/>
  <c r="AU63" i="10"/>
  <c r="AF42" i="10"/>
  <c r="AC42" i="10"/>
  <c r="Z42" i="10"/>
  <c r="AP42" i="10"/>
  <c r="BC54" i="12"/>
  <c r="BB54" i="12"/>
  <c r="AO54" i="12"/>
  <c r="AP51" i="10"/>
  <c r="AN51" i="10"/>
  <c r="AI51" i="10"/>
  <c r="AH19" i="5"/>
  <c r="Y19" i="11"/>
  <c r="BM32" i="8"/>
  <c r="N32" i="8"/>
  <c r="BP32" i="8"/>
  <c r="AX32" i="8"/>
  <c r="BL32" i="8"/>
  <c r="AW32" i="8"/>
  <c r="AS32" i="8"/>
  <c r="BJ32" i="8"/>
  <c r="BK32" i="8"/>
  <c r="AR32" i="8"/>
  <c r="AD32" i="8"/>
  <c r="AC32" i="8"/>
  <c r="O32" i="8"/>
  <c r="BN32" i="8"/>
  <c r="AF32" i="8"/>
  <c r="Q32" i="8"/>
  <c r="AE32" i="8"/>
  <c r="P32" i="8"/>
  <c r="R32" i="8"/>
  <c r="AG32" i="8"/>
  <c r="AY32" i="8"/>
  <c r="BT32" i="8"/>
  <c r="BR32" i="8"/>
  <c r="AP32" i="8"/>
  <c r="BH32" i="8"/>
  <c r="BF32" i="8"/>
  <c r="BE32" i="8"/>
  <c r="S32" i="8"/>
  <c r="AV32" i="8"/>
  <c r="AT32" i="8"/>
  <c r="M32" i="8"/>
  <c r="AK32" i="8"/>
  <c r="AJ32" i="8"/>
  <c r="AH32" i="8"/>
  <c r="AB32" i="8"/>
  <c r="AZ32" i="8"/>
  <c r="T32" i="8"/>
  <c r="X32" i="8"/>
  <c r="V32" i="8"/>
  <c r="AQ32" i="8"/>
  <c r="BO32" i="8"/>
  <c r="AL32" i="8"/>
  <c r="L32" i="8"/>
  <c r="J32" i="8"/>
  <c r="Y32" i="8"/>
  <c r="BI32" i="8"/>
  <c r="BA32" i="8"/>
  <c r="BS32" i="8"/>
  <c r="U32" i="8"/>
  <c r="AN32" i="8"/>
  <c r="H32" i="8"/>
  <c r="BG32" i="8"/>
  <c r="AM32" i="8"/>
  <c r="BC32" i="8"/>
  <c r="Z32" i="8"/>
  <c r="AU32" i="8"/>
  <c r="BB32" i="8"/>
  <c r="AO32" i="8"/>
  <c r="AI32" i="8"/>
  <c r="BQ32" i="8"/>
  <c r="BD32" i="8"/>
  <c r="W32" i="8"/>
  <c r="I32" i="8"/>
  <c r="K32" i="8"/>
  <c r="AA32" i="8"/>
  <c r="AN47" i="11"/>
  <c r="AA47" i="11"/>
  <c r="AU47" i="11"/>
  <c r="T47" i="11"/>
  <c r="Y21" i="7"/>
  <c r="AR21" i="7"/>
  <c r="V24" i="10"/>
  <c r="Y24" i="10"/>
  <c r="AS24" i="11"/>
  <c r="V32" i="7"/>
  <c r="AO32" i="7"/>
  <c r="AS32" i="7"/>
  <c r="AH52" i="10"/>
  <c r="AQ52" i="10"/>
  <c r="AE47" i="10"/>
  <c r="AB47" i="10"/>
  <c r="AJ47" i="10"/>
  <c r="BA58" i="11"/>
  <c r="AW19" i="7"/>
  <c r="AM19" i="7"/>
  <c r="AD29" i="10"/>
  <c r="BB29" i="10"/>
  <c r="BT9" i="10" l="1"/>
  <c r="H7" i="11"/>
  <c r="H11" i="12"/>
  <c r="H9" i="12"/>
  <c r="BG10" i="10"/>
  <c r="BL8" i="12"/>
  <c r="BQ8" i="10"/>
  <c r="BO11" i="10"/>
  <c r="H8" i="11"/>
  <c r="BE9" i="10"/>
  <c r="J11" i="12"/>
  <c r="BQ10" i="10"/>
  <c r="M8" i="12"/>
  <c r="BS8" i="12"/>
  <c r="BH11" i="11"/>
  <c r="BS9" i="12"/>
  <c r="H10" i="12"/>
  <c r="BQ7" i="10"/>
  <c r="BL10" i="12"/>
  <c r="BO7" i="10"/>
  <c r="H10" i="11"/>
  <c r="H9" i="11"/>
  <c r="BS11" i="12"/>
  <c r="BO10" i="10"/>
  <c r="BI11" i="12"/>
  <c r="BT11" i="10"/>
  <c r="BT10" i="10"/>
  <c r="BL7" i="12"/>
  <c r="BO9" i="10"/>
  <c r="BS10" i="12"/>
  <c r="BH7" i="12"/>
  <c r="BJ10" i="10"/>
  <c r="BI7" i="10"/>
  <c r="BK11" i="10"/>
  <c r="BM8" i="10"/>
  <c r="BN8" i="12"/>
  <c r="M10" i="12"/>
  <c r="BH9" i="10"/>
  <c r="H11" i="11"/>
  <c r="BO8" i="10"/>
  <c r="BF10" i="10"/>
  <c r="J9" i="12"/>
  <c r="N8" i="12"/>
  <c r="BT8" i="10"/>
  <c r="BF11" i="10"/>
  <c r="BN9" i="10"/>
  <c r="BH10" i="10"/>
  <c r="J7" i="12"/>
  <c r="J10" i="12"/>
  <c r="BK9" i="10"/>
  <c r="BL11" i="12"/>
  <c r="M7" i="12"/>
  <c r="BH8" i="10"/>
  <c r="BJ7" i="10"/>
  <c r="BH8" i="11"/>
  <c r="M11" i="12"/>
  <c r="BH11" i="10"/>
  <c r="L9" i="12"/>
  <c r="I10" i="11"/>
  <c r="BK7" i="12"/>
  <c r="BH7" i="10"/>
  <c r="BR10" i="11"/>
  <c r="BS9" i="11"/>
  <c r="O8" i="12"/>
  <c r="BP10" i="7"/>
  <c r="M9" i="12"/>
  <c r="BK8" i="10"/>
  <c r="BF8" i="10"/>
  <c r="BF7" i="10"/>
  <c r="BL9" i="12"/>
  <c r="BE11" i="10"/>
  <c r="BQ7" i="7"/>
  <c r="J8" i="12"/>
  <c r="H7" i="12"/>
  <c r="BR9" i="12"/>
  <c r="BQ11" i="10"/>
  <c r="K9" i="12"/>
  <c r="H8" i="12"/>
  <c r="BL11" i="10"/>
  <c r="BQ10" i="12"/>
  <c r="BF9" i="10"/>
  <c r="BT8" i="7"/>
  <c r="BI9" i="10"/>
  <c r="BS11" i="10"/>
  <c r="I8" i="12"/>
  <c r="BI9" i="7"/>
  <c r="BM11" i="7"/>
  <c r="BM10" i="12"/>
  <c r="BR8" i="10"/>
  <c r="BL8" i="11"/>
  <c r="BI9" i="11"/>
  <c r="BT7" i="10"/>
  <c r="BQ9" i="10"/>
  <c r="BP8" i="10"/>
  <c r="BE7" i="10"/>
  <c r="BE8" i="10"/>
  <c r="BG7" i="10"/>
  <c r="BG8" i="10"/>
  <c r="BG9" i="10"/>
  <c r="BS10" i="10"/>
  <c r="BS7" i="10"/>
  <c r="BE10" i="10"/>
  <c r="BS9" i="10"/>
  <c r="BR10" i="10"/>
  <c r="BP10" i="10"/>
  <c r="BP11" i="10"/>
  <c r="BP7" i="10"/>
  <c r="BK10" i="10"/>
  <c r="BP9" i="10"/>
  <c r="BK7" i="10"/>
  <c r="BG11" i="10"/>
  <c r="BS8" i="10"/>
  <c r="BJ11" i="5"/>
  <c r="BK11" i="5"/>
  <c r="BQ7" i="5"/>
  <c r="BI8" i="10"/>
  <c r="BI11" i="10"/>
  <c r="BR9" i="10"/>
  <c r="BL10" i="5"/>
  <c r="BO7" i="5"/>
  <c r="BP8" i="5"/>
  <c r="BI8" i="5"/>
  <c r="BL7" i="10"/>
  <c r="BM10" i="5"/>
  <c r="BI10" i="10"/>
  <c r="BR7" i="10"/>
  <c r="BR11" i="11"/>
  <c r="BI7" i="5"/>
  <c r="BR7" i="11"/>
  <c r="BR9" i="11"/>
  <c r="BJ9" i="10"/>
  <c r="BO11" i="5"/>
  <c r="BK8" i="5"/>
  <c r="M10" i="5"/>
  <c r="BL11" i="5"/>
  <c r="BI9" i="5"/>
  <c r="BO9" i="5"/>
  <c r="BO10" i="5"/>
  <c r="BK7" i="5"/>
  <c r="BL9" i="10"/>
  <c r="K9" i="5"/>
  <c r="K11" i="5"/>
  <c r="K8" i="5"/>
  <c r="BJ11" i="10"/>
  <c r="BO8" i="5"/>
  <c r="BL8" i="10"/>
  <c r="BL10" i="10"/>
  <c r="BP11" i="5"/>
  <c r="BJ8" i="10"/>
  <c r="M8" i="5"/>
  <c r="BP10" i="5"/>
  <c r="BQ9" i="5"/>
  <c r="BM8" i="5"/>
  <c r="BL9" i="5"/>
  <c r="BP7" i="5"/>
  <c r="BR11" i="10"/>
  <c r="BI11" i="5"/>
  <c r="BK9" i="5"/>
  <c r="BQ11" i="5"/>
  <c r="BJ7" i="5"/>
  <c r="H9" i="5"/>
  <c r="BQ8" i="5"/>
  <c r="BS10" i="11"/>
  <c r="M9" i="5"/>
  <c r="M11" i="5"/>
  <c r="M7" i="5"/>
  <c r="BJ11" i="11"/>
  <c r="BH10" i="11"/>
  <c r="BH9" i="11"/>
  <c r="K10" i="5"/>
  <c r="K7" i="5"/>
  <c r="BS9" i="5"/>
  <c r="BN9" i="5"/>
  <c r="BH9" i="5"/>
  <c r="BT7" i="11"/>
  <c r="BQ10" i="5"/>
  <c r="BP9" i="5"/>
  <c r="BM7" i="5"/>
  <c r="BK10" i="5"/>
  <c r="BI10" i="5"/>
  <c r="BL7" i="5"/>
  <c r="BJ8" i="5"/>
  <c r="BL8" i="5"/>
  <c r="BJ9" i="5"/>
  <c r="BM11" i="5"/>
  <c r="BM9" i="5"/>
  <c r="BK8" i="11"/>
  <c r="BJ10" i="5"/>
  <c r="BH7" i="11"/>
  <c r="J11" i="5"/>
  <c r="BM9" i="11"/>
  <c r="J11" i="11"/>
  <c r="BR8" i="11"/>
  <c r="BS11" i="11"/>
  <c r="BR7" i="5"/>
  <c r="BS7" i="11"/>
  <c r="K9" i="11"/>
  <c r="I9" i="5"/>
  <c r="BS8" i="11"/>
  <c r="BT11" i="5"/>
  <c r="BO10" i="11"/>
  <c r="BN8" i="10"/>
  <c r="BN7" i="10"/>
  <c r="BN10" i="10"/>
  <c r="BT7" i="5"/>
  <c r="BN11" i="10"/>
  <c r="K10" i="10"/>
  <c r="BM9" i="10"/>
  <c r="I10" i="10"/>
  <c r="BM10" i="10"/>
  <c r="BM11" i="10"/>
  <c r="H8" i="10"/>
  <c r="J10" i="10"/>
  <c r="H9" i="10"/>
  <c r="L8" i="11"/>
  <c r="J9" i="10"/>
  <c r="J7" i="10"/>
  <c r="J8" i="10"/>
  <c r="H7" i="10"/>
  <c r="BM7" i="10"/>
  <c r="H10" i="10"/>
  <c r="O7" i="5"/>
  <c r="H11" i="10"/>
  <c r="J11" i="10"/>
  <c r="L9" i="10"/>
  <c r="I9" i="10"/>
  <c r="I11" i="10"/>
  <c r="I8" i="10"/>
  <c r="I7" i="10"/>
  <c r="N11" i="10"/>
  <c r="M11" i="10"/>
  <c r="N7" i="10"/>
  <c r="N9" i="10"/>
  <c r="N10" i="10"/>
  <c r="N8" i="10"/>
  <c r="BN10" i="5"/>
  <c r="BT8" i="5"/>
  <c r="BN8" i="5"/>
  <c r="BT9" i="5"/>
  <c r="BN11" i="5"/>
  <c r="BT10" i="5"/>
  <c r="BS7" i="5"/>
  <c r="BS8" i="5"/>
  <c r="BS10" i="5"/>
  <c r="BN7" i="5"/>
  <c r="N9" i="12"/>
  <c r="BS11" i="5"/>
  <c r="BO11" i="7"/>
  <c r="BH10" i="5"/>
  <c r="J10" i="5"/>
  <c r="J7" i="5"/>
  <c r="BH7" i="5"/>
  <c r="O11" i="5"/>
  <c r="H7" i="5"/>
  <c r="J8" i="5"/>
  <c r="BH8" i="5"/>
  <c r="BH11" i="5"/>
  <c r="H10" i="5"/>
  <c r="J9" i="5"/>
  <c r="BQ9" i="7"/>
  <c r="O9" i="5"/>
  <c r="O8" i="5"/>
  <c r="O10" i="5"/>
  <c r="N7" i="5"/>
  <c r="BQ10" i="7"/>
  <c r="BL9" i="7"/>
  <c r="BO9" i="7"/>
  <c r="BQ8" i="7"/>
  <c r="BP11" i="7"/>
  <c r="H11" i="5"/>
  <c r="H8" i="5"/>
  <c r="BH10" i="12"/>
  <c r="Q8" i="5"/>
  <c r="V8" i="5"/>
  <c r="Q11" i="5"/>
  <c r="BT10" i="7"/>
  <c r="BD7" i="5"/>
  <c r="BN11" i="7"/>
  <c r="N10" i="5"/>
  <c r="N9" i="5"/>
  <c r="N11" i="5"/>
  <c r="N8" i="5"/>
  <c r="BM9" i="7"/>
  <c r="BI8" i="7"/>
  <c r="N11" i="12"/>
  <c r="BJ8" i="7"/>
  <c r="AS10" i="5"/>
  <c r="BN9" i="11"/>
  <c r="I8" i="11"/>
  <c r="BJ9" i="11"/>
  <c r="N10" i="12"/>
  <c r="AR11" i="5"/>
  <c r="BA7" i="5"/>
  <c r="BJ7" i="7"/>
  <c r="BC11" i="5"/>
  <c r="P11" i="5"/>
  <c r="P9" i="5"/>
  <c r="W8" i="5"/>
  <c r="AD7" i="5"/>
  <c r="T9" i="5"/>
  <c r="BB8" i="5"/>
  <c r="L11" i="5"/>
  <c r="AC10" i="5"/>
  <c r="BA9" i="5"/>
  <c r="I11" i="5"/>
  <c r="S7" i="5"/>
  <c r="I8" i="5"/>
  <c r="BA8" i="5"/>
  <c r="BA11" i="5"/>
  <c r="I10" i="5"/>
  <c r="AI8" i="5"/>
  <c r="BD10" i="5"/>
  <c r="V11" i="5"/>
  <c r="BA10" i="5"/>
  <c r="AC9" i="5"/>
  <c r="BR10" i="5"/>
  <c r="I7" i="5"/>
  <c r="AY11" i="5"/>
  <c r="AC7" i="5"/>
  <c r="AD9" i="5"/>
  <c r="U8" i="5"/>
  <c r="AV9" i="5"/>
  <c r="AK11" i="5"/>
  <c r="L10" i="5"/>
  <c r="AD11" i="5"/>
  <c r="W7" i="5"/>
  <c r="AI9" i="5"/>
  <c r="L8" i="5"/>
  <c r="AD8" i="5"/>
  <c r="BR8" i="5"/>
  <c r="BR11" i="5"/>
  <c r="BF9" i="5"/>
  <c r="T11" i="5"/>
  <c r="BR9" i="5"/>
  <c r="BD9" i="5"/>
  <c r="L9" i="5"/>
  <c r="AC8" i="5"/>
  <c r="Q9" i="5"/>
  <c r="AK8" i="5"/>
  <c r="V10" i="5"/>
  <c r="L7" i="5"/>
  <c r="AC11" i="5"/>
  <c r="Q10" i="5"/>
  <c r="T7" i="5"/>
  <c r="BN7" i="7"/>
  <c r="V7" i="5"/>
  <c r="AY7" i="5"/>
  <c r="Q7" i="5"/>
  <c r="V9" i="5"/>
  <c r="W9" i="5"/>
  <c r="BK9" i="12"/>
  <c r="BF10" i="5"/>
  <c r="BR11" i="12"/>
  <c r="BR8" i="12"/>
  <c r="BS7" i="7"/>
  <c r="BF7" i="5"/>
  <c r="AQ10" i="5"/>
  <c r="BK11" i="12"/>
  <c r="W11" i="5"/>
  <c r="BF11" i="5"/>
  <c r="AG10" i="5"/>
  <c r="L10" i="12"/>
  <c r="BD8" i="5"/>
  <c r="AY8" i="5"/>
  <c r="BF8" i="5"/>
  <c r="BD11" i="5"/>
  <c r="AZ7" i="5"/>
  <c r="AE7" i="5"/>
  <c r="AO8" i="5"/>
  <c r="K10" i="11"/>
  <c r="AE9" i="5"/>
  <c r="AE11" i="5"/>
  <c r="AW10" i="5"/>
  <c r="J10" i="11"/>
  <c r="J7" i="11"/>
  <c r="BO10" i="7"/>
  <c r="T10" i="5"/>
  <c r="AI11" i="5"/>
  <c r="AE10" i="5"/>
  <c r="K8" i="11"/>
  <c r="AE8" i="5"/>
  <c r="T8" i="5"/>
  <c r="AI10" i="5"/>
  <c r="BG9" i="5"/>
  <c r="AM10" i="5"/>
  <c r="AS9" i="5"/>
  <c r="R10" i="5"/>
  <c r="BR7" i="12"/>
  <c r="AA10" i="5"/>
  <c r="AT11" i="5"/>
  <c r="AA7" i="5"/>
  <c r="W10" i="5"/>
  <c r="BB7" i="5"/>
  <c r="AG8" i="5"/>
  <c r="AY10" i="5"/>
  <c r="AX8" i="5"/>
  <c r="K7" i="11"/>
  <c r="BS10" i="7"/>
  <c r="AF9" i="5"/>
  <c r="AX7" i="5"/>
  <c r="BO8" i="11"/>
  <c r="R9" i="5"/>
  <c r="AQ8" i="5"/>
  <c r="X8" i="5"/>
  <c r="AY9" i="5"/>
  <c r="BB11" i="5"/>
  <c r="S11" i="5"/>
  <c r="AK10" i="5"/>
  <c r="AG11" i="5"/>
  <c r="AT10" i="5"/>
  <c r="S8" i="5"/>
  <c r="BB9" i="5"/>
  <c r="AK7" i="5"/>
  <c r="BB10" i="5"/>
  <c r="P7" i="5"/>
  <c r="BO7" i="11"/>
  <c r="AG7" i="5"/>
  <c r="AW7" i="5"/>
  <c r="S10" i="5"/>
  <c r="AK9" i="5"/>
  <c r="AW9" i="5"/>
  <c r="S9" i="5"/>
  <c r="Y7" i="5"/>
  <c r="AG9" i="5"/>
  <c r="AW11" i="5"/>
  <c r="AW8" i="5"/>
  <c r="N8" i="11"/>
  <c r="BO8" i="7"/>
  <c r="N9" i="11"/>
  <c r="AQ7" i="5"/>
  <c r="BM10" i="7"/>
  <c r="BI10" i="12"/>
  <c r="AQ9" i="5"/>
  <c r="K9" i="10"/>
  <c r="N7" i="11"/>
  <c r="BO9" i="11"/>
  <c r="X10" i="5"/>
  <c r="BI10" i="7"/>
  <c r="BM11" i="11"/>
  <c r="K7" i="10"/>
  <c r="BT9" i="7"/>
  <c r="X9" i="5"/>
  <c r="BK11" i="11"/>
  <c r="BL10" i="7"/>
  <c r="AZ9" i="5"/>
  <c r="X7" i="5"/>
  <c r="AO10" i="5"/>
  <c r="AB7" i="5"/>
  <c r="AL7" i="5"/>
  <c r="BE7" i="5"/>
  <c r="AN7" i="5"/>
  <c r="Z8" i="5"/>
  <c r="AV10" i="5"/>
  <c r="AP9" i="5"/>
  <c r="AR8" i="5"/>
  <c r="AZ11" i="5"/>
  <c r="X11" i="5"/>
  <c r="BI11" i="7"/>
  <c r="K8" i="10"/>
  <c r="I11" i="12"/>
  <c r="AZ8" i="5"/>
  <c r="N10" i="11"/>
  <c r="BQ11" i="7"/>
  <c r="AZ10" i="5"/>
  <c r="K11" i="10"/>
  <c r="BH8" i="12"/>
  <c r="AQ11" i="5"/>
  <c r="BH11" i="7"/>
  <c r="AU11" i="5"/>
  <c r="U9" i="5"/>
  <c r="AV7" i="5"/>
  <c r="AR10" i="5"/>
  <c r="AH9" i="5"/>
  <c r="BC8" i="5"/>
  <c r="AV11" i="5"/>
  <c r="AR7" i="5"/>
  <c r="AN10" i="5"/>
  <c r="AM7" i="5"/>
  <c r="AR9" i="5"/>
  <c r="BE11" i="5"/>
  <c r="Z7" i="5"/>
  <c r="Z10" i="5"/>
  <c r="AV8" i="5"/>
  <c r="Z11" i="5"/>
  <c r="AN9" i="5"/>
  <c r="AJ9" i="5"/>
  <c r="Z9" i="5"/>
  <c r="Y9" i="5"/>
  <c r="AB11" i="5"/>
  <c r="AF7" i="5"/>
  <c r="AP8" i="5"/>
  <c r="BC10" i="5"/>
  <c r="AB9" i="5"/>
  <c r="AX11" i="5"/>
  <c r="AL9" i="5"/>
  <c r="AT9" i="5"/>
  <c r="AF10" i="5"/>
  <c r="BG8" i="5"/>
  <c r="AP11" i="5"/>
  <c r="O8" i="10"/>
  <c r="O7" i="10"/>
  <c r="L10" i="11"/>
  <c r="BQ7" i="11"/>
  <c r="BQ8" i="11"/>
  <c r="BQ10" i="11"/>
  <c r="BK9" i="7"/>
  <c r="BL7" i="11"/>
  <c r="BN7" i="12"/>
  <c r="BK8" i="7"/>
  <c r="BH10" i="7"/>
  <c r="BH8" i="7"/>
  <c r="Y11" i="5"/>
  <c r="BC7" i="5"/>
  <c r="Y8" i="5"/>
  <c r="AT8" i="5"/>
  <c r="BE10" i="5"/>
  <c r="AM9" i="5"/>
  <c r="P8" i="5"/>
  <c r="AH11" i="5"/>
  <c r="AP7" i="5"/>
  <c r="AS11" i="5"/>
  <c r="AI7" i="5"/>
  <c r="BQ11" i="12"/>
  <c r="L7" i="11"/>
  <c r="O7" i="12"/>
  <c r="O9" i="10"/>
  <c r="BT8" i="11"/>
  <c r="L11" i="10"/>
  <c r="BI9" i="12"/>
  <c r="BM11" i="12"/>
  <c r="BT9" i="11"/>
  <c r="BQ9" i="12"/>
  <c r="BK8" i="12"/>
  <c r="BN8" i="7"/>
  <c r="AO7" i="5"/>
  <c r="BC9" i="5"/>
  <c r="AN11" i="5"/>
  <c r="BE8" i="5"/>
  <c r="AM11" i="5"/>
  <c r="P10" i="5"/>
  <c r="AH10" i="5"/>
  <c r="AT7" i="5"/>
  <c r="O8" i="11"/>
  <c r="O7" i="11"/>
  <c r="O9" i="11"/>
  <c r="O10" i="11"/>
  <c r="O11" i="11"/>
  <c r="BK7" i="7"/>
  <c r="BK10" i="11"/>
  <c r="N11" i="11"/>
  <c r="BK10" i="12"/>
  <c r="BI8" i="11"/>
  <c r="BO11" i="11"/>
  <c r="BN11" i="12"/>
  <c r="BP8" i="7"/>
  <c r="BN11" i="11"/>
  <c r="BH9" i="12"/>
  <c r="BI7" i="7"/>
  <c r="AN8" i="5"/>
  <c r="AF8" i="5"/>
  <c r="BE9" i="5"/>
  <c r="AM8" i="5"/>
  <c r="AH7" i="5"/>
  <c r="M11" i="11"/>
  <c r="M10" i="11"/>
  <c r="M7" i="11"/>
  <c r="M9" i="11"/>
  <c r="M8" i="11"/>
  <c r="BM8" i="11"/>
  <c r="BJ11" i="7"/>
  <c r="BP9" i="7"/>
  <c r="L9" i="11"/>
  <c r="L8" i="10"/>
  <c r="BI7" i="12"/>
  <c r="I7" i="11"/>
  <c r="BM7" i="11"/>
  <c r="BO7" i="7"/>
  <c r="K8" i="12"/>
  <c r="BL11" i="7"/>
  <c r="AS7" i="5"/>
  <c r="BG11" i="5"/>
  <c r="AB8" i="5"/>
  <c r="AP10" i="5"/>
  <c r="AN8" i="11"/>
  <c r="BG7" i="7"/>
  <c r="BP11" i="11"/>
  <c r="BP8" i="11"/>
  <c r="BP9" i="11"/>
  <c r="BP10" i="11"/>
  <c r="BP7" i="11"/>
  <c r="BL8" i="7"/>
  <c r="BK9" i="11"/>
  <c r="I9" i="12"/>
  <c r="BH11" i="12"/>
  <c r="BH9" i="7"/>
  <c r="BT10" i="11"/>
  <c r="BM10" i="11"/>
  <c r="M10" i="10"/>
  <c r="BJ10" i="7"/>
  <c r="BQ7" i="12"/>
  <c r="O10" i="12"/>
  <c r="BL7" i="7"/>
  <c r="O11" i="12"/>
  <c r="BL11" i="11"/>
  <c r="BH7" i="7"/>
  <c r="BM9" i="12"/>
  <c r="BK11" i="7"/>
  <c r="O10" i="10"/>
  <c r="BJ8" i="11"/>
  <c r="I9" i="11"/>
  <c r="N7" i="12"/>
  <c r="L7" i="10"/>
  <c r="BQ11" i="11"/>
  <c r="BR10" i="12"/>
  <c r="BO8" i="12"/>
  <c r="BO9" i="12"/>
  <c r="BO10" i="12"/>
  <c r="BO7" i="12"/>
  <c r="BO11" i="12"/>
  <c r="BS8" i="7"/>
  <c r="BR9" i="7"/>
  <c r="BR7" i="7"/>
  <c r="BR10" i="7"/>
  <c r="BR8" i="7"/>
  <c r="BR11" i="7"/>
  <c r="BS9" i="7"/>
  <c r="I10" i="12"/>
  <c r="M9" i="10"/>
  <c r="BT11" i="11"/>
  <c r="BP7" i="12"/>
  <c r="BP11" i="12"/>
  <c r="BP8" i="12"/>
  <c r="BP9" i="12"/>
  <c r="BP10" i="12"/>
  <c r="BT7" i="7"/>
  <c r="BN9" i="12"/>
  <c r="BN9" i="7"/>
  <c r="BI7" i="11"/>
  <c r="BM7" i="7"/>
  <c r="BM8" i="12"/>
  <c r="I11" i="11"/>
  <c r="O11" i="10"/>
  <c r="L11" i="11"/>
  <c r="AU8" i="5"/>
  <c r="AB10" i="5"/>
  <c r="U7" i="5"/>
  <c r="AJ7" i="5"/>
  <c r="AL11" i="5"/>
  <c r="AV7" i="7"/>
  <c r="AK10" i="10"/>
  <c r="BN10" i="11"/>
  <c r="BN10" i="7"/>
  <c r="BL10" i="11"/>
  <c r="O9" i="12"/>
  <c r="BS11" i="7"/>
  <c r="BQ9" i="11"/>
  <c r="I7" i="12"/>
  <c r="L11" i="12"/>
  <c r="BT11" i="7"/>
  <c r="BJ7" i="11"/>
  <c r="BI10" i="11"/>
  <c r="J9" i="11"/>
  <c r="AU10" i="5"/>
  <c r="AX10" i="5"/>
  <c r="U11" i="5"/>
  <c r="AJ10" i="5"/>
  <c r="R11" i="5"/>
  <c r="AL8" i="5"/>
  <c r="BK7" i="11"/>
  <c r="L8" i="12"/>
  <c r="L7" i="12"/>
  <c r="M7" i="10"/>
  <c r="BL9" i="11"/>
  <c r="BI11" i="11"/>
  <c r="K10" i="12"/>
  <c r="BJ9" i="7"/>
  <c r="BM7" i="12"/>
  <c r="L10" i="10"/>
  <c r="BJ10" i="11"/>
  <c r="K11" i="11"/>
  <c r="J8" i="11"/>
  <c r="K7" i="12"/>
  <c r="BG10" i="5"/>
  <c r="U10" i="5"/>
  <c r="BG7" i="5"/>
  <c r="Y10" i="5"/>
  <c r="AU7" i="5"/>
  <c r="AO11" i="5"/>
  <c r="AX9" i="5"/>
  <c r="AJ11" i="5"/>
  <c r="R8" i="5"/>
  <c r="AL10" i="5"/>
  <c r="AD10" i="5"/>
  <c r="BQ8" i="12"/>
  <c r="BN8" i="11"/>
  <c r="BP7" i="7"/>
  <c r="M8" i="10"/>
  <c r="BM8" i="7"/>
  <c r="BN10" i="12"/>
  <c r="BI8" i="12"/>
  <c r="AU9" i="5"/>
  <c r="AO9" i="5"/>
  <c r="AJ8" i="5"/>
  <c r="R7" i="5"/>
  <c r="BK10" i="7"/>
  <c r="V10" i="7"/>
  <c r="BN7" i="11"/>
  <c r="BJ9" i="12"/>
  <c r="BJ8" i="12"/>
  <c r="BJ7" i="12"/>
  <c r="BJ11" i="12"/>
  <c r="BJ10" i="12"/>
  <c r="BD10" i="10"/>
  <c r="BD11" i="10"/>
  <c r="BD8" i="10"/>
  <c r="BD9" i="10"/>
  <c r="BD7" i="10"/>
  <c r="K11" i="12"/>
  <c r="AA8" i="5"/>
  <c r="AH10" i="10"/>
  <c r="AH11" i="10"/>
  <c r="AH7" i="10"/>
  <c r="AH9" i="10"/>
  <c r="AH8" i="10"/>
  <c r="AE8" i="7"/>
  <c r="AE10" i="7"/>
  <c r="AE11" i="7"/>
  <c r="AE9" i="7"/>
  <c r="AE7" i="7"/>
  <c r="Y7" i="12"/>
  <c r="Y8" i="12"/>
  <c r="Y10" i="12"/>
  <c r="Y9" i="12"/>
  <c r="Y11" i="12"/>
  <c r="X7" i="7"/>
  <c r="X10" i="7"/>
  <c r="X8" i="7"/>
  <c r="X9" i="7"/>
  <c r="X11" i="7"/>
  <c r="W8" i="7"/>
  <c r="W7" i="7"/>
  <c r="W9" i="7"/>
  <c r="W11" i="7"/>
  <c r="W10" i="7"/>
  <c r="BE10" i="12"/>
  <c r="BE9" i="12"/>
  <c r="BE11" i="12"/>
  <c r="BE7" i="12"/>
  <c r="BE8" i="12"/>
  <c r="BC8" i="9"/>
  <c r="BC10" i="9"/>
  <c r="BC11" i="9"/>
  <c r="BC9" i="9"/>
  <c r="BC7" i="9"/>
  <c r="BL11" i="9"/>
  <c r="BL9" i="9"/>
  <c r="BL10" i="9"/>
  <c r="BL8" i="9"/>
  <c r="BL7" i="9"/>
  <c r="BO8" i="9"/>
  <c r="BO10" i="9"/>
  <c r="BO9" i="9"/>
  <c r="BO7" i="9"/>
  <c r="BO11" i="9"/>
  <c r="AB11" i="9"/>
  <c r="AB9" i="9"/>
  <c r="AB10" i="9"/>
  <c r="AB8" i="9"/>
  <c r="AB7" i="9"/>
  <c r="AS10" i="9"/>
  <c r="AS11" i="9"/>
  <c r="AS9" i="9"/>
  <c r="AS7" i="9"/>
  <c r="AS8" i="9"/>
  <c r="BE9" i="9"/>
  <c r="BE7" i="9"/>
  <c r="BE11" i="9"/>
  <c r="BE10" i="9"/>
  <c r="BE8" i="9"/>
  <c r="AF7" i="12"/>
  <c r="AF9" i="12"/>
  <c r="AF11" i="12"/>
  <c r="AF8" i="12"/>
  <c r="AF10" i="12"/>
  <c r="BA9" i="8"/>
  <c r="BA11" i="8"/>
  <c r="BA8" i="8"/>
  <c r="BA10" i="8"/>
  <c r="BA7" i="8"/>
  <c r="Q11" i="8"/>
  <c r="Q8" i="8"/>
  <c r="Q7" i="8"/>
  <c r="Q10" i="8"/>
  <c r="Q9" i="8"/>
  <c r="X7" i="8"/>
  <c r="X9" i="8"/>
  <c r="X8" i="8"/>
  <c r="X11" i="8"/>
  <c r="X10" i="8"/>
  <c r="H10" i="8"/>
  <c r="H8" i="8"/>
  <c r="H7" i="8"/>
  <c r="H9" i="8"/>
  <c r="H11" i="8"/>
  <c r="K11" i="8"/>
  <c r="K7" i="8"/>
  <c r="K9" i="8"/>
  <c r="K8" i="8"/>
  <c r="K10" i="8"/>
  <c r="AV7" i="10"/>
  <c r="AV8" i="10"/>
  <c r="AV11" i="10"/>
  <c r="AV10" i="10"/>
  <c r="AV9" i="10"/>
  <c r="AR9" i="11"/>
  <c r="AR7" i="11"/>
  <c r="AR8" i="11"/>
  <c r="AR11" i="11"/>
  <c r="AR10" i="11"/>
  <c r="AG11" i="7"/>
  <c r="AG8" i="7"/>
  <c r="AG10" i="7"/>
  <c r="AG7" i="7"/>
  <c r="AG9" i="7"/>
  <c r="S7" i="12"/>
  <c r="S11" i="12"/>
  <c r="S8" i="12"/>
  <c r="S10" i="12"/>
  <c r="S9" i="12"/>
  <c r="AM8" i="10"/>
  <c r="AM11" i="10"/>
  <c r="AM7" i="10"/>
  <c r="AM9" i="10"/>
  <c r="AM10" i="10"/>
  <c r="AU7" i="11"/>
  <c r="AU8" i="11"/>
  <c r="AU9" i="11"/>
  <c r="AU11" i="11"/>
  <c r="AU10" i="11"/>
  <c r="AK11" i="10"/>
  <c r="AV11" i="7"/>
  <c r="BG10" i="12"/>
  <c r="BG7" i="12"/>
  <c r="BG11" i="12"/>
  <c r="BG8" i="12"/>
  <c r="BG9" i="12"/>
  <c r="AZ9" i="12"/>
  <c r="AZ8" i="12"/>
  <c r="AZ7" i="12"/>
  <c r="AZ10" i="12"/>
  <c r="AZ11" i="12"/>
  <c r="BA10" i="11"/>
  <c r="BA7" i="11"/>
  <c r="BA9" i="11"/>
  <c r="BA8" i="11"/>
  <c r="BA11" i="11"/>
  <c r="BA11" i="7"/>
  <c r="BA7" i="7"/>
  <c r="BA8" i="7"/>
  <c r="BA9" i="7"/>
  <c r="BA10" i="7"/>
  <c r="AY8" i="12"/>
  <c r="AY9" i="12"/>
  <c r="AY11" i="12"/>
  <c r="AY10" i="12"/>
  <c r="AY7" i="12"/>
  <c r="X7" i="9"/>
  <c r="X9" i="9"/>
  <c r="X8" i="9"/>
  <c r="X11" i="9"/>
  <c r="X10" i="9"/>
  <c r="AM9" i="9"/>
  <c r="AM11" i="9"/>
  <c r="AM8" i="9"/>
  <c r="AM7" i="9"/>
  <c r="AM10" i="9"/>
  <c r="BS8" i="9"/>
  <c r="BS10" i="9"/>
  <c r="BS7" i="9"/>
  <c r="BS11" i="9"/>
  <c r="BS9" i="9"/>
  <c r="W9" i="9"/>
  <c r="W10" i="9"/>
  <c r="W7" i="9"/>
  <c r="W8" i="9"/>
  <c r="W11" i="9"/>
  <c r="Q9" i="9"/>
  <c r="Q11" i="9"/>
  <c r="Q8" i="9"/>
  <c r="Q7" i="9"/>
  <c r="Q10" i="9"/>
  <c r="BB8" i="9"/>
  <c r="BB10" i="9"/>
  <c r="BB9" i="9"/>
  <c r="BB11" i="9"/>
  <c r="BB7" i="9"/>
  <c r="AN11" i="8"/>
  <c r="AN8" i="8"/>
  <c r="AN7" i="8"/>
  <c r="AN9" i="8"/>
  <c r="AN10" i="8"/>
  <c r="S8" i="8"/>
  <c r="S10" i="8"/>
  <c r="S11" i="8"/>
  <c r="S9" i="8"/>
  <c r="S7" i="8"/>
  <c r="BN10" i="8"/>
  <c r="BN11" i="8"/>
  <c r="BN8" i="8"/>
  <c r="BN7" i="8"/>
  <c r="BN9" i="8"/>
  <c r="AT10" i="8"/>
  <c r="AT7" i="8"/>
  <c r="AT9" i="8"/>
  <c r="AT8" i="8"/>
  <c r="AT11" i="8"/>
  <c r="AR8" i="8"/>
  <c r="AR10" i="8"/>
  <c r="AR11" i="8"/>
  <c r="AR9" i="8"/>
  <c r="AR7" i="8"/>
  <c r="AO8" i="7"/>
  <c r="AO7" i="7"/>
  <c r="AO11" i="7"/>
  <c r="AO10" i="7"/>
  <c r="AO9" i="7"/>
  <c r="AF7" i="10"/>
  <c r="AF10" i="10"/>
  <c r="AF11" i="10"/>
  <c r="AF8" i="10"/>
  <c r="AF9" i="10"/>
  <c r="AO9" i="10"/>
  <c r="AO8" i="10"/>
  <c r="AO11" i="10"/>
  <c r="AO7" i="10"/>
  <c r="AO10" i="10"/>
  <c r="R11" i="7"/>
  <c r="R7" i="7"/>
  <c r="R9" i="7"/>
  <c r="R8" i="7"/>
  <c r="R10" i="7"/>
  <c r="BB7" i="10"/>
  <c r="BB10" i="10"/>
  <c r="BB8" i="10"/>
  <c r="BB9" i="10"/>
  <c r="BB11" i="10"/>
  <c r="R11" i="10"/>
  <c r="R7" i="10"/>
  <c r="R10" i="10"/>
  <c r="R8" i="10"/>
  <c r="R9" i="10"/>
  <c r="AI8" i="12"/>
  <c r="AI7" i="12"/>
  <c r="AI10" i="12"/>
  <c r="AI9" i="12"/>
  <c r="AI11" i="12"/>
  <c r="AK7" i="10"/>
  <c r="AV9" i="7"/>
  <c r="AA9" i="5"/>
  <c r="Q8" i="12"/>
  <c r="Q10" i="12"/>
  <c r="Q9" i="12"/>
  <c r="Q11" i="12"/>
  <c r="Q7" i="12"/>
  <c r="AN7" i="10"/>
  <c r="AN9" i="10"/>
  <c r="AN11" i="10"/>
  <c r="AN10" i="10"/>
  <c r="AN8" i="10"/>
  <c r="X11" i="11"/>
  <c r="X8" i="11"/>
  <c r="X10" i="11"/>
  <c r="X7" i="11"/>
  <c r="X9" i="11"/>
  <c r="AV9" i="12"/>
  <c r="AV8" i="12"/>
  <c r="AV10" i="12"/>
  <c r="AV11" i="12"/>
  <c r="AV7" i="12"/>
  <c r="AE8" i="10"/>
  <c r="AE7" i="10"/>
  <c r="AE11" i="10"/>
  <c r="AE9" i="10"/>
  <c r="AE10" i="10"/>
  <c r="AX10" i="11"/>
  <c r="AX11" i="11"/>
  <c r="AX7" i="11"/>
  <c r="AX9" i="11"/>
  <c r="AX8" i="11"/>
  <c r="AC10" i="7"/>
  <c r="AC9" i="7"/>
  <c r="AC7" i="7"/>
  <c r="AC11" i="7"/>
  <c r="AC8" i="7"/>
  <c r="AS9" i="12"/>
  <c r="AS8" i="12"/>
  <c r="AS10" i="12"/>
  <c r="AS11" i="12"/>
  <c r="AS7" i="12"/>
  <c r="U7" i="9"/>
  <c r="U10" i="9"/>
  <c r="U8" i="9"/>
  <c r="U9" i="9"/>
  <c r="U11" i="9"/>
  <c r="AJ7" i="9"/>
  <c r="AJ9" i="9"/>
  <c r="AJ10" i="9"/>
  <c r="AJ11" i="9"/>
  <c r="AJ8" i="9"/>
  <c r="AT11" i="9"/>
  <c r="AT8" i="9"/>
  <c r="AT10" i="9"/>
  <c r="AT7" i="9"/>
  <c r="AT9" i="9"/>
  <c r="AW7" i="9"/>
  <c r="AW9" i="9"/>
  <c r="AW10" i="9"/>
  <c r="AW11" i="9"/>
  <c r="AW8" i="9"/>
  <c r="AD8" i="9"/>
  <c r="AD9" i="9"/>
  <c r="AD7" i="9"/>
  <c r="AD11" i="9"/>
  <c r="AD10" i="9"/>
  <c r="AU9" i="9"/>
  <c r="AU11" i="9"/>
  <c r="AU8" i="9"/>
  <c r="AU10" i="9"/>
  <c r="AU7" i="9"/>
  <c r="AZ11" i="11"/>
  <c r="AZ9" i="11"/>
  <c r="AZ7" i="11"/>
  <c r="AZ8" i="11"/>
  <c r="AZ10" i="11"/>
  <c r="AL9" i="8"/>
  <c r="AL11" i="8"/>
  <c r="AL10" i="8"/>
  <c r="AL8" i="8"/>
  <c r="AL7" i="8"/>
  <c r="BB8" i="8"/>
  <c r="BB10" i="8"/>
  <c r="BB11" i="8"/>
  <c r="BB9" i="8"/>
  <c r="BB7" i="8"/>
  <c r="L11" i="8"/>
  <c r="L7" i="8"/>
  <c r="L9" i="8"/>
  <c r="L10" i="8"/>
  <c r="L8" i="8"/>
  <c r="AU7" i="8"/>
  <c r="AU9" i="8"/>
  <c r="AU10" i="8"/>
  <c r="AU8" i="8"/>
  <c r="AU11" i="8"/>
  <c r="AV7" i="8"/>
  <c r="AV9" i="8"/>
  <c r="AV10" i="8"/>
  <c r="AV11" i="8"/>
  <c r="AV8" i="8"/>
  <c r="H9" i="7"/>
  <c r="H11" i="7"/>
  <c r="H8" i="7"/>
  <c r="H10" i="7"/>
  <c r="H7" i="7"/>
  <c r="AV11" i="11"/>
  <c r="AV8" i="11"/>
  <c r="AV10" i="11"/>
  <c r="AV9" i="11"/>
  <c r="AV7" i="11"/>
  <c r="AD7" i="10"/>
  <c r="AD8" i="10"/>
  <c r="AD9" i="10"/>
  <c r="AD11" i="10"/>
  <c r="AD10" i="10"/>
  <c r="AP8" i="7"/>
  <c r="AP10" i="7"/>
  <c r="AP11" i="7"/>
  <c r="AP9" i="7"/>
  <c r="AP7" i="7"/>
  <c r="AX11" i="12"/>
  <c r="AX8" i="12"/>
  <c r="AX9" i="12"/>
  <c r="AX10" i="12"/>
  <c r="AX7" i="12"/>
  <c r="AK8" i="10"/>
  <c r="V7" i="7"/>
  <c r="P11" i="12"/>
  <c r="P10" i="12"/>
  <c r="P7" i="12"/>
  <c r="P9" i="12"/>
  <c r="P8" i="12"/>
  <c r="AY11" i="10"/>
  <c r="AY8" i="10"/>
  <c r="AY9" i="10"/>
  <c r="AY10" i="10"/>
  <c r="AY7" i="10"/>
  <c r="Q11" i="7"/>
  <c r="Q10" i="7"/>
  <c r="Q9" i="7"/>
  <c r="Q8" i="7"/>
  <c r="Q7" i="7"/>
  <c r="AW11" i="11"/>
  <c r="AW10" i="11"/>
  <c r="AW9" i="11"/>
  <c r="AW8" i="11"/>
  <c r="AW7" i="11"/>
  <c r="AM10" i="12"/>
  <c r="AM11" i="12"/>
  <c r="AM8" i="12"/>
  <c r="AM7" i="12"/>
  <c r="AM9" i="12"/>
  <c r="AU8" i="12"/>
  <c r="AU11" i="12"/>
  <c r="AU10" i="12"/>
  <c r="AU7" i="12"/>
  <c r="AU9" i="12"/>
  <c r="AL10" i="10"/>
  <c r="AL11" i="10"/>
  <c r="AL7" i="10"/>
  <c r="AL9" i="10"/>
  <c r="AL8" i="10"/>
  <c r="AF7" i="11"/>
  <c r="AF9" i="11"/>
  <c r="AF10" i="11"/>
  <c r="AF11" i="11"/>
  <c r="AF8" i="11"/>
  <c r="AC9" i="11"/>
  <c r="AC11" i="11"/>
  <c r="AC8" i="11"/>
  <c r="AC10" i="11"/>
  <c r="AC7" i="11"/>
  <c r="AB10" i="12"/>
  <c r="AB7" i="12"/>
  <c r="AB11" i="12"/>
  <c r="AB8" i="12"/>
  <c r="AB9" i="12"/>
  <c r="R9" i="12"/>
  <c r="R7" i="12"/>
  <c r="R8" i="12"/>
  <c r="R11" i="12"/>
  <c r="R10" i="12"/>
  <c r="BJ9" i="9"/>
  <c r="BJ11" i="9"/>
  <c r="BJ8" i="9"/>
  <c r="BJ7" i="9"/>
  <c r="BJ10" i="9"/>
  <c r="AV8" i="9"/>
  <c r="AV7" i="9"/>
  <c r="AV9" i="9"/>
  <c r="AV10" i="9"/>
  <c r="AV11" i="9"/>
  <c r="BD8" i="9"/>
  <c r="BD10" i="9"/>
  <c r="BD11" i="9"/>
  <c r="BD9" i="9"/>
  <c r="BD7" i="9"/>
  <c r="AL9" i="9"/>
  <c r="AL11" i="9"/>
  <c r="AL10" i="9"/>
  <c r="AL8" i="9"/>
  <c r="AL7" i="9"/>
  <c r="AQ8" i="9"/>
  <c r="AQ10" i="9"/>
  <c r="AQ11" i="9"/>
  <c r="AQ7" i="9"/>
  <c r="AQ9" i="9"/>
  <c r="J8" i="9"/>
  <c r="J10" i="9"/>
  <c r="J7" i="9"/>
  <c r="J9" i="9"/>
  <c r="J11" i="9"/>
  <c r="AY9" i="11"/>
  <c r="AY11" i="11"/>
  <c r="AY8" i="11"/>
  <c r="AY7" i="11"/>
  <c r="AY10" i="11"/>
  <c r="BC8" i="8"/>
  <c r="BC10" i="8"/>
  <c r="BC11" i="8"/>
  <c r="BC7" i="8"/>
  <c r="BC9" i="8"/>
  <c r="AP10" i="8"/>
  <c r="AP11" i="8"/>
  <c r="AP9" i="8"/>
  <c r="AP7" i="8"/>
  <c r="AP8" i="8"/>
  <c r="BF10" i="8"/>
  <c r="BF7" i="8"/>
  <c r="BF8" i="8"/>
  <c r="BF11" i="8"/>
  <c r="BF9" i="8"/>
  <c r="BI7" i="8"/>
  <c r="BI9" i="8"/>
  <c r="BI11" i="8"/>
  <c r="BI8" i="8"/>
  <c r="BI10" i="8"/>
  <c r="BE10" i="8"/>
  <c r="BE11" i="8"/>
  <c r="BE9" i="8"/>
  <c r="BE7" i="8"/>
  <c r="BE8" i="8"/>
  <c r="D3" i="2"/>
  <c r="AJ11" i="11"/>
  <c r="AJ8" i="11"/>
  <c r="AJ10" i="11"/>
  <c r="AJ9" i="11"/>
  <c r="AJ7" i="11"/>
  <c r="U7" i="11"/>
  <c r="U9" i="11"/>
  <c r="U11" i="11"/>
  <c r="U8" i="11"/>
  <c r="U10" i="11"/>
  <c r="AG10" i="12"/>
  <c r="AG9" i="12"/>
  <c r="AG11" i="12"/>
  <c r="AG8" i="12"/>
  <c r="AG7" i="12"/>
  <c r="AC11" i="10"/>
  <c r="AC9" i="10"/>
  <c r="AC7" i="10"/>
  <c r="AC8" i="10"/>
  <c r="AC10" i="10"/>
  <c r="AS10" i="7"/>
  <c r="AS7" i="7"/>
  <c r="AS9" i="7"/>
  <c r="AS11" i="7"/>
  <c r="AS8" i="7"/>
  <c r="O10" i="7"/>
  <c r="O9" i="7"/>
  <c r="O11" i="7"/>
  <c r="O8" i="7"/>
  <c r="O7" i="7"/>
  <c r="Z8" i="11"/>
  <c r="Z10" i="11"/>
  <c r="Z9" i="11"/>
  <c r="Z11" i="11"/>
  <c r="Z7" i="11"/>
  <c r="AK9" i="10"/>
  <c r="V8" i="7"/>
  <c r="AS8" i="5"/>
  <c r="AA11" i="5"/>
  <c r="AL9" i="7"/>
  <c r="AL8" i="7"/>
  <c r="AL7" i="7"/>
  <c r="AL11" i="7"/>
  <c r="AL10" i="7"/>
  <c r="AU11" i="10"/>
  <c r="AU9" i="10"/>
  <c r="AU7" i="10"/>
  <c r="AU8" i="10"/>
  <c r="AU10" i="10"/>
  <c r="AR7" i="12"/>
  <c r="AR11" i="12"/>
  <c r="AR9" i="12"/>
  <c r="AR8" i="12"/>
  <c r="AR10" i="12"/>
  <c r="AD9" i="12"/>
  <c r="AD11" i="12"/>
  <c r="AD7" i="12"/>
  <c r="AD8" i="12"/>
  <c r="AD10" i="12"/>
  <c r="BE9" i="7"/>
  <c r="BE8" i="7"/>
  <c r="BE11" i="7"/>
  <c r="BE10" i="7"/>
  <c r="BE7" i="7"/>
  <c r="W11" i="12"/>
  <c r="W10" i="12"/>
  <c r="W8" i="12"/>
  <c r="W9" i="12"/>
  <c r="W7" i="12"/>
  <c r="BE7" i="11"/>
  <c r="BE9" i="11"/>
  <c r="BE11" i="11"/>
  <c r="BE8" i="11"/>
  <c r="BE10" i="11"/>
  <c r="BA11" i="10"/>
  <c r="BA10" i="10"/>
  <c r="BA8" i="10"/>
  <c r="BA9" i="10"/>
  <c r="BA7" i="10"/>
  <c r="AS10" i="10"/>
  <c r="AS9" i="10"/>
  <c r="AS11" i="10"/>
  <c r="AS8" i="10"/>
  <c r="AS7" i="10"/>
  <c r="AG7" i="11"/>
  <c r="AG9" i="11"/>
  <c r="AG11" i="11"/>
  <c r="AG10" i="11"/>
  <c r="AG8" i="11"/>
  <c r="AO11" i="9"/>
  <c r="AO8" i="9"/>
  <c r="AO9" i="9"/>
  <c r="AO10" i="9"/>
  <c r="AO7" i="9"/>
  <c r="AY9" i="9"/>
  <c r="AY11" i="9"/>
  <c r="AY7" i="9"/>
  <c r="AY10" i="9"/>
  <c r="AY8" i="9"/>
  <c r="BA7" i="9"/>
  <c r="BA10" i="9"/>
  <c r="BA9" i="9"/>
  <c r="BA11" i="9"/>
  <c r="BA8" i="9"/>
  <c r="L7" i="9"/>
  <c r="L9" i="9"/>
  <c r="L10" i="9"/>
  <c r="L11" i="9"/>
  <c r="L8" i="9"/>
  <c r="AC11" i="9"/>
  <c r="AC8" i="9"/>
  <c r="AC9" i="9"/>
  <c r="AC7" i="9"/>
  <c r="AC10" i="9"/>
  <c r="BP8" i="9"/>
  <c r="BP10" i="9"/>
  <c r="BP7" i="9"/>
  <c r="BP9" i="9"/>
  <c r="BP11" i="9"/>
  <c r="Z9" i="7"/>
  <c r="Z8" i="7"/>
  <c r="Z10" i="7"/>
  <c r="Z7" i="7"/>
  <c r="Z11" i="7"/>
  <c r="AO7" i="11"/>
  <c r="AO9" i="11"/>
  <c r="AO8" i="11"/>
  <c r="AO11" i="11"/>
  <c r="AO10" i="11"/>
  <c r="AB11" i="10"/>
  <c r="AB10" i="10"/>
  <c r="AB9" i="10"/>
  <c r="AB8" i="10"/>
  <c r="AB7" i="10"/>
  <c r="AO10" i="8"/>
  <c r="AO9" i="8"/>
  <c r="AO11" i="8"/>
  <c r="AO7" i="8"/>
  <c r="AO8" i="8"/>
  <c r="U9" i="8"/>
  <c r="U8" i="8"/>
  <c r="U7" i="8"/>
  <c r="U10" i="8"/>
  <c r="U11" i="8"/>
  <c r="BO8" i="8"/>
  <c r="BO10" i="8"/>
  <c r="BO9" i="8"/>
  <c r="BO7" i="8"/>
  <c r="BO11" i="8"/>
  <c r="BH7" i="8"/>
  <c r="BH9" i="8"/>
  <c r="BH8" i="8"/>
  <c r="BH11" i="8"/>
  <c r="BH10" i="8"/>
  <c r="AY9" i="8"/>
  <c r="AY11" i="8"/>
  <c r="AY10" i="8"/>
  <c r="AY7" i="8"/>
  <c r="AY8" i="8"/>
  <c r="AI7" i="11"/>
  <c r="AI8" i="11"/>
  <c r="AI10" i="11"/>
  <c r="AI9" i="11"/>
  <c r="AI11" i="11"/>
  <c r="V11" i="11"/>
  <c r="V9" i="11"/>
  <c r="V8" i="11"/>
  <c r="V7" i="11"/>
  <c r="V10" i="11"/>
  <c r="AJ11" i="12"/>
  <c r="AJ7" i="12"/>
  <c r="AJ9" i="12"/>
  <c r="AJ8" i="12"/>
  <c r="AJ10" i="12"/>
  <c r="Z7" i="10"/>
  <c r="Z11" i="10"/>
  <c r="Z10" i="10"/>
  <c r="Z9" i="10"/>
  <c r="Z8" i="10"/>
  <c r="X8" i="10"/>
  <c r="X7" i="10"/>
  <c r="X11" i="10"/>
  <c r="X10" i="10"/>
  <c r="X9" i="10"/>
  <c r="AK11" i="7"/>
  <c r="AK10" i="7"/>
  <c r="AK8" i="7"/>
  <c r="AK7" i="7"/>
  <c r="AK9" i="7"/>
  <c r="AN9" i="11"/>
  <c r="V11" i="7"/>
  <c r="AM9" i="7"/>
  <c r="AM11" i="7"/>
  <c r="AM7" i="7"/>
  <c r="AM10" i="7"/>
  <c r="AM8" i="7"/>
  <c r="AD8" i="7"/>
  <c r="AD10" i="7"/>
  <c r="AD7" i="7"/>
  <c r="AD9" i="7"/>
  <c r="AD11" i="7"/>
  <c r="AK11" i="11"/>
  <c r="AK9" i="11"/>
  <c r="AK8" i="11"/>
  <c r="AK7" i="11"/>
  <c r="AK10" i="11"/>
  <c r="AQ8" i="12"/>
  <c r="AQ11" i="12"/>
  <c r="AQ10" i="12"/>
  <c r="AQ9" i="12"/>
  <c r="AQ7" i="12"/>
  <c r="AP10" i="11"/>
  <c r="AP8" i="11"/>
  <c r="AP7" i="11"/>
  <c r="AP9" i="11"/>
  <c r="AP11" i="11"/>
  <c r="T7" i="12"/>
  <c r="T8" i="12"/>
  <c r="T9" i="12"/>
  <c r="T11" i="12"/>
  <c r="T10" i="12"/>
  <c r="O9" i="9"/>
  <c r="O11" i="9"/>
  <c r="O7" i="9"/>
  <c r="O10" i="9"/>
  <c r="O8" i="9"/>
  <c r="AG11" i="9"/>
  <c r="AG10" i="9"/>
  <c r="AG7" i="9"/>
  <c r="AG9" i="9"/>
  <c r="AG8" i="9"/>
  <c r="N9" i="9"/>
  <c r="N11" i="9"/>
  <c r="N7" i="9"/>
  <c r="N8" i="9"/>
  <c r="N10" i="9"/>
  <c r="BQ7" i="9"/>
  <c r="BQ11" i="9"/>
  <c r="BQ8" i="9"/>
  <c r="BQ9" i="9"/>
  <c r="BQ10" i="9"/>
  <c r="AR8" i="9"/>
  <c r="AR10" i="9"/>
  <c r="AR9" i="9"/>
  <c r="AR7" i="9"/>
  <c r="AR11" i="9"/>
  <c r="AZ8" i="7"/>
  <c r="AZ10" i="7"/>
  <c r="AZ9" i="7"/>
  <c r="AZ7" i="7"/>
  <c r="AZ11" i="7"/>
  <c r="AP11" i="10"/>
  <c r="AP9" i="10"/>
  <c r="AP10" i="10"/>
  <c r="AP8" i="10"/>
  <c r="AP7" i="10"/>
  <c r="AQ11" i="11"/>
  <c r="AQ9" i="11"/>
  <c r="AQ10" i="11"/>
  <c r="AQ8" i="11"/>
  <c r="AQ7" i="11"/>
  <c r="S8" i="10"/>
  <c r="S7" i="10"/>
  <c r="S9" i="10"/>
  <c r="S11" i="10"/>
  <c r="S10" i="10"/>
  <c r="AD10" i="8"/>
  <c r="AD11" i="8"/>
  <c r="AD8" i="8"/>
  <c r="AD9" i="8"/>
  <c r="AD7" i="8"/>
  <c r="AB11" i="8"/>
  <c r="AB9" i="8"/>
  <c r="AB10" i="8"/>
  <c r="AB8" i="8"/>
  <c r="AB7" i="8"/>
  <c r="M11" i="8"/>
  <c r="M8" i="8"/>
  <c r="M7" i="8"/>
  <c r="M9" i="8"/>
  <c r="M10" i="8"/>
  <c r="AH10" i="8"/>
  <c r="AH7" i="8"/>
  <c r="AH8" i="8"/>
  <c r="AH11" i="8"/>
  <c r="AH9" i="8"/>
  <c r="T9" i="8"/>
  <c r="T8" i="8"/>
  <c r="T10" i="8"/>
  <c r="T11" i="8"/>
  <c r="T7" i="8"/>
  <c r="BS7" i="8"/>
  <c r="BS10" i="8"/>
  <c r="BS11" i="8"/>
  <c r="BS9" i="8"/>
  <c r="BS8" i="8"/>
  <c r="AZ8" i="10"/>
  <c r="AZ11" i="10"/>
  <c r="AZ10" i="10"/>
  <c r="AZ9" i="10"/>
  <c r="AZ7" i="10"/>
  <c r="U9" i="10"/>
  <c r="U8" i="10"/>
  <c r="U11" i="10"/>
  <c r="U7" i="10"/>
  <c r="U10" i="10"/>
  <c r="U10" i="12"/>
  <c r="U8" i="12"/>
  <c r="U11" i="12"/>
  <c r="U7" i="12"/>
  <c r="U9" i="12"/>
  <c r="BB10" i="11"/>
  <c r="BB9" i="11"/>
  <c r="BB7" i="11"/>
  <c r="BB11" i="11"/>
  <c r="BB8" i="11"/>
  <c r="BB8" i="12"/>
  <c r="BB7" i="12"/>
  <c r="BB11" i="12"/>
  <c r="BB9" i="12"/>
  <c r="BB10" i="12"/>
  <c r="BD7" i="12"/>
  <c r="BD8" i="12"/>
  <c r="BD9" i="12"/>
  <c r="BD10" i="12"/>
  <c r="BD11" i="12"/>
  <c r="AI11" i="7"/>
  <c r="AI8" i="7"/>
  <c r="AI10" i="7"/>
  <c r="AI7" i="7"/>
  <c r="AI9" i="7"/>
  <c r="AG8" i="10"/>
  <c r="AG10" i="10"/>
  <c r="AG9" i="10"/>
  <c r="AG7" i="10"/>
  <c r="AG11" i="10"/>
  <c r="AN11" i="11"/>
  <c r="V9" i="7"/>
  <c r="AW10" i="7"/>
  <c r="AW7" i="7"/>
  <c r="AW9" i="7"/>
  <c r="AW11" i="7"/>
  <c r="AW8" i="7"/>
  <c r="V10" i="10"/>
  <c r="V11" i="10"/>
  <c r="V8" i="10"/>
  <c r="V7" i="10"/>
  <c r="V9" i="10"/>
  <c r="Y11" i="11"/>
  <c r="Y8" i="11"/>
  <c r="Y9" i="11"/>
  <c r="Y7" i="11"/>
  <c r="Y10" i="11"/>
  <c r="V9" i="12"/>
  <c r="V8" i="12"/>
  <c r="V10" i="12"/>
  <c r="V11" i="12"/>
  <c r="V7" i="12"/>
  <c r="P10" i="7"/>
  <c r="P7" i="7"/>
  <c r="P8" i="7"/>
  <c r="P11" i="7"/>
  <c r="P9" i="7"/>
  <c r="AT8" i="12"/>
  <c r="AT9" i="12"/>
  <c r="AT10" i="12"/>
  <c r="AT11" i="12"/>
  <c r="AT7" i="12"/>
  <c r="AJ9" i="7"/>
  <c r="AJ7" i="7"/>
  <c r="AJ11" i="7"/>
  <c r="AJ8" i="7"/>
  <c r="AJ10" i="7"/>
  <c r="W9" i="11"/>
  <c r="W11" i="11"/>
  <c r="W7" i="11"/>
  <c r="W10" i="11"/>
  <c r="W8" i="11"/>
  <c r="AE7" i="11"/>
  <c r="AE9" i="11"/>
  <c r="AE11" i="11"/>
  <c r="AE10" i="11"/>
  <c r="AE8" i="11"/>
  <c r="Y7" i="9"/>
  <c r="Y9" i="9"/>
  <c r="Y11" i="9"/>
  <c r="Y10" i="9"/>
  <c r="Y8" i="9"/>
  <c r="V8" i="9"/>
  <c r="V11" i="9"/>
  <c r="V9" i="9"/>
  <c r="V10" i="9"/>
  <c r="V7" i="9"/>
  <c r="AF8" i="9"/>
  <c r="AF10" i="9"/>
  <c r="AF7" i="9"/>
  <c r="AF9" i="9"/>
  <c r="AF11" i="9"/>
  <c r="AN11" i="9"/>
  <c r="AN8" i="9"/>
  <c r="AN7" i="9"/>
  <c r="AN9" i="9"/>
  <c r="AN10" i="9"/>
  <c r="BT7" i="9"/>
  <c r="BT9" i="9"/>
  <c r="BT10" i="9"/>
  <c r="BT8" i="9"/>
  <c r="BT11" i="9"/>
  <c r="AT10" i="10"/>
  <c r="AT11" i="10"/>
  <c r="AT9" i="10"/>
  <c r="AT8" i="10"/>
  <c r="AT7" i="10"/>
  <c r="AD7" i="11"/>
  <c r="AD8" i="11"/>
  <c r="AD10" i="11"/>
  <c r="AD11" i="11"/>
  <c r="AD9" i="11"/>
  <c r="R9" i="8"/>
  <c r="R8" i="8"/>
  <c r="R10" i="8"/>
  <c r="R11" i="8"/>
  <c r="R7" i="8"/>
  <c r="Z9" i="8"/>
  <c r="Z11" i="8"/>
  <c r="Z10" i="8"/>
  <c r="Z7" i="8"/>
  <c r="Z8" i="8"/>
  <c r="Y8" i="8"/>
  <c r="Y7" i="8"/>
  <c r="Y9" i="8"/>
  <c r="Y11" i="8"/>
  <c r="Y10" i="8"/>
  <c r="AI7" i="8"/>
  <c r="AI10" i="8"/>
  <c r="AI11" i="8"/>
  <c r="AI9" i="8"/>
  <c r="AI8" i="8"/>
  <c r="J10" i="8"/>
  <c r="J7" i="8"/>
  <c r="J9" i="8"/>
  <c r="J11" i="8"/>
  <c r="J8" i="8"/>
  <c r="AF8" i="8"/>
  <c r="AF10" i="8"/>
  <c r="AF7" i="8"/>
  <c r="AF9" i="8"/>
  <c r="AF11" i="8"/>
  <c r="BC7" i="10"/>
  <c r="BC9" i="10"/>
  <c r="BC10" i="10"/>
  <c r="BC11" i="10"/>
  <c r="BC8" i="10"/>
  <c r="BC11" i="12"/>
  <c r="BC8" i="12"/>
  <c r="BC7" i="12"/>
  <c r="BC9" i="12"/>
  <c r="BC10" i="12"/>
  <c r="AX9" i="7"/>
  <c r="AX8" i="7"/>
  <c r="AX7" i="7"/>
  <c r="AX10" i="7"/>
  <c r="AX11" i="7"/>
  <c r="AA11" i="12"/>
  <c r="AA8" i="12"/>
  <c r="AA7" i="12"/>
  <c r="AA10" i="12"/>
  <c r="AA9" i="12"/>
  <c r="BA10" i="12"/>
  <c r="BA11" i="12"/>
  <c r="BA8" i="12"/>
  <c r="BA7" i="12"/>
  <c r="BA9" i="12"/>
  <c r="AY9" i="7"/>
  <c r="AY11" i="7"/>
  <c r="AY8" i="7"/>
  <c r="AY7" i="7"/>
  <c r="AY10" i="7"/>
  <c r="AN7" i="11"/>
  <c r="X11" i="12"/>
  <c r="X10" i="12"/>
  <c r="X8" i="12"/>
  <c r="X7" i="12"/>
  <c r="X9" i="12"/>
  <c r="AA11" i="7"/>
  <c r="AA10" i="7"/>
  <c r="AA8" i="7"/>
  <c r="AA7" i="7"/>
  <c r="AA9" i="7"/>
  <c r="AJ9" i="10"/>
  <c r="AJ11" i="10"/>
  <c r="AJ7" i="10"/>
  <c r="AJ10" i="10"/>
  <c r="AJ8" i="10"/>
  <c r="M8" i="7"/>
  <c r="M10" i="7"/>
  <c r="M7" i="7"/>
  <c r="M9" i="7"/>
  <c r="M11" i="7"/>
  <c r="T11" i="7"/>
  <c r="T9" i="7"/>
  <c r="T8" i="7"/>
  <c r="T7" i="7"/>
  <c r="T10" i="7"/>
  <c r="AH7" i="7"/>
  <c r="AH10" i="7"/>
  <c r="AH11" i="7"/>
  <c r="AH8" i="7"/>
  <c r="AH9" i="7"/>
  <c r="P11" i="10"/>
  <c r="P10" i="10"/>
  <c r="P8" i="10"/>
  <c r="P9" i="10"/>
  <c r="P7" i="10"/>
  <c r="BF9" i="11"/>
  <c r="BF8" i="11"/>
  <c r="BF11" i="11"/>
  <c r="BF7" i="11"/>
  <c r="BF10" i="11"/>
  <c r="BN8" i="9"/>
  <c r="BN9" i="9"/>
  <c r="BN7" i="9"/>
  <c r="BN10" i="9"/>
  <c r="BN11" i="9"/>
  <c r="AH9" i="9"/>
  <c r="AH11" i="9"/>
  <c r="AH10" i="9"/>
  <c r="AH7" i="9"/>
  <c r="AH8" i="9"/>
  <c r="AP8" i="9"/>
  <c r="AP11" i="9"/>
  <c r="AP10" i="9"/>
  <c r="AP7" i="9"/>
  <c r="AP9" i="9"/>
  <c r="I10" i="9"/>
  <c r="I11" i="9"/>
  <c r="I9" i="9"/>
  <c r="I8" i="9"/>
  <c r="I7" i="9"/>
  <c r="BG7" i="9"/>
  <c r="BG8" i="9"/>
  <c r="BG11" i="9"/>
  <c r="BG9" i="9"/>
  <c r="BG10" i="9"/>
  <c r="BL11" i="8"/>
  <c r="BL9" i="8"/>
  <c r="BL10" i="8"/>
  <c r="BL8" i="8"/>
  <c r="BL7" i="8"/>
  <c r="AQ8" i="8"/>
  <c r="AQ11" i="8"/>
  <c r="AQ9" i="8"/>
  <c r="AQ10" i="8"/>
  <c r="AQ7" i="8"/>
  <c r="AM9" i="8"/>
  <c r="AM11" i="8"/>
  <c r="AM8" i="8"/>
  <c r="AM10" i="8"/>
  <c r="AM7" i="8"/>
  <c r="BQ9" i="8"/>
  <c r="BQ10" i="8"/>
  <c r="BQ7" i="8"/>
  <c r="BQ8" i="8"/>
  <c r="BQ11" i="8"/>
  <c r="I11" i="8"/>
  <c r="I8" i="8"/>
  <c r="I10" i="8"/>
  <c r="I7" i="8"/>
  <c r="I9" i="8"/>
  <c r="AG10" i="8"/>
  <c r="AG7" i="8"/>
  <c r="AG11" i="8"/>
  <c r="AG8" i="8"/>
  <c r="AG9" i="8"/>
  <c r="AC10" i="12"/>
  <c r="AC11" i="12"/>
  <c r="AC9" i="12"/>
  <c r="AC8" i="12"/>
  <c r="AC7" i="12"/>
  <c r="P8" i="11"/>
  <c r="P10" i="11"/>
  <c r="P9" i="11"/>
  <c r="P11" i="11"/>
  <c r="P7" i="11"/>
  <c r="BF9" i="7"/>
  <c r="BF10" i="7"/>
  <c r="BF11" i="7"/>
  <c r="BF8" i="7"/>
  <c r="BF7" i="7"/>
  <c r="BC8" i="7"/>
  <c r="BC7" i="7"/>
  <c r="BC11" i="7"/>
  <c r="BC10" i="7"/>
  <c r="BC9" i="7"/>
  <c r="T11" i="10"/>
  <c r="T10" i="10"/>
  <c r="T7" i="10"/>
  <c r="T8" i="10"/>
  <c r="T9" i="10"/>
  <c r="AA8" i="11"/>
  <c r="AA7" i="11"/>
  <c r="AA11" i="11"/>
  <c r="AA9" i="11"/>
  <c r="AA10" i="11"/>
  <c r="AL8" i="12"/>
  <c r="AL7" i="12"/>
  <c r="AL10" i="12"/>
  <c r="AL9" i="12"/>
  <c r="AL11" i="12"/>
  <c r="AN10" i="11"/>
  <c r="BG8" i="7"/>
  <c r="BD9" i="8"/>
  <c r="BD7" i="8"/>
  <c r="BD8" i="8"/>
  <c r="BD10" i="8"/>
  <c r="BD11" i="8"/>
  <c r="Y9" i="7"/>
  <c r="Y11" i="7"/>
  <c r="Y7" i="7"/>
  <c r="Y8" i="7"/>
  <c r="Y10" i="7"/>
  <c r="U11" i="7"/>
  <c r="U8" i="7"/>
  <c r="U10" i="7"/>
  <c r="U7" i="7"/>
  <c r="U9" i="7"/>
  <c r="K7" i="7"/>
  <c r="K9" i="7"/>
  <c r="K11" i="7"/>
  <c r="K10" i="7"/>
  <c r="K8" i="7"/>
  <c r="I10" i="7"/>
  <c r="I7" i="7"/>
  <c r="I9" i="7"/>
  <c r="I8" i="7"/>
  <c r="I11" i="7"/>
  <c r="AA9" i="9"/>
  <c r="AA11" i="9"/>
  <c r="AA7" i="9"/>
  <c r="AA10" i="9"/>
  <c r="AA8" i="9"/>
  <c r="BK9" i="9"/>
  <c r="BK11" i="9"/>
  <c r="BK7" i="9"/>
  <c r="BK8" i="9"/>
  <c r="BK10" i="9"/>
  <c r="AK7" i="9"/>
  <c r="AK9" i="9"/>
  <c r="AK10" i="9"/>
  <c r="AK8" i="9"/>
  <c r="AK11" i="9"/>
  <c r="AI7" i="9"/>
  <c r="AI10" i="9"/>
  <c r="AI11" i="9"/>
  <c r="AI8" i="9"/>
  <c r="AI9" i="9"/>
  <c r="BF7" i="9"/>
  <c r="BF8" i="9"/>
  <c r="BF11" i="9"/>
  <c r="BF9" i="9"/>
  <c r="BF10" i="9"/>
  <c r="BG9" i="11"/>
  <c r="BG11" i="11"/>
  <c r="BG8" i="11"/>
  <c r="BG7" i="11"/>
  <c r="BG10" i="11"/>
  <c r="BJ11" i="8"/>
  <c r="BJ7" i="8"/>
  <c r="BJ10" i="8"/>
  <c r="BJ8" i="8"/>
  <c r="BJ9" i="8"/>
  <c r="AC11" i="8"/>
  <c r="AC8" i="8"/>
  <c r="AC9" i="8"/>
  <c r="AC7" i="8"/>
  <c r="AC10" i="8"/>
  <c r="AK11" i="8"/>
  <c r="AK7" i="8"/>
  <c r="AK9" i="8"/>
  <c r="AK10" i="8"/>
  <c r="AK8" i="8"/>
  <c r="BG11" i="8"/>
  <c r="BG10" i="8"/>
  <c r="BG7" i="8"/>
  <c r="BG9" i="8"/>
  <c r="BG8" i="8"/>
  <c r="V10" i="8"/>
  <c r="V7" i="8"/>
  <c r="V8" i="8"/>
  <c r="V11" i="8"/>
  <c r="V9" i="8"/>
  <c r="BT7" i="8"/>
  <c r="BT9" i="8"/>
  <c r="BT10" i="8"/>
  <c r="BT8" i="8"/>
  <c r="BT11" i="8"/>
  <c r="BB8" i="7"/>
  <c r="BB10" i="7"/>
  <c r="BB9" i="7"/>
  <c r="BB7" i="7"/>
  <c r="BB11" i="7"/>
  <c r="AP9" i="12"/>
  <c r="AP8" i="12"/>
  <c r="AP10" i="12"/>
  <c r="AP11" i="12"/>
  <c r="AP7" i="12"/>
  <c r="Y10" i="10"/>
  <c r="Y9" i="10"/>
  <c r="Y8" i="10"/>
  <c r="Y11" i="10"/>
  <c r="Y7" i="10"/>
  <c r="AH9" i="12"/>
  <c r="AH10" i="12"/>
  <c r="AH11" i="12"/>
  <c r="AH8" i="12"/>
  <c r="AH7" i="12"/>
  <c r="AF10" i="7"/>
  <c r="AF7" i="7"/>
  <c r="AF9" i="7"/>
  <c r="AF11" i="7"/>
  <c r="AF8" i="7"/>
  <c r="BC7" i="11"/>
  <c r="BC9" i="11"/>
  <c r="BC11" i="11"/>
  <c r="BC10" i="11"/>
  <c r="BC8" i="11"/>
  <c r="T11" i="11"/>
  <c r="T9" i="11"/>
  <c r="T10" i="11"/>
  <c r="T7" i="11"/>
  <c r="T8" i="11"/>
  <c r="BG10" i="7"/>
  <c r="AF11" i="5"/>
  <c r="Q10" i="11"/>
  <c r="Q7" i="11"/>
  <c r="Q9" i="11"/>
  <c r="Q11" i="11"/>
  <c r="Q8" i="11"/>
  <c r="AR7" i="7"/>
  <c r="AR8" i="7"/>
  <c r="AR10" i="7"/>
  <c r="AR11" i="7"/>
  <c r="AR9" i="7"/>
  <c r="AM8" i="11"/>
  <c r="AM7" i="11"/>
  <c r="AM9" i="11"/>
  <c r="AM10" i="11"/>
  <c r="AM11" i="11"/>
  <c r="AX7" i="10"/>
  <c r="AX10" i="10"/>
  <c r="AX11" i="10"/>
  <c r="AX9" i="10"/>
  <c r="AX8" i="10"/>
  <c r="L7" i="7"/>
  <c r="L8" i="7"/>
  <c r="L11" i="7"/>
  <c r="L9" i="7"/>
  <c r="L10" i="7"/>
  <c r="K7" i="9"/>
  <c r="K9" i="9"/>
  <c r="K11" i="9"/>
  <c r="K10" i="9"/>
  <c r="K8" i="9"/>
  <c r="H8" i="9"/>
  <c r="H10" i="9"/>
  <c r="H11" i="9"/>
  <c r="H9" i="9"/>
  <c r="H7" i="9"/>
  <c r="BM11" i="9"/>
  <c r="BM8" i="9"/>
  <c r="BM9" i="9"/>
  <c r="BM7" i="9"/>
  <c r="BM10" i="9"/>
  <c r="AX8" i="9"/>
  <c r="AX10" i="9"/>
  <c r="AX9" i="9"/>
  <c r="AX11" i="9"/>
  <c r="AX7" i="9"/>
  <c r="BI10" i="9"/>
  <c r="BI8" i="9"/>
  <c r="BI7" i="9"/>
  <c r="BI9" i="9"/>
  <c r="BI11" i="9"/>
  <c r="BD7" i="11"/>
  <c r="BD10" i="11"/>
  <c r="BD9" i="11"/>
  <c r="BD11" i="11"/>
  <c r="BD8" i="11"/>
  <c r="BM7" i="8"/>
  <c r="BM8" i="8"/>
  <c r="BM9" i="8"/>
  <c r="BM11" i="8"/>
  <c r="BM10" i="8"/>
  <c r="P9" i="8"/>
  <c r="P11" i="8"/>
  <c r="P10" i="8"/>
  <c r="P7" i="8"/>
  <c r="P8" i="8"/>
  <c r="AA7" i="8"/>
  <c r="AA10" i="8"/>
  <c r="AA8" i="8"/>
  <c r="AA9" i="8"/>
  <c r="AA11" i="8"/>
  <c r="AJ7" i="8"/>
  <c r="AJ9" i="8"/>
  <c r="AJ10" i="8"/>
  <c r="AJ8" i="8"/>
  <c r="AJ11" i="8"/>
  <c r="BK9" i="8"/>
  <c r="BK11" i="8"/>
  <c r="BK7" i="8"/>
  <c r="BK10" i="8"/>
  <c r="BK8" i="8"/>
  <c r="AB11" i="7"/>
  <c r="AB8" i="7"/>
  <c r="AB10" i="7"/>
  <c r="AB9" i="7"/>
  <c r="AB7" i="7"/>
  <c r="S8" i="7"/>
  <c r="S7" i="7"/>
  <c r="S11" i="7"/>
  <c r="S10" i="7"/>
  <c r="S9" i="7"/>
  <c r="AB8" i="11"/>
  <c r="AB10" i="11"/>
  <c r="AB11" i="11"/>
  <c r="AB7" i="11"/>
  <c r="AB9" i="11"/>
  <c r="AK8" i="12"/>
  <c r="AK10" i="12"/>
  <c r="AK9" i="12"/>
  <c r="AK7" i="12"/>
  <c r="AK11" i="12"/>
  <c r="BF8" i="12"/>
  <c r="BF7" i="12"/>
  <c r="BF9" i="12"/>
  <c r="BF10" i="12"/>
  <c r="BF11" i="12"/>
  <c r="J8" i="7"/>
  <c r="J10" i="7"/>
  <c r="J9" i="7"/>
  <c r="J11" i="7"/>
  <c r="J7" i="7"/>
  <c r="AA9" i="10"/>
  <c r="AA10" i="10"/>
  <c r="AA8" i="10"/>
  <c r="AA7" i="10"/>
  <c r="AA11" i="10"/>
  <c r="AV10" i="7"/>
  <c r="BG11" i="7"/>
  <c r="AH8" i="5"/>
  <c r="AN10" i="12"/>
  <c r="AN9" i="12"/>
  <c r="AN11" i="12"/>
  <c r="AN7" i="12"/>
  <c r="AN8" i="12"/>
  <c r="AQ8" i="7"/>
  <c r="AQ7" i="7"/>
  <c r="AQ10" i="7"/>
  <c r="AQ9" i="7"/>
  <c r="AQ11" i="7"/>
  <c r="AL10" i="11"/>
  <c r="AL9" i="11"/>
  <c r="AL11" i="11"/>
  <c r="AL7" i="11"/>
  <c r="AL8" i="11"/>
  <c r="Q11" i="10"/>
  <c r="Q10" i="10"/>
  <c r="Q7" i="10"/>
  <c r="Q9" i="10"/>
  <c r="Q8" i="10"/>
  <c r="AR8" i="10"/>
  <c r="AR9" i="10"/>
  <c r="AR10" i="10"/>
  <c r="AR7" i="10"/>
  <c r="AR11" i="10"/>
  <c r="W11" i="10"/>
  <c r="W7" i="10"/>
  <c r="W10" i="10"/>
  <c r="W9" i="10"/>
  <c r="W8" i="10"/>
  <c r="S9" i="9"/>
  <c r="S8" i="9"/>
  <c r="S10" i="9"/>
  <c r="S11" i="9"/>
  <c r="S7" i="9"/>
  <c r="T8" i="9"/>
  <c r="T10" i="9"/>
  <c r="T11" i="9"/>
  <c r="T9" i="9"/>
  <c r="T7" i="9"/>
  <c r="Z11" i="9"/>
  <c r="Z8" i="9"/>
  <c r="Z10" i="9"/>
  <c r="Z7" i="9"/>
  <c r="Z9" i="9"/>
  <c r="AE9" i="9"/>
  <c r="AE8" i="9"/>
  <c r="AE7" i="9"/>
  <c r="AE10" i="9"/>
  <c r="AE11" i="9"/>
  <c r="BH9" i="9"/>
  <c r="BH8" i="9"/>
  <c r="BH11" i="9"/>
  <c r="BH10" i="9"/>
  <c r="BH7" i="9"/>
  <c r="AO9" i="12"/>
  <c r="AO7" i="12"/>
  <c r="AO8" i="12"/>
  <c r="AO10" i="12"/>
  <c r="AO11" i="12"/>
  <c r="BD8" i="7"/>
  <c r="BD10" i="7"/>
  <c r="BD11" i="7"/>
  <c r="BD9" i="7"/>
  <c r="BD7" i="7"/>
  <c r="AZ9" i="8"/>
  <c r="AZ10" i="8"/>
  <c r="AZ7" i="8"/>
  <c r="AZ8" i="8"/>
  <c r="AZ11" i="8"/>
  <c r="N9" i="8"/>
  <c r="N11" i="8"/>
  <c r="N7" i="8"/>
  <c r="N10" i="8"/>
  <c r="N8" i="8"/>
  <c r="AS9" i="8"/>
  <c r="AS7" i="8"/>
  <c r="AS8" i="8"/>
  <c r="AS10" i="8"/>
  <c r="AS11" i="8"/>
  <c r="AW7" i="8"/>
  <c r="AW9" i="8"/>
  <c r="AW8" i="8"/>
  <c r="AW11" i="8"/>
  <c r="AW10" i="8"/>
  <c r="W7" i="8"/>
  <c r="W8" i="8"/>
  <c r="W11" i="8"/>
  <c r="W9" i="8"/>
  <c r="W10" i="8"/>
  <c r="N9" i="7"/>
  <c r="N8" i="7"/>
  <c r="N7" i="7"/>
  <c r="N11" i="7"/>
  <c r="N10" i="7"/>
  <c r="AS10" i="11"/>
  <c r="AS11" i="11"/>
  <c r="AS8" i="11"/>
  <c r="AS7" i="11"/>
  <c r="AS9" i="11"/>
  <c r="AW10" i="10"/>
  <c r="AW9" i="10"/>
  <c r="AW7" i="10"/>
  <c r="AW8" i="10"/>
  <c r="AW11" i="10"/>
  <c r="AN11" i="7"/>
  <c r="AN8" i="7"/>
  <c r="AN10" i="7"/>
  <c r="AN9" i="7"/>
  <c r="AN7" i="7"/>
  <c r="S7" i="11"/>
  <c r="S9" i="11"/>
  <c r="S11" i="11"/>
  <c r="S8" i="11"/>
  <c r="S10" i="11"/>
  <c r="AV8" i="7"/>
  <c r="BG9" i="7"/>
  <c r="AQ8" i="10"/>
  <c r="AQ7" i="10"/>
  <c r="AQ11" i="10"/>
  <c r="AQ9" i="10"/>
  <c r="AQ10" i="10"/>
  <c r="AW8" i="12"/>
  <c r="AW10" i="12"/>
  <c r="AW9" i="12"/>
  <c r="AW11" i="12"/>
  <c r="AW7" i="12"/>
  <c r="R10" i="11"/>
  <c r="R8" i="11"/>
  <c r="R11" i="11"/>
  <c r="R9" i="11"/>
  <c r="R7" i="11"/>
  <c r="AH9" i="11"/>
  <c r="AH8" i="11"/>
  <c r="AH10" i="11"/>
  <c r="AH7" i="11"/>
  <c r="AH11" i="11"/>
  <c r="Z9" i="12"/>
  <c r="Z8" i="12"/>
  <c r="Z7" i="12"/>
  <c r="Z11" i="12"/>
  <c r="Z10" i="12"/>
  <c r="AU7" i="7"/>
  <c r="AU9" i="7"/>
  <c r="AU11" i="7"/>
  <c r="AU8" i="7"/>
  <c r="AU10" i="7"/>
  <c r="AT10" i="7"/>
  <c r="AT9" i="7"/>
  <c r="AT8" i="7"/>
  <c r="AT11" i="7"/>
  <c r="AT7" i="7"/>
  <c r="AZ11" i="9"/>
  <c r="AZ7" i="9"/>
  <c r="AZ10" i="9"/>
  <c r="AZ8" i="9"/>
  <c r="AZ9" i="9"/>
  <c r="BR10" i="9"/>
  <c r="BR7" i="9"/>
  <c r="BR8" i="9"/>
  <c r="BR11" i="9"/>
  <c r="BR9" i="9"/>
  <c r="R10" i="9"/>
  <c r="R11" i="9"/>
  <c r="R7" i="9"/>
  <c r="R9" i="9"/>
  <c r="R8" i="9"/>
  <c r="P11" i="9"/>
  <c r="P7" i="9"/>
  <c r="P10" i="9"/>
  <c r="P8" i="9"/>
  <c r="P9" i="9"/>
  <c r="M9" i="9"/>
  <c r="M11" i="9"/>
  <c r="M10" i="9"/>
  <c r="M8" i="9"/>
  <c r="M7" i="9"/>
  <c r="AE7" i="12"/>
  <c r="AE9" i="12"/>
  <c r="AE11" i="12"/>
  <c r="AE8" i="12"/>
  <c r="AE10" i="12"/>
  <c r="AX9" i="8"/>
  <c r="AX11" i="8"/>
  <c r="AX7" i="8"/>
  <c r="AX10" i="8"/>
  <c r="AX8" i="8"/>
  <c r="AE7" i="8"/>
  <c r="AE11" i="8"/>
  <c r="AE8" i="8"/>
  <c r="AE9" i="8"/>
  <c r="AE10" i="8"/>
  <c r="BP10" i="8"/>
  <c r="BP7" i="8"/>
  <c r="BP9" i="8"/>
  <c r="BP11" i="8"/>
  <c r="BP8" i="8"/>
  <c r="O9" i="8"/>
  <c r="O11" i="8"/>
  <c r="O10" i="8"/>
  <c r="O7" i="8"/>
  <c r="O8" i="8"/>
  <c r="BR11" i="8"/>
  <c r="BR9" i="8"/>
  <c r="BR10" i="8"/>
  <c r="BR7" i="8"/>
  <c r="BR8" i="8"/>
  <c r="AI11" i="10"/>
  <c r="AI10" i="10"/>
  <c r="AI7" i="10"/>
  <c r="AI8" i="10"/>
  <c r="AI9" i="10"/>
  <c r="AT8" i="11"/>
  <c r="AT9" i="11"/>
  <c r="AT7" i="11"/>
  <c r="AT10" i="11"/>
  <c r="AT11" i="11"/>
</calcChain>
</file>

<file path=xl/sharedStrings.xml><?xml version="1.0" encoding="utf-8"?>
<sst xmlns="http://schemas.openxmlformats.org/spreadsheetml/2006/main" count="1729" uniqueCount="347">
  <si>
    <t xml:space="preserve">Report:  </t>
  </si>
  <si>
    <t xml:space="preserve">Weekly Schedule:  [ System ] </t>
  </si>
  <si>
    <t xml:space="preserve">Sorted By:  </t>
  </si>
  <si>
    <t>Employee Id Ascending</t>
  </si>
  <si>
    <t xml:space="preserve">Filtered By:  </t>
  </si>
  <si>
    <t>Employee Filter: All Employees; Date Range: 01/09/2025-07/09/2025; Extra Settings: Show Time Off, Highlight Last Opened Schedule; Cost Center(Store) = chatswood concourse; Employee Status != Terminated</t>
  </si>
  <si>
    <t xml:space="preserve">Date &amp; Time:  </t>
  </si>
  <si>
    <t>25/08/2025 03:59p</t>
  </si>
  <si>
    <t xml:space="preserve">Generated By:  </t>
  </si>
  <si>
    <t>Hui Fern Hwa, Level 8</t>
  </si>
  <si>
    <t xml:space="preserve">Company:  </t>
  </si>
  <si>
    <t>Muji Retail Australia Pty Ltd (6147268)</t>
  </si>
  <si>
    <t>Employee Id</t>
  </si>
  <si>
    <t>First Name</t>
  </si>
  <si>
    <t>Last Name</t>
  </si>
  <si>
    <t>Employee Status</t>
  </si>
  <si>
    <t>Schedule          Mon Nov 10</t>
  </si>
  <si>
    <t>Schedule          Tue Nov 11</t>
  </si>
  <si>
    <t>Schedule          Wed Nov 12</t>
  </si>
  <si>
    <t>Schedule          Thu Nov 13</t>
  </si>
  <si>
    <t>Schedule          Fri Nov 14</t>
  </si>
  <si>
    <t>Schedule          Sat Nov 15</t>
  </si>
  <si>
    <t>Schedule          Sun Nov 16</t>
  </si>
  <si>
    <t>Cost Center(Store)</t>
  </si>
  <si>
    <t>01509</t>
  </si>
  <si>
    <t>Amy</t>
  </si>
  <si>
    <t>Somana</t>
  </si>
  <si>
    <t>Active</t>
  </si>
  <si>
    <t/>
  </si>
  <si>
    <t>08:30a - 04:30p</t>
  </si>
  <si>
    <t>08:30a - 05:00p</t>
  </si>
  <si>
    <t>12:00p - 08:00p</t>
  </si>
  <si>
    <t>Chatswood Concourse</t>
  </si>
  <si>
    <t>1175</t>
  </si>
  <si>
    <t>Anna</t>
  </si>
  <si>
    <t>Naritsuka-Hayler</t>
  </si>
  <si>
    <t>1041</t>
  </si>
  <si>
    <t>Archana</t>
  </si>
  <si>
    <t>Prashanth</t>
  </si>
  <si>
    <t>1245</t>
  </si>
  <si>
    <t>Charlotte</t>
  </si>
  <si>
    <t>Robertson</t>
  </si>
  <si>
    <t>1136</t>
  </si>
  <si>
    <t>Cherry</t>
  </si>
  <si>
    <t>Ward</t>
  </si>
  <si>
    <t>11:00a - 07:00p</t>
  </si>
  <si>
    <t>1247</t>
  </si>
  <si>
    <t>Chihiro</t>
  </si>
  <si>
    <t>Burgoyne</t>
  </si>
  <si>
    <t>08:30a - 03:00p</t>
  </si>
  <si>
    <t>01514</t>
  </si>
  <si>
    <t>Chloe</t>
  </si>
  <si>
    <t>Huang</t>
  </si>
  <si>
    <t>10:30a - 07:00p</t>
  </si>
  <si>
    <t>02:00p - 10:00p</t>
  </si>
  <si>
    <t>660</t>
  </si>
  <si>
    <t>Daniel</t>
  </si>
  <si>
    <t>Park</t>
  </si>
  <si>
    <t>1275</t>
  </si>
  <si>
    <t>Da-yeon</t>
  </si>
  <si>
    <t>Oh</t>
  </si>
  <si>
    <t>1258</t>
  </si>
  <si>
    <t>Dennis</t>
  </si>
  <si>
    <t>Kim</t>
  </si>
  <si>
    <t>03:00p - 08:00p</t>
  </si>
  <si>
    <t>1131</t>
  </si>
  <si>
    <t>Doris</t>
  </si>
  <si>
    <t>Hou</t>
  </si>
  <si>
    <t>01601</t>
  </si>
  <si>
    <t>Dorothy</t>
  </si>
  <si>
    <t>Choi</t>
  </si>
  <si>
    <t>01506</t>
  </si>
  <si>
    <t>Duke</t>
  </si>
  <si>
    <t>Trac</t>
  </si>
  <si>
    <t>01526</t>
  </si>
  <si>
    <t>Emma</t>
  </si>
  <si>
    <t>Blackburn</t>
  </si>
  <si>
    <t>1025</t>
  </si>
  <si>
    <t>Eunice</t>
  </si>
  <si>
    <t>Deng</t>
  </si>
  <si>
    <t>670</t>
  </si>
  <si>
    <t>Fern</t>
  </si>
  <si>
    <t>Hwa</t>
  </si>
  <si>
    <t>01504</t>
  </si>
  <si>
    <t>Hannah</t>
  </si>
  <si>
    <t>Abad</t>
  </si>
  <si>
    <t>02:00p - 07:00p</t>
  </si>
  <si>
    <t>04:00p - 09:00p</t>
  </si>
  <si>
    <t>01524</t>
  </si>
  <si>
    <t>Isabelle</t>
  </si>
  <si>
    <t>Lee</t>
  </si>
  <si>
    <t>09:00a - 05:00p</t>
  </si>
  <si>
    <t>1216</t>
  </si>
  <si>
    <t>Janelle</t>
  </si>
  <si>
    <t>Viernes</t>
  </si>
  <si>
    <t>1228</t>
  </si>
  <si>
    <t>Jared</t>
  </si>
  <si>
    <t>Hui</t>
  </si>
  <si>
    <t>1196</t>
  </si>
  <si>
    <t>Jessica</t>
  </si>
  <si>
    <t>Rao</t>
  </si>
  <si>
    <t>01520</t>
  </si>
  <si>
    <t>Jessie</t>
  </si>
  <si>
    <t>Zhang</t>
  </si>
  <si>
    <t>01505</t>
  </si>
  <si>
    <t>Jewel</t>
  </si>
  <si>
    <t>Yabut</t>
  </si>
  <si>
    <t>09:00a - 02:00p</t>
  </si>
  <si>
    <t>1289</t>
  </si>
  <si>
    <t>Jordan</t>
  </si>
  <si>
    <t>Shue</t>
  </si>
  <si>
    <t>1094</t>
  </si>
  <si>
    <t>Joslyn</t>
  </si>
  <si>
    <t>Lam</t>
  </si>
  <si>
    <t>1014</t>
  </si>
  <si>
    <t>Julie K.</t>
  </si>
  <si>
    <t>Ko</t>
  </si>
  <si>
    <t>01518</t>
  </si>
  <si>
    <t>Julie L.</t>
  </si>
  <si>
    <t>Luong</t>
  </si>
  <si>
    <t>01527</t>
  </si>
  <si>
    <t>Justine</t>
  </si>
  <si>
    <t>Sy</t>
  </si>
  <si>
    <t>01519</t>
  </si>
  <si>
    <t>Kathy</t>
  </si>
  <si>
    <t>Htun</t>
  </si>
  <si>
    <t>1143</t>
  </si>
  <si>
    <t>Kaye</t>
  </si>
  <si>
    <t>Bongolan</t>
  </si>
  <si>
    <t>01523</t>
  </si>
  <si>
    <t>Lachlan</t>
  </si>
  <si>
    <t>Ng</t>
  </si>
  <si>
    <t>614</t>
  </si>
  <si>
    <t>Lauren</t>
  </si>
  <si>
    <t>Huynh</t>
  </si>
  <si>
    <t>01517</t>
  </si>
  <si>
    <t>Lona</t>
  </si>
  <si>
    <t>Simkhada</t>
  </si>
  <si>
    <t>882</t>
  </si>
  <si>
    <t>Masami</t>
  </si>
  <si>
    <t>1132</t>
  </si>
  <si>
    <t>Michelle B.</t>
  </si>
  <si>
    <t>Banh</t>
  </si>
  <si>
    <t>01525</t>
  </si>
  <si>
    <t>Michelle T.</t>
  </si>
  <si>
    <t>Tran Wo</t>
  </si>
  <si>
    <t>1234</t>
  </si>
  <si>
    <t>Misato</t>
  </si>
  <si>
    <t>Ishikawa</t>
  </si>
  <si>
    <t>1015</t>
  </si>
  <si>
    <t>Natalie C.</t>
  </si>
  <si>
    <t>01529</t>
  </si>
  <si>
    <t>Natalie N.</t>
  </si>
  <si>
    <t>Nguyen</t>
  </si>
  <si>
    <t>1257</t>
  </si>
  <si>
    <t>Noreen</t>
  </si>
  <si>
    <t>De Vera</t>
  </si>
  <si>
    <t>1287</t>
  </si>
  <si>
    <t>Pearl</t>
  </si>
  <si>
    <t>Lin</t>
  </si>
  <si>
    <t>1232</t>
  </si>
  <si>
    <t>Penny</t>
  </si>
  <si>
    <t>Rabena</t>
  </si>
  <si>
    <t>303</t>
  </si>
  <si>
    <t>Rachel</t>
  </si>
  <si>
    <t>Seeto</t>
  </si>
  <si>
    <t>08:30a - 03:30p</t>
  </si>
  <si>
    <t>1142</t>
  </si>
  <si>
    <t>Ralph</t>
  </si>
  <si>
    <t>Deoferio</t>
  </si>
  <si>
    <t>01528</t>
  </si>
  <si>
    <t>Rena</t>
  </si>
  <si>
    <t>Chen</t>
  </si>
  <si>
    <t>1237</t>
  </si>
  <si>
    <t>Rich</t>
  </si>
  <si>
    <t>Ma</t>
  </si>
  <si>
    <t>1133</t>
  </si>
  <si>
    <t>Sarah</t>
  </si>
  <si>
    <t>891</t>
  </si>
  <si>
    <t>Sienna</t>
  </si>
  <si>
    <t>Lim</t>
  </si>
  <si>
    <t>1108</t>
  </si>
  <si>
    <t>Tara</t>
  </si>
  <si>
    <t>Turner</t>
  </si>
  <si>
    <t>01521</t>
  </si>
  <si>
    <t>Tom</t>
  </si>
  <si>
    <t>Wu</t>
  </si>
  <si>
    <t>1062</t>
  </si>
  <si>
    <t>Tomoko</t>
  </si>
  <si>
    <t>Shimada</t>
  </si>
  <si>
    <t>1149</t>
  </si>
  <si>
    <t>Vera</t>
  </si>
  <si>
    <t>1160</t>
  </si>
  <si>
    <t>Yura</t>
  </si>
  <si>
    <t>Sin</t>
  </si>
  <si>
    <t>For shifts with a 40 min and 10 min break the 10 min breaks are 1:30 or 1:45 before the end of a 7.5 to 8.5 hr shift or 1:45 to 2:00 before the end of a +9hr shift</t>
  </si>
  <si>
    <t>For shifts with only a 10 min break it is either a the midpoint of the shift or 10 min before the midpoint</t>
  </si>
  <si>
    <t>Number of hours worked</t>
  </si>
  <si>
    <t>Rest breaks</t>
  </si>
  <si>
    <t>Meal breaks</t>
  </si>
  <si>
    <t>Keep</t>
  </si>
  <si>
    <t>&lt; 4 hours</t>
  </si>
  <si>
    <t>4 to 5 hours</t>
  </si>
  <si>
    <t>1 x 10</t>
  </si>
  <si>
    <t>&gt;5 to &lt;7 hours</t>
  </si>
  <si>
    <t>1 x 40</t>
  </si>
  <si>
    <t>7 to &lt; 10 hours</t>
  </si>
  <si>
    <t>1 x 40 &amp; 1 x 10</t>
  </si>
  <si>
    <t>10 or more hours</t>
  </si>
  <si>
    <t>2 x 40</t>
  </si>
  <si>
    <t>M's</t>
  </si>
  <si>
    <t>Mens (incl. M's inner)</t>
  </si>
  <si>
    <t>L's</t>
  </si>
  <si>
    <t>Ladies (incl. W's inner)</t>
  </si>
  <si>
    <t>K's</t>
  </si>
  <si>
    <t>Kids</t>
  </si>
  <si>
    <t>M/K</t>
  </si>
  <si>
    <t>Mens + Kids</t>
  </si>
  <si>
    <t>Acc.</t>
  </si>
  <si>
    <t>Accessories</t>
  </si>
  <si>
    <t>Fab.</t>
  </si>
  <si>
    <t>Fabric</t>
  </si>
  <si>
    <t>HW</t>
  </si>
  <si>
    <t>Homewear</t>
  </si>
  <si>
    <t>Stat.</t>
  </si>
  <si>
    <t>Stationery</t>
  </si>
  <si>
    <t>H&amp;B</t>
  </si>
  <si>
    <t>Health &amp; Beauty</t>
  </si>
  <si>
    <t>HH</t>
  </si>
  <si>
    <t>Household</t>
  </si>
  <si>
    <t>F</t>
  </si>
  <si>
    <t>Food</t>
  </si>
  <si>
    <t>40min break</t>
  </si>
  <si>
    <t>15min break</t>
  </si>
  <si>
    <t>10min break</t>
  </si>
  <si>
    <t>R</t>
  </si>
  <si>
    <t>Register</t>
  </si>
  <si>
    <t>FR</t>
  </si>
  <si>
    <t>Fitting room</t>
  </si>
  <si>
    <t>LD</t>
  </si>
  <si>
    <t>Leader</t>
  </si>
  <si>
    <t>GR</t>
  </si>
  <si>
    <t>Greeter</t>
  </si>
  <si>
    <t>H</t>
  </si>
  <si>
    <t>Huddle</t>
  </si>
  <si>
    <t>MT</t>
  </si>
  <si>
    <t>Meeting (for SM/ASM)</t>
  </si>
  <si>
    <t>CL</t>
  </si>
  <si>
    <t>Cleaning</t>
  </si>
  <si>
    <t>Mirr.</t>
  </si>
  <si>
    <t>Cleaning of Mirrors</t>
  </si>
  <si>
    <t>Dust</t>
  </si>
  <si>
    <t>Dusting of shelves/top</t>
  </si>
  <si>
    <t>Vac.</t>
  </si>
  <si>
    <t>Vaccum</t>
  </si>
  <si>
    <t>CL S</t>
  </si>
  <si>
    <t>Cleaning Staffroom</t>
  </si>
  <si>
    <t>Bin</t>
  </si>
  <si>
    <t>Bin run</t>
  </si>
  <si>
    <t>DEL</t>
  </si>
  <si>
    <t>Delivery</t>
  </si>
  <si>
    <t>RFID</t>
  </si>
  <si>
    <t>RFID cycle count</t>
  </si>
  <si>
    <t>Emb.</t>
  </si>
  <si>
    <t>Embroidery</t>
  </si>
  <si>
    <t>Tidy</t>
  </si>
  <si>
    <t>Tidy (after closing)</t>
  </si>
  <si>
    <t>For Department, use one of the acronym used in the "info" sheet</t>
  </si>
  <si>
    <t>For contract type, only use one of the 3 options below:
FT
PT
Cas</t>
  </si>
  <si>
    <t>Department</t>
  </si>
  <si>
    <t>Contract type</t>
  </si>
  <si>
    <t>FT</t>
  </si>
  <si>
    <t>PT</t>
  </si>
  <si>
    <t>CAS</t>
  </si>
  <si>
    <t>SPV</t>
  </si>
  <si>
    <t>SM</t>
  </si>
  <si>
    <t>ADM</t>
  </si>
  <si>
    <t>ASM</t>
  </si>
  <si>
    <t>Weekly MH</t>
  </si>
  <si>
    <t xml:space="preserve">
Delivery</t>
  </si>
  <si>
    <t>Full time</t>
  </si>
  <si>
    <t>Part time</t>
  </si>
  <si>
    <t>Casual</t>
  </si>
  <si>
    <t>Total man hour</t>
  </si>
  <si>
    <t>ID</t>
  </si>
  <si>
    <t>Contract</t>
  </si>
  <si>
    <t>Hrs</t>
  </si>
  <si>
    <t>Start</t>
  </si>
  <si>
    <t>End</t>
  </si>
  <si>
    <t>05:00a</t>
  </si>
  <si>
    <t>05:30a</t>
  </si>
  <si>
    <t>06:00a</t>
  </si>
  <si>
    <t>06:30a</t>
  </si>
  <si>
    <t>07:00a</t>
  </si>
  <si>
    <t>07:30a</t>
  </si>
  <si>
    <t>08:00a</t>
  </si>
  <si>
    <t>08:30a</t>
  </si>
  <si>
    <t>09:00a</t>
  </si>
  <si>
    <t>09:30a</t>
  </si>
  <si>
    <t>10:00a</t>
  </si>
  <si>
    <t>10:30a</t>
  </si>
  <si>
    <t>11:00a</t>
  </si>
  <si>
    <t>11:30a</t>
  </si>
  <si>
    <t>12:00p</t>
  </si>
  <si>
    <t>12:30p</t>
  </si>
  <si>
    <t>01:00p</t>
  </si>
  <si>
    <t>01:30p</t>
  </si>
  <si>
    <t>02:00p</t>
  </si>
  <si>
    <t>02:30p</t>
  </si>
  <si>
    <t>03:00p</t>
  </si>
  <si>
    <t>03:30p</t>
  </si>
  <si>
    <t>04:00p</t>
  </si>
  <si>
    <t>04:30p</t>
  </si>
  <si>
    <t>05:00p</t>
  </si>
  <si>
    <t>05:30p</t>
  </si>
  <si>
    <t>06:00p</t>
  </si>
  <si>
    <t>06:30p</t>
  </si>
  <si>
    <t>07:00p</t>
  </si>
  <si>
    <t>07:30p</t>
  </si>
  <si>
    <t>08:00p</t>
  </si>
  <si>
    <t>08:30p</t>
  </si>
  <si>
    <t>09:00p</t>
  </si>
  <si>
    <t>09:30p</t>
  </si>
  <si>
    <t>10:00p</t>
  </si>
  <si>
    <t>10:30p</t>
  </si>
  <si>
    <t>11:00p</t>
  </si>
  <si>
    <t>11:30p</t>
  </si>
  <si>
    <t>Garment</t>
  </si>
  <si>
    <t>Break</t>
  </si>
  <si>
    <t>Customer tasks</t>
  </si>
  <si>
    <t>Team</t>
  </si>
  <si>
    <t>Other</t>
  </si>
  <si>
    <t>00</t>
  </si>
  <si>
    <t>Lead</t>
  </si>
  <si>
    <t>Total</t>
  </si>
  <si>
    <t>Dept</t>
  </si>
  <si>
    <t>Finish</t>
  </si>
  <si>
    <t>V</t>
  </si>
  <si>
    <t>W</t>
  </si>
  <si>
    <t>S1</t>
  </si>
  <si>
    <t>AD</t>
  </si>
  <si>
    <t>CC</t>
  </si>
  <si>
    <t>M1</t>
  </si>
  <si>
    <t>M3</t>
  </si>
  <si>
    <t>RUN</t>
  </si>
  <si>
    <t>Man.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</si>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</sst>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"/>
    <numFmt numFmtId="165" formatCode="0.0"/>
  </numFmts>
  <fonts count="20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1"/>
      <name val="Arial"/>
      <family val="2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8"/>
      <color theme="0"/>
      <name val="Arial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9"/>
      <color rgb="FFFF0000"/>
      <name val="Arial"/>
      <family val="2"/>
    </font>
    <font>
      <b/>
      <sz val="16"/>
      <color rgb="FFFF0000"/>
      <name val="Arial"/>
      <family val="2"/>
    </font>
    <font>
      <b/>
      <sz val="8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0C68A"/>
        <bgColor indexed="64"/>
      </patternFill>
    </fill>
    <fill>
      <patternFill patternType="solid">
        <fgColor rgb="FFFFF8C1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45"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/>
    <xf numFmtId="0" fontId="2" fillId="3" borderId="0" xfId="0" applyNumberFormat="1" applyFont="1" applyFill="1" applyBorder="1" applyAlignment="1">
      <alignment horizontal="center" vertical="top"/>
    </xf>
    <xf numFmtId="0" fontId="1" fillId="3" borderId="1" xfId="0" applyNumberFormat="1" applyFont="1" applyFill="1" applyBorder="1" applyAlignment="1">
      <alignment horizontal="center" vertical="center"/>
    </xf>
    <xf numFmtId="20" fontId="11" fillId="0" borderId="5" xfId="0" applyNumberFormat="1" applyFont="1" applyBorder="1" applyAlignment="1">
      <alignment horizontal="center" vertical="center"/>
    </xf>
    <xf numFmtId="20" fontId="11" fillId="0" borderId="7" xfId="0" applyNumberFormat="1" applyFont="1" applyBorder="1" applyAlignment="1">
      <alignment horizontal="center" vertical="center"/>
    </xf>
    <xf numFmtId="0" fontId="1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6" fillId="2" borderId="1" xfId="0" applyNumberFormat="1" applyFont="1" applyFill="1" applyBorder="1" applyAlignment="1">
      <alignment horizontal="center" vertical="center"/>
    </xf>
    <xf numFmtId="0" fontId="6" fillId="11" borderId="1" xfId="0" applyNumberFormat="1" applyFont="1" applyFill="1" applyBorder="1" applyAlignment="1">
      <alignment horizontal="center" vertical="center"/>
    </xf>
    <xf numFmtId="0" fontId="6" fillId="12" borderId="1" xfId="0" applyNumberFormat="1" applyFont="1" applyFill="1" applyBorder="1" applyAlignment="1">
      <alignment horizontal="center" vertical="center"/>
    </xf>
    <xf numFmtId="0" fontId="6" fillId="13" borderId="1" xfId="0" applyNumberFormat="1" applyFont="1" applyFill="1" applyBorder="1" applyAlignment="1">
      <alignment horizontal="center" vertical="center"/>
    </xf>
    <xf numFmtId="0" fontId="6" fillId="14" borderId="1" xfId="0" applyNumberFormat="1" applyFont="1" applyFill="1" applyBorder="1" applyAlignment="1">
      <alignment horizontal="center" vertical="center"/>
    </xf>
    <xf numFmtId="0" fontId="6" fillId="15" borderId="1" xfId="0" applyNumberFormat="1" applyFont="1" applyFill="1" applyBorder="1" applyAlignment="1">
      <alignment horizontal="center" vertical="center"/>
    </xf>
    <xf numFmtId="0" fontId="6" fillId="16" borderId="1" xfId="0" applyNumberFormat="1" applyFont="1" applyFill="1" applyBorder="1" applyAlignment="1">
      <alignment horizontal="center" vertical="center"/>
    </xf>
    <xf numFmtId="0" fontId="6" fillId="17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18" borderId="1" xfId="0" applyNumberFormat="1" applyFont="1" applyFill="1" applyBorder="1" applyAlignment="1">
      <alignment horizontal="center" vertical="center"/>
    </xf>
    <xf numFmtId="0" fontId="6" fillId="19" borderId="1" xfId="0" applyNumberFormat="1" applyFont="1" applyFill="1" applyBorder="1" applyAlignment="1">
      <alignment horizontal="center" vertical="center"/>
    </xf>
    <xf numFmtId="0" fontId="6" fillId="10" borderId="1" xfId="0" applyNumberFormat="1" applyFont="1" applyFill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5" fillId="4" borderId="5" xfId="0" applyFont="1" applyFill="1" applyBorder="1" applyAlignment="1">
      <alignment horizontal="left"/>
    </xf>
    <xf numFmtId="20" fontId="15" fillId="4" borderId="5" xfId="0" applyNumberFormat="1" applyFont="1" applyFill="1" applyBorder="1" applyAlignment="1">
      <alignment horizontal="left"/>
    </xf>
    <xf numFmtId="0" fontId="15" fillId="5" borderId="5" xfId="0" applyFont="1" applyFill="1" applyBorder="1" applyAlignment="1">
      <alignment horizontal="left"/>
    </xf>
    <xf numFmtId="20" fontId="15" fillId="5" borderId="5" xfId="0" applyNumberFormat="1" applyFont="1" applyFill="1" applyBorder="1" applyAlignment="1">
      <alignment horizontal="left"/>
    </xf>
    <xf numFmtId="0" fontId="16" fillId="6" borderId="5" xfId="0" applyFont="1" applyFill="1" applyBorder="1" applyAlignment="1">
      <alignment horizontal="left"/>
    </xf>
    <xf numFmtId="20" fontId="16" fillId="6" borderId="5" xfId="0" applyNumberFormat="1" applyFont="1" applyFill="1" applyBorder="1" applyAlignment="1">
      <alignment horizontal="left"/>
    </xf>
    <xf numFmtId="0" fontId="15" fillId="7" borderId="5" xfId="0" applyFont="1" applyFill="1" applyBorder="1" applyAlignment="1">
      <alignment horizontal="left"/>
    </xf>
    <xf numFmtId="20" fontId="15" fillId="7" borderId="5" xfId="0" applyNumberFormat="1" applyFont="1" applyFill="1" applyBorder="1" applyAlignment="1">
      <alignment horizontal="left"/>
    </xf>
    <xf numFmtId="0" fontId="16" fillId="8" borderId="5" xfId="0" applyFont="1" applyFill="1" applyBorder="1" applyAlignment="1">
      <alignment horizontal="left"/>
    </xf>
    <xf numFmtId="20" fontId="16" fillId="8" borderId="5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6" fillId="20" borderId="1" xfId="0" applyNumberFormat="1" applyFont="1" applyFill="1" applyBorder="1" applyAlignment="1">
      <alignment horizontal="center" vertical="center"/>
    </xf>
    <xf numFmtId="0" fontId="6" fillId="21" borderId="1" xfId="0" applyNumberFormat="1" applyFont="1" applyFill="1" applyBorder="1" applyAlignment="1">
      <alignment horizontal="center" vertical="center"/>
    </xf>
    <xf numFmtId="0" fontId="6" fillId="22" borderId="1" xfId="0" applyNumberFormat="1" applyFont="1" applyFill="1" applyBorder="1" applyAlignment="1">
      <alignment horizontal="center" vertical="center"/>
    </xf>
    <xf numFmtId="0" fontId="13" fillId="23" borderId="1" xfId="0" applyNumberFormat="1" applyFont="1" applyFill="1" applyBorder="1" applyAlignment="1">
      <alignment horizontal="center" vertical="center"/>
    </xf>
    <xf numFmtId="0" fontId="6" fillId="24" borderId="1" xfId="0" applyNumberFormat="1" applyFont="1" applyFill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 vertical="center"/>
    </xf>
    <xf numFmtId="0" fontId="6" fillId="9" borderId="1" xfId="0" applyNumberFormat="1" applyFont="1" applyFill="1" applyBorder="1" applyAlignment="1">
      <alignment horizontal="center" vertical="center"/>
    </xf>
    <xf numFmtId="0" fontId="6" fillId="0" borderId="15" xfId="0" applyNumberFormat="1" applyFont="1" applyFill="1" applyBorder="1" applyAlignment="1">
      <alignment horizontal="center" vertical="top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NumberFormat="1" applyFont="1" applyFill="1" applyBorder="1" applyAlignment="1" applyProtection="1">
      <alignment horizontal="center" vertical="center"/>
      <protection locked="0"/>
    </xf>
    <xf numFmtId="20" fontId="11" fillId="0" borderId="0" xfId="0" applyNumberFormat="1" applyFont="1" applyBorder="1" applyAlignment="1" applyProtection="1">
      <alignment horizontal="center" vertical="center"/>
      <protection locked="0"/>
    </xf>
    <xf numFmtId="20" fontId="12" fillId="0" borderId="0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vertical="center"/>
    </xf>
    <xf numFmtId="0" fontId="8" fillId="2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/>
    <xf numFmtId="0" fontId="10" fillId="2" borderId="0" xfId="0" applyNumberFormat="1" applyFont="1" applyFill="1" applyBorder="1" applyAlignment="1" applyProtection="1">
      <alignment horizontal="right" vertical="center"/>
    </xf>
    <xf numFmtId="165" fontId="7" fillId="2" borderId="0" xfId="0" applyNumberFormat="1" applyFont="1" applyFill="1" applyBorder="1" applyAlignment="1" applyProtection="1">
      <alignment horizontal="left" vertical="center"/>
    </xf>
    <xf numFmtId="165" fontId="7" fillId="2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/>
    </xf>
    <xf numFmtId="0" fontId="2" fillId="3" borderId="0" xfId="0" applyNumberFormat="1" applyFont="1" applyFill="1" applyBorder="1" applyAlignment="1" applyProtection="1">
      <alignment horizontal="center" vertical="top"/>
    </xf>
    <xf numFmtId="0" fontId="2" fillId="3" borderId="3" xfId="0" applyNumberFormat="1" applyFont="1" applyFill="1" applyBorder="1" applyAlignment="1" applyProtection="1">
      <alignment horizontal="center" vertical="top"/>
    </xf>
    <xf numFmtId="0" fontId="2" fillId="3" borderId="4" xfId="0" applyNumberFormat="1" applyFont="1" applyFill="1" applyBorder="1" applyAlignment="1" applyProtection="1">
      <alignment horizontal="center" vertical="top"/>
    </xf>
    <xf numFmtId="0" fontId="2" fillId="3" borderId="8" xfId="0" applyNumberFormat="1" applyFont="1" applyFill="1" applyBorder="1" applyAlignment="1" applyProtection="1">
      <alignment horizontal="center" vertical="top"/>
    </xf>
    <xf numFmtId="20" fontId="0" fillId="2" borderId="0" xfId="0" applyNumberFormat="1" applyFont="1" applyFill="1" applyBorder="1" applyAlignment="1" applyProtection="1"/>
    <xf numFmtId="0" fontId="0" fillId="2" borderId="1" xfId="0" applyNumberFormat="1" applyFont="1" applyFill="1" applyBorder="1" applyAlignment="1" applyProtection="1"/>
    <xf numFmtId="0" fontId="0" fillId="2" borderId="2" xfId="0" applyNumberFormat="1" applyFont="1" applyFill="1" applyBorder="1" applyAlignment="1" applyProtection="1"/>
    <xf numFmtId="0" fontId="0" fillId="2" borderId="2" xfId="0" applyNumberFormat="1" applyFont="1" applyFill="1" applyBorder="1" applyAlignment="1" applyProtection="1">
      <alignment horizontal="center"/>
    </xf>
    <xf numFmtId="165" fontId="0" fillId="2" borderId="2" xfId="0" applyNumberFormat="1" applyFont="1" applyFill="1" applyBorder="1" applyAlignment="1" applyProtection="1">
      <alignment horizontal="right"/>
    </xf>
    <xf numFmtId="164" fontId="3" fillId="2" borderId="9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  <xf numFmtId="165" fontId="3" fillId="2" borderId="13" xfId="0" applyNumberFormat="1" applyFont="1" applyFill="1" applyBorder="1" applyAlignment="1" applyProtection="1">
      <alignment horizontal="center" vertical="center"/>
    </xf>
    <xf numFmtId="164" fontId="3" fillId="2" borderId="1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/>
    <xf numFmtId="164" fontId="3" fillId="2" borderId="11" xfId="0" applyNumberFormat="1" applyFont="1" applyFill="1" applyBorder="1" applyAlignment="1" applyProtection="1">
      <alignment horizontal="center" vertical="center"/>
    </xf>
    <xf numFmtId="164" fontId="3" fillId="2" borderId="12" xfId="0" applyNumberFormat="1" applyFont="1" applyFill="1" applyBorder="1" applyAlignment="1" applyProtection="1">
      <alignment horizontal="center" vertical="center"/>
    </xf>
    <xf numFmtId="164" fontId="3" fillId="2" borderId="13" xfId="0" applyNumberFormat="1" applyFont="1" applyFill="1" applyBorder="1" applyAlignment="1" applyProtection="1">
      <alignment horizontal="center" vertical="center"/>
    </xf>
    <xf numFmtId="20" fontId="4" fillId="2" borderId="0" xfId="0" applyNumberFormat="1" applyFont="1" applyFill="1" applyBorder="1" applyAlignment="1" applyProtection="1"/>
    <xf numFmtId="0" fontId="17" fillId="2" borderId="0" xfId="0" applyNumberFormat="1" applyFont="1" applyFill="1" applyBorder="1" applyAlignment="1">
      <alignment horizontal="left" vertical="top" wrapText="1"/>
    </xf>
    <xf numFmtId="0" fontId="17" fillId="2" borderId="0" xfId="0" applyNumberFormat="1" applyFont="1" applyFill="1" applyBorder="1" applyAlignment="1">
      <alignment wrapText="1"/>
    </xf>
    <xf numFmtId="0" fontId="0" fillId="2" borderId="1" xfId="0" applyNumberFormat="1" applyFont="1" applyFill="1" applyBorder="1" applyAlignment="1" applyProtection="1">
      <protection locked="0"/>
    </xf>
    <xf numFmtId="0" fontId="6" fillId="2" borderId="16" xfId="0" applyNumberFormat="1" applyFont="1" applyFill="1" applyBorder="1" applyAlignment="1" applyProtection="1">
      <alignment horizontal="center" vertical="center"/>
      <protection locked="0"/>
    </xf>
    <xf numFmtId="20" fontId="11" fillId="0" borderId="17" xfId="0" applyNumberFormat="1" applyFont="1" applyBorder="1" applyAlignment="1" applyProtection="1">
      <alignment horizontal="center" vertical="center"/>
      <protection locked="0"/>
    </xf>
    <xf numFmtId="0" fontId="6" fillId="2" borderId="18" xfId="0" applyNumberFormat="1" applyFont="1" applyFill="1" applyBorder="1" applyAlignment="1" applyProtection="1">
      <alignment horizontal="center" vertical="center"/>
      <protection locked="0"/>
    </xf>
    <xf numFmtId="20" fontId="12" fillId="0" borderId="7" xfId="0" applyNumberFormat="1" applyFont="1" applyBorder="1" applyAlignment="1">
      <alignment horizontal="center" vertical="center"/>
    </xf>
    <xf numFmtId="20" fontId="11" fillId="0" borderId="8" xfId="0" applyNumberFormat="1" applyFont="1" applyBorder="1" applyAlignment="1">
      <alignment horizontal="center" vertical="center"/>
    </xf>
    <xf numFmtId="0" fontId="3" fillId="2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7" xfId="0" applyNumberFormat="1" applyFont="1" applyFill="1" applyBorder="1" applyAlignment="1" applyProtection="1">
      <alignment horizontal="center" vertical="center"/>
      <protection locked="0"/>
    </xf>
    <xf numFmtId="0" fontId="3" fillId="2" borderId="18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NumberFormat="1" applyFont="1" applyFill="1" applyBorder="1" applyAlignment="1" applyProtection="1">
      <protection locked="0"/>
    </xf>
    <xf numFmtId="0" fontId="3" fillId="2" borderId="1" xfId="0" applyNumberFormat="1" applyFont="1" applyFill="1" applyBorder="1" applyAlignment="1" applyProtection="1">
      <alignment horizontal="center"/>
      <protection locked="0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20" fontId="11" fillId="0" borderId="0" xfId="0" applyNumberFormat="1" applyFont="1" applyBorder="1" applyAlignment="1">
      <alignment horizontal="center" vertical="center"/>
    </xf>
    <xf numFmtId="20" fontId="12" fillId="0" borderId="0" xfId="0" applyNumberFormat="1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6" fillId="2" borderId="20" xfId="0" applyNumberFormat="1" applyFont="1" applyFill="1" applyBorder="1" applyAlignment="1" applyProtection="1">
      <alignment horizontal="center" vertical="center"/>
      <protection locked="0"/>
    </xf>
    <xf numFmtId="0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quotePrefix="1" applyNumberFormat="1" applyFont="1" applyFill="1" applyBorder="1" applyAlignment="1" applyProtection="1">
      <alignment horizontal="center" vertical="center"/>
      <protection locked="0"/>
    </xf>
    <xf numFmtId="165" fontId="3" fillId="2" borderId="1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/>
    <xf numFmtId="165" fontId="2" fillId="9" borderId="5" xfId="0" applyNumberFormat="1" applyFont="1" applyFill="1" applyBorder="1" applyAlignment="1" applyProtection="1">
      <alignment horizontal="center" vertical="center" shrinkToFit="1"/>
    </xf>
    <xf numFmtId="165" fontId="18" fillId="2" borderId="0" xfId="0" applyNumberFormat="1" applyFont="1" applyFill="1" applyBorder="1" applyAlignment="1" applyProtection="1">
      <alignment horizontal="left" vertical="center"/>
    </xf>
    <xf numFmtId="0" fontId="0" fillId="2" borderId="0" xfId="0" applyNumberFormat="1" applyFont="1" applyFill="1" applyBorder="1" applyAlignment="1">
      <alignment horizontal="left"/>
    </xf>
    <xf numFmtId="0" fontId="2" fillId="3" borderId="0" xfId="0" applyNumberFormat="1" applyFont="1" applyFill="1" applyBorder="1" applyAlignment="1">
      <alignment horizontal="left" vertical="top"/>
    </xf>
    <xf numFmtId="0" fontId="3" fillId="2" borderId="2" xfId="0" applyNumberFormat="1" applyFont="1" applyFill="1" applyBorder="1" applyAlignment="1">
      <alignment horizontal="center"/>
    </xf>
    <xf numFmtId="0" fontId="3" fillId="19" borderId="1" xfId="0" applyNumberFormat="1" applyFont="1" applyFill="1" applyBorder="1" applyAlignment="1">
      <alignment horizontal="center" vertical="center"/>
    </xf>
    <xf numFmtId="0" fontId="3" fillId="15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3" fillId="17" borderId="1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/>
    </xf>
    <xf numFmtId="0" fontId="3" fillId="25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2" fillId="26" borderId="0" xfId="0" applyFont="1" applyFill="1" applyAlignment="1">
      <alignment horizontal="center" vertical="top"/>
    </xf>
    <xf numFmtId="0" fontId="13" fillId="23" borderId="1" xfId="0" applyNumberFormat="1" applyFont="1" applyFill="1" applyBorder="1" applyAlignment="1" applyProtection="1">
      <alignment horizontal="center" vertical="center"/>
      <protection locked="0"/>
    </xf>
    <xf numFmtId="0" fontId="6" fillId="20" borderId="1" xfId="0" applyNumberFormat="1" applyFont="1" applyFill="1" applyBorder="1" applyAlignment="1" applyProtection="1">
      <alignment horizontal="center" vertical="center"/>
      <protection locked="0"/>
    </xf>
    <xf numFmtId="0" fontId="19" fillId="8" borderId="16" xfId="0" applyNumberFormat="1" applyFont="1" applyFill="1" applyBorder="1" applyAlignment="1" applyProtection="1">
      <alignment horizontal="center" vertical="center"/>
      <protection locked="0"/>
    </xf>
    <xf numFmtId="0" fontId="6" fillId="9" borderId="1" xfId="0" applyNumberFormat="1" applyFont="1" applyFill="1" applyBorder="1" applyAlignment="1" applyProtection="1">
      <alignment horizontal="center" vertical="center"/>
      <protection locked="0"/>
    </xf>
    <xf numFmtId="0" fontId="19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1" borderId="1" xfId="0" applyNumberFormat="1" applyFont="1" applyFill="1" applyBorder="1" applyAlignment="1" applyProtection="1">
      <alignment horizontal="center" vertical="center"/>
      <protection locked="0"/>
    </xf>
    <xf numFmtId="0" fontId="6" fillId="10" borderId="1" xfId="0" applyNumberFormat="1" applyFont="1" applyFill="1" applyBorder="1" applyAlignment="1" applyProtection="1">
      <alignment horizontal="center" vertical="center"/>
      <protection locked="0"/>
    </xf>
    <xf numFmtId="0" fontId="6" fillId="24" borderId="1" xfId="0" applyNumberFormat="1" applyFont="1" applyFill="1" applyBorder="1" applyAlignment="1" applyProtection="1">
      <alignment horizontal="center" vertical="center"/>
      <protection locked="0"/>
    </xf>
    <xf numFmtId="0" fontId="1" fillId="26" borderId="0" xfId="0" applyFont="1" applyFill="1" applyAlignment="1">
      <alignment horizontal="right" vertical="top"/>
    </xf>
    <xf numFmtId="0" fontId="0" fillId="0" borderId="0" xfId="0" applyAlignment="1"/>
    <xf numFmtId="0" fontId="0" fillId="26" borderId="0" xfId="0" applyFill="1" applyAlignment="1">
      <alignment horizontal="left" vertical="top" wrapText="1"/>
    </xf>
    <xf numFmtId="0" fontId="9" fillId="3" borderId="6" xfId="0" applyNumberFormat="1" applyFont="1" applyFill="1" applyBorder="1" applyAlignment="1" applyProtection="1">
      <alignment horizontal="center" vertical="center"/>
    </xf>
    <xf numFmtId="0" fontId="9" fillId="3" borderId="8" xfId="0" applyNumberFormat="1" applyFont="1" applyFill="1" applyBorder="1" applyAlignment="1" applyProtection="1">
      <alignment horizontal="center" vertical="center"/>
    </xf>
    <xf numFmtId="0" fontId="9" fillId="3" borderId="7" xfId="0" applyNumberFormat="1" applyFont="1" applyFill="1" applyBorder="1" applyAlignment="1" applyProtection="1">
      <alignment horizontal="center" vertical="center"/>
    </xf>
    <xf numFmtId="0" fontId="5" fillId="9" borderId="6" xfId="0" applyNumberFormat="1" applyFont="1" applyFill="1" applyBorder="1" applyAlignment="1" applyProtection="1">
      <alignment horizontal="right" vertical="center"/>
    </xf>
    <xf numFmtId="0" fontId="5" fillId="9" borderId="8" xfId="0" applyNumberFormat="1" applyFont="1" applyFill="1" applyBorder="1" applyAlignment="1" applyProtection="1">
      <alignment horizontal="right" vertical="center"/>
    </xf>
    <xf numFmtId="0" fontId="2" fillId="25" borderId="6" xfId="0" applyNumberFormat="1" applyFont="1" applyFill="1" applyBorder="1" applyAlignment="1" applyProtection="1">
      <alignment horizontal="center" vertical="top"/>
      <protection locked="0"/>
    </xf>
    <xf numFmtId="0" fontId="2" fillId="25" borderId="8" xfId="0" applyNumberFormat="1" applyFont="1" applyFill="1" applyBorder="1" applyAlignment="1" applyProtection="1">
      <alignment horizontal="center" vertical="top"/>
      <protection locked="0"/>
    </xf>
    <xf numFmtId="0" fontId="2" fillId="25" borderId="7" xfId="0" applyNumberFormat="1" applyFont="1" applyFill="1" applyBorder="1" applyAlignment="1" applyProtection="1">
      <alignment horizontal="center" vertical="top"/>
      <protection locked="0"/>
    </xf>
    <xf numFmtId="0" fontId="2" fillId="25" borderId="6" xfId="0" applyNumberFormat="1" applyFont="1" applyFill="1" applyBorder="1" applyAlignment="1" applyProtection="1">
      <alignment horizontal="center" vertical="top" wrapText="1"/>
      <protection locked="0"/>
    </xf>
    <xf numFmtId="0" fontId="6" fillId="0" borderId="15" xfId="0" applyNumberFormat="1" applyFont="1" applyFill="1" applyBorder="1" applyAlignment="1">
      <alignment horizontal="center" vertical="top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1072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499984740745262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ill>
        <patternFill>
          <bgColor rgb="FFFF66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8C1"/>
      <color rgb="FFD9D19F"/>
      <color rgb="FFD0C6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opLeftCell="A31" zoomScale="55" zoomScaleNormal="55" workbookViewId="0">
      <selection activeCell="G51" sqref="G51"/>
    </sheetView>
  </sheetViews>
  <sheetFormatPr defaultRowHeight="12.6"/>
  <cols>
    <col min="1" max="1" width="15" bestFit="1" customWidth="1"/>
    <col min="2" max="2" width="27" bestFit="1" customWidth="1"/>
    <col min="3" max="3" width="18" bestFit="1" customWidth="1"/>
    <col min="4" max="4" width="19" bestFit="1" customWidth="1"/>
    <col min="5" max="11" width="29" bestFit="1" customWidth="1"/>
    <col min="12" max="12" width="22" bestFit="1" customWidth="1"/>
  </cols>
  <sheetData>
    <row r="1" spans="1:12" ht="13.35" customHeight="1">
      <c r="A1" s="126" t="s">
        <v>0</v>
      </c>
      <c r="B1" s="127"/>
      <c r="C1" s="127"/>
      <c r="D1" s="128" t="s">
        <v>1</v>
      </c>
      <c r="E1" s="127"/>
      <c r="F1" s="127"/>
      <c r="G1" s="127"/>
      <c r="H1" s="127"/>
      <c r="I1" s="127"/>
      <c r="J1" s="127"/>
      <c r="K1" s="127"/>
      <c r="L1" s="127"/>
    </row>
    <row r="2" spans="1:12" ht="13.35" customHeight="1">
      <c r="A2" s="126" t="s">
        <v>2</v>
      </c>
      <c r="B2" s="127"/>
      <c r="C2" s="127"/>
      <c r="D2" s="128" t="s">
        <v>3</v>
      </c>
      <c r="E2" s="127"/>
      <c r="F2" s="127"/>
      <c r="G2" s="127"/>
      <c r="H2" s="127"/>
      <c r="I2" s="127"/>
      <c r="J2" s="127"/>
      <c r="K2" s="127"/>
      <c r="L2" s="127"/>
    </row>
    <row r="3" spans="1:12" ht="13.35" customHeight="1">
      <c r="A3" s="126" t="s">
        <v>4</v>
      </c>
      <c r="B3" s="127"/>
      <c r="C3" s="127"/>
      <c r="D3" s="128" t="s">
        <v>5</v>
      </c>
      <c r="E3" s="127"/>
      <c r="F3" s="127"/>
      <c r="G3" s="127"/>
      <c r="H3" s="127"/>
      <c r="I3" s="127"/>
      <c r="J3" s="127"/>
      <c r="K3" s="127"/>
      <c r="L3" s="127"/>
    </row>
    <row r="4" spans="1:12" ht="13.35" customHeight="1">
      <c r="A4" s="126" t="s">
        <v>6</v>
      </c>
      <c r="B4" s="127"/>
      <c r="C4" s="127"/>
      <c r="D4" s="128" t="s">
        <v>7</v>
      </c>
      <c r="E4" s="127"/>
      <c r="F4" s="127"/>
      <c r="G4" s="127"/>
      <c r="H4" s="127"/>
      <c r="I4" s="127"/>
      <c r="J4" s="127"/>
      <c r="K4" s="127"/>
      <c r="L4" s="127"/>
    </row>
    <row r="5" spans="1:12" ht="13.35" customHeight="1">
      <c r="A5" s="126" t="s">
        <v>8</v>
      </c>
      <c r="B5" s="127"/>
      <c r="C5" s="127"/>
      <c r="D5" s="128" t="s">
        <v>9</v>
      </c>
      <c r="E5" s="127"/>
      <c r="F5" s="127"/>
      <c r="G5" s="127"/>
      <c r="H5" s="127"/>
      <c r="I5" s="127"/>
      <c r="J5" s="127"/>
      <c r="K5" s="127"/>
      <c r="L5" s="127"/>
    </row>
    <row r="6" spans="1:12" ht="13.35" customHeight="1">
      <c r="A6" s="126" t="s">
        <v>10</v>
      </c>
      <c r="B6" s="127"/>
      <c r="C6" s="127"/>
      <c r="D6" s="128" t="s">
        <v>11</v>
      </c>
      <c r="E6" s="127"/>
      <c r="F6" s="127"/>
      <c r="G6" s="127"/>
      <c r="H6" s="127"/>
      <c r="I6" s="127"/>
      <c r="J6" s="127"/>
      <c r="K6" s="127"/>
      <c r="L6" s="127"/>
    </row>
    <row r="7" spans="1:12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</row>
    <row r="8" spans="1:12">
      <c r="A8" s="117" t="s">
        <v>12</v>
      </c>
      <c r="B8" s="117" t="s">
        <v>13</v>
      </c>
      <c r="C8" s="117" t="s">
        <v>14</v>
      </c>
      <c r="D8" s="117" t="s">
        <v>15</v>
      </c>
      <c r="E8" s="117" t="s">
        <v>16</v>
      </c>
      <c r="F8" s="117" t="s">
        <v>17</v>
      </c>
      <c r="G8" s="117" t="s">
        <v>18</v>
      </c>
      <c r="H8" s="117" t="s">
        <v>19</v>
      </c>
      <c r="I8" s="117" t="s">
        <v>20</v>
      </c>
      <c r="J8" s="117" t="s">
        <v>21</v>
      </c>
      <c r="K8" s="117" t="s">
        <v>22</v>
      </c>
      <c r="L8" s="117" t="s">
        <v>23</v>
      </c>
    </row>
    <row r="9" spans="1:12">
      <c r="A9" s="115" t="s">
        <v>24</v>
      </c>
      <c r="B9" s="115" t="s">
        <v>25</v>
      </c>
      <c r="C9" s="115" t="s">
        <v>26</v>
      </c>
      <c r="D9" s="115" t="s">
        <v>27</v>
      </c>
      <c r="E9" s="115" t="s">
        <v>28</v>
      </c>
      <c r="F9" s="115" t="s">
        <v>29</v>
      </c>
      <c r="G9" s="115" t="s">
        <v>29</v>
      </c>
      <c r="H9" s="115" t="s">
        <v>30</v>
      </c>
      <c r="I9" s="115" t="s">
        <v>29</v>
      </c>
      <c r="J9" s="115" t="s">
        <v>31</v>
      </c>
      <c r="K9" s="115" t="s">
        <v>28</v>
      </c>
      <c r="L9" s="115" t="s">
        <v>32</v>
      </c>
    </row>
    <row r="10" spans="1:12">
      <c r="A10" s="115" t="s">
        <v>33</v>
      </c>
      <c r="B10" s="115" t="s">
        <v>34</v>
      </c>
      <c r="C10" s="115" t="s">
        <v>35</v>
      </c>
      <c r="D10" s="115" t="s">
        <v>27</v>
      </c>
      <c r="E10" s="115"/>
      <c r="F10" s="115" t="s">
        <v>29</v>
      </c>
      <c r="G10" s="115" t="s">
        <v>29</v>
      </c>
      <c r="H10" s="115"/>
      <c r="I10" s="115"/>
      <c r="J10" s="115"/>
      <c r="K10" s="115" t="s">
        <v>31</v>
      </c>
      <c r="L10" s="115" t="s">
        <v>32</v>
      </c>
    </row>
    <row r="11" spans="1:12">
      <c r="A11" s="115" t="s">
        <v>36</v>
      </c>
      <c r="B11" s="115" t="s">
        <v>37</v>
      </c>
      <c r="C11" s="115" t="s">
        <v>38</v>
      </c>
      <c r="D11" s="115" t="s">
        <v>27</v>
      </c>
      <c r="E11" s="115" t="s">
        <v>28</v>
      </c>
      <c r="F11" s="115" t="s">
        <v>28</v>
      </c>
      <c r="G11" s="115" t="s">
        <v>28</v>
      </c>
      <c r="H11" s="115" t="s">
        <v>28</v>
      </c>
      <c r="I11" s="115" t="s">
        <v>28</v>
      </c>
      <c r="J11" s="115" t="s">
        <v>28</v>
      </c>
      <c r="K11" s="115" t="s">
        <v>28</v>
      </c>
      <c r="L11" s="115" t="s">
        <v>32</v>
      </c>
    </row>
    <row r="12" spans="1:12">
      <c r="A12" s="115" t="s">
        <v>39</v>
      </c>
      <c r="B12" s="115" t="s">
        <v>40</v>
      </c>
      <c r="C12" s="115" t="s">
        <v>41</v>
      </c>
      <c r="D12" s="115" t="s">
        <v>27</v>
      </c>
      <c r="E12" s="115" t="s">
        <v>28</v>
      </c>
      <c r="F12" s="115" t="s">
        <v>28</v>
      </c>
      <c r="G12" s="115" t="s">
        <v>28</v>
      </c>
      <c r="H12" s="115" t="s">
        <v>28</v>
      </c>
      <c r="I12" s="115" t="s">
        <v>28</v>
      </c>
      <c r="J12" s="115" t="s">
        <v>28</v>
      </c>
      <c r="K12" s="115" t="s">
        <v>28</v>
      </c>
      <c r="L12" s="115" t="s">
        <v>32</v>
      </c>
    </row>
    <row r="13" spans="1:12">
      <c r="A13" s="115" t="s">
        <v>42</v>
      </c>
      <c r="B13" s="115" t="s">
        <v>43</v>
      </c>
      <c r="C13" s="115" t="s">
        <v>44</v>
      </c>
      <c r="D13" s="115" t="s">
        <v>27</v>
      </c>
      <c r="E13" s="115" t="s">
        <v>28</v>
      </c>
      <c r="F13" s="115" t="s">
        <v>28</v>
      </c>
      <c r="G13" s="115" t="s">
        <v>45</v>
      </c>
      <c r="H13" s="115" t="s">
        <v>28</v>
      </c>
      <c r="I13" s="115" t="s">
        <v>45</v>
      </c>
      <c r="J13" s="115" t="s">
        <v>28</v>
      </c>
      <c r="K13" s="115" t="s">
        <v>31</v>
      </c>
      <c r="L13" s="115" t="s">
        <v>32</v>
      </c>
    </row>
    <row r="14" spans="1:12">
      <c r="A14" s="115" t="s">
        <v>46</v>
      </c>
      <c r="B14" s="115" t="s">
        <v>47</v>
      </c>
      <c r="C14" s="115" t="s">
        <v>48</v>
      </c>
      <c r="D14" s="115" t="s">
        <v>27</v>
      </c>
      <c r="E14" s="115" t="s">
        <v>49</v>
      </c>
      <c r="F14" s="115" t="s">
        <v>49</v>
      </c>
      <c r="G14" s="115" t="s">
        <v>49</v>
      </c>
      <c r="H14" s="115" t="s">
        <v>49</v>
      </c>
      <c r="I14" s="115" t="s">
        <v>49</v>
      </c>
      <c r="J14" s="115" t="s">
        <v>28</v>
      </c>
      <c r="K14" s="115" t="s">
        <v>28</v>
      </c>
      <c r="L14" s="115" t="s">
        <v>32</v>
      </c>
    </row>
    <row r="15" spans="1:12">
      <c r="A15" s="115" t="s">
        <v>50</v>
      </c>
      <c r="B15" s="115" t="s">
        <v>51</v>
      </c>
      <c r="C15" s="115" t="s">
        <v>52</v>
      </c>
      <c r="D15" s="115" t="s">
        <v>27</v>
      </c>
      <c r="E15" s="115" t="s">
        <v>53</v>
      </c>
      <c r="F15" s="115" t="s">
        <v>45</v>
      </c>
      <c r="G15" s="115" t="s">
        <v>45</v>
      </c>
      <c r="H15" s="115" t="s">
        <v>54</v>
      </c>
      <c r="I15" s="115" t="s">
        <v>28</v>
      </c>
      <c r="J15" s="115" t="s">
        <v>28</v>
      </c>
      <c r="K15" s="115" t="s">
        <v>31</v>
      </c>
      <c r="L15" s="115" t="s">
        <v>32</v>
      </c>
    </row>
    <row r="16" spans="1:12">
      <c r="A16" s="115" t="s">
        <v>55</v>
      </c>
      <c r="B16" s="115" t="s">
        <v>56</v>
      </c>
      <c r="C16" s="115" t="s">
        <v>57</v>
      </c>
      <c r="D16" s="115" t="s">
        <v>27</v>
      </c>
      <c r="E16" s="115" t="s">
        <v>28</v>
      </c>
      <c r="F16" s="115" t="s">
        <v>28</v>
      </c>
      <c r="G16" s="115" t="s">
        <v>28</v>
      </c>
      <c r="H16" s="115" t="s">
        <v>28</v>
      </c>
      <c r="I16" s="115" t="s">
        <v>28</v>
      </c>
      <c r="J16" s="115" t="s">
        <v>28</v>
      </c>
      <c r="K16" s="115" t="s">
        <v>28</v>
      </c>
      <c r="L16" s="115" t="s">
        <v>32</v>
      </c>
    </row>
    <row r="17" spans="1:12">
      <c r="A17" s="115" t="s">
        <v>58</v>
      </c>
      <c r="B17" s="115" t="s">
        <v>59</v>
      </c>
      <c r="C17" s="115" t="s">
        <v>60</v>
      </c>
      <c r="D17" s="115" t="s">
        <v>27</v>
      </c>
      <c r="E17" s="115" t="s">
        <v>28</v>
      </c>
      <c r="F17" s="115" t="s">
        <v>28</v>
      </c>
      <c r="G17" s="115" t="s">
        <v>28</v>
      </c>
      <c r="H17" s="115" t="s">
        <v>28</v>
      </c>
      <c r="I17" s="115" t="s">
        <v>28</v>
      </c>
      <c r="J17" s="115" t="s">
        <v>28</v>
      </c>
      <c r="K17" s="115" t="s">
        <v>28</v>
      </c>
      <c r="L17" s="115" t="s">
        <v>32</v>
      </c>
    </row>
    <row r="18" spans="1:12">
      <c r="A18" s="115" t="s">
        <v>61</v>
      </c>
      <c r="B18" s="115" t="s">
        <v>62</v>
      </c>
      <c r="C18" s="115" t="s">
        <v>63</v>
      </c>
      <c r="D18" s="115" t="s">
        <v>27</v>
      </c>
      <c r="E18" s="115" t="s">
        <v>28</v>
      </c>
      <c r="F18" s="115" t="s">
        <v>28</v>
      </c>
      <c r="G18" s="115" t="s">
        <v>28</v>
      </c>
      <c r="H18" s="115" t="s">
        <v>28</v>
      </c>
      <c r="I18" s="115" t="s">
        <v>28</v>
      </c>
      <c r="J18" s="115" t="s">
        <v>64</v>
      </c>
      <c r="K18" s="115"/>
      <c r="L18" s="115" t="s">
        <v>32</v>
      </c>
    </row>
    <row r="19" spans="1:12">
      <c r="A19" s="115" t="s">
        <v>65</v>
      </c>
      <c r="B19" s="115" t="s">
        <v>66</v>
      </c>
      <c r="C19" s="115" t="s">
        <v>67</v>
      </c>
      <c r="D19" s="115" t="s">
        <v>27</v>
      </c>
      <c r="E19" s="115" t="s">
        <v>28</v>
      </c>
      <c r="F19" s="115" t="s">
        <v>28</v>
      </c>
      <c r="G19" s="115" t="s">
        <v>28</v>
      </c>
      <c r="H19" s="115" t="s">
        <v>28</v>
      </c>
      <c r="I19" s="115" t="s">
        <v>28</v>
      </c>
      <c r="J19" s="115" t="s">
        <v>28</v>
      </c>
      <c r="K19" s="115" t="s">
        <v>28</v>
      </c>
      <c r="L19" s="115" t="s">
        <v>32</v>
      </c>
    </row>
    <row r="20" spans="1:12">
      <c r="A20" s="115" t="s">
        <v>68</v>
      </c>
      <c r="B20" s="115" t="s">
        <v>69</v>
      </c>
      <c r="C20" s="115" t="s">
        <v>70</v>
      </c>
      <c r="D20" s="115" t="s">
        <v>27</v>
      </c>
      <c r="E20" s="115" t="s">
        <v>28</v>
      </c>
      <c r="F20" s="115"/>
      <c r="G20" s="115"/>
      <c r="H20" s="115"/>
      <c r="I20" s="115"/>
      <c r="J20" s="115" t="s">
        <v>45</v>
      </c>
      <c r="K20" s="115"/>
      <c r="L20" s="115" t="s">
        <v>32</v>
      </c>
    </row>
    <row r="21" spans="1:12">
      <c r="A21" s="115" t="s">
        <v>71</v>
      </c>
      <c r="B21" s="115" t="s">
        <v>72</v>
      </c>
      <c r="C21" s="115" t="s">
        <v>73</v>
      </c>
      <c r="D21" s="115" t="s">
        <v>27</v>
      </c>
      <c r="E21" s="115" t="s">
        <v>28</v>
      </c>
      <c r="F21" s="115" t="s">
        <v>28</v>
      </c>
      <c r="G21" s="115" t="s">
        <v>28</v>
      </c>
      <c r="H21" s="115" t="s">
        <v>54</v>
      </c>
      <c r="I21" s="115" t="s">
        <v>28</v>
      </c>
      <c r="J21" s="115" t="s">
        <v>31</v>
      </c>
      <c r="K21" s="115" t="s">
        <v>31</v>
      </c>
      <c r="L21" s="115" t="s">
        <v>32</v>
      </c>
    </row>
    <row r="22" spans="1:12">
      <c r="A22" s="115" t="s">
        <v>74</v>
      </c>
      <c r="B22" s="115" t="s">
        <v>75</v>
      </c>
      <c r="C22" s="115" t="s">
        <v>76</v>
      </c>
      <c r="D22" s="115" t="s">
        <v>27</v>
      </c>
      <c r="E22" s="115"/>
      <c r="F22" s="115"/>
      <c r="G22" s="115" t="s">
        <v>28</v>
      </c>
      <c r="H22" s="115" t="s">
        <v>28</v>
      </c>
      <c r="I22" s="115" t="s">
        <v>28</v>
      </c>
      <c r="J22" s="115"/>
      <c r="K22" s="115" t="s">
        <v>28</v>
      </c>
      <c r="L22" s="115" t="s">
        <v>32</v>
      </c>
    </row>
    <row r="23" spans="1:12">
      <c r="A23" s="115" t="s">
        <v>77</v>
      </c>
      <c r="B23" s="115" t="s">
        <v>78</v>
      </c>
      <c r="C23" s="115" t="s">
        <v>79</v>
      </c>
      <c r="D23" s="115" t="s">
        <v>27</v>
      </c>
      <c r="E23" s="115" t="s">
        <v>28</v>
      </c>
      <c r="F23" s="115" t="s">
        <v>28</v>
      </c>
      <c r="G23" s="115" t="s">
        <v>28</v>
      </c>
      <c r="H23" s="115" t="s">
        <v>28</v>
      </c>
      <c r="I23" s="115" t="s">
        <v>28</v>
      </c>
      <c r="J23" s="115" t="s">
        <v>28</v>
      </c>
      <c r="K23" s="115" t="s">
        <v>28</v>
      </c>
      <c r="L23" s="115" t="s">
        <v>32</v>
      </c>
    </row>
    <row r="24" spans="1:12">
      <c r="A24" s="115" t="s">
        <v>80</v>
      </c>
      <c r="B24" s="115" t="s">
        <v>81</v>
      </c>
      <c r="C24" s="115" t="s">
        <v>82</v>
      </c>
      <c r="D24" s="115" t="s">
        <v>27</v>
      </c>
      <c r="E24" s="115" t="s">
        <v>53</v>
      </c>
      <c r="F24" s="115" t="s">
        <v>45</v>
      </c>
      <c r="G24" s="115" t="s">
        <v>29</v>
      </c>
      <c r="H24" s="115" t="s">
        <v>54</v>
      </c>
      <c r="I24" s="115" t="s">
        <v>28</v>
      </c>
      <c r="J24" s="115" t="s">
        <v>28</v>
      </c>
      <c r="K24" s="115" t="s">
        <v>31</v>
      </c>
      <c r="L24" s="115" t="s">
        <v>32</v>
      </c>
    </row>
    <row r="25" spans="1:12">
      <c r="A25" s="115" t="s">
        <v>83</v>
      </c>
      <c r="B25" s="115" t="s">
        <v>84</v>
      </c>
      <c r="C25" s="115" t="s">
        <v>85</v>
      </c>
      <c r="D25" s="115" t="s">
        <v>27</v>
      </c>
      <c r="E25" s="115" t="s">
        <v>86</v>
      </c>
      <c r="F25" s="115" t="s">
        <v>28</v>
      </c>
      <c r="G25" s="115" t="s">
        <v>28</v>
      </c>
      <c r="H25" s="115" t="s">
        <v>87</v>
      </c>
      <c r="I25" s="115" t="s">
        <v>86</v>
      </c>
      <c r="J25" s="115"/>
      <c r="K25" s="115" t="s">
        <v>28</v>
      </c>
      <c r="L25" s="115" t="s">
        <v>32</v>
      </c>
    </row>
    <row r="26" spans="1:12">
      <c r="A26" s="115" t="s">
        <v>88</v>
      </c>
      <c r="B26" s="115" t="s">
        <v>89</v>
      </c>
      <c r="C26" s="115" t="s">
        <v>90</v>
      </c>
      <c r="D26" s="115" t="s">
        <v>27</v>
      </c>
      <c r="E26" s="115"/>
      <c r="F26" s="115" t="s">
        <v>45</v>
      </c>
      <c r="G26" s="115"/>
      <c r="H26" s="115"/>
      <c r="I26" s="115"/>
      <c r="J26" s="115"/>
      <c r="K26" s="115" t="s">
        <v>91</v>
      </c>
      <c r="L26" s="115" t="s">
        <v>32</v>
      </c>
    </row>
    <row r="27" spans="1:12">
      <c r="A27" s="115" t="s">
        <v>92</v>
      </c>
      <c r="B27" s="115" t="s">
        <v>93</v>
      </c>
      <c r="C27" s="115" t="s">
        <v>94</v>
      </c>
      <c r="D27" s="115" t="s">
        <v>27</v>
      </c>
      <c r="E27" s="115" t="s">
        <v>28</v>
      </c>
      <c r="F27" s="115"/>
      <c r="G27" s="115"/>
      <c r="H27" s="115"/>
      <c r="I27" s="115"/>
      <c r="J27" s="115"/>
      <c r="K27" s="115" t="s">
        <v>31</v>
      </c>
      <c r="L27" s="115" t="s">
        <v>32</v>
      </c>
    </row>
    <row r="28" spans="1:12">
      <c r="A28" s="115" t="s">
        <v>95</v>
      </c>
      <c r="B28" s="115" t="s">
        <v>96</v>
      </c>
      <c r="C28" s="115" t="s">
        <v>97</v>
      </c>
      <c r="D28" s="115" t="s">
        <v>27</v>
      </c>
      <c r="E28" s="115" t="s">
        <v>28</v>
      </c>
      <c r="F28" s="115" t="s">
        <v>28</v>
      </c>
      <c r="G28" s="115" t="s">
        <v>45</v>
      </c>
      <c r="H28" s="115" t="s">
        <v>54</v>
      </c>
      <c r="I28" s="115" t="s">
        <v>28</v>
      </c>
      <c r="J28" s="115" t="s">
        <v>28</v>
      </c>
      <c r="K28" s="115" t="s">
        <v>31</v>
      </c>
      <c r="L28" s="115" t="s">
        <v>32</v>
      </c>
    </row>
    <row r="29" spans="1:12">
      <c r="A29" s="115" t="s">
        <v>98</v>
      </c>
      <c r="B29" s="115" t="s">
        <v>99</v>
      </c>
      <c r="C29" s="115" t="s">
        <v>100</v>
      </c>
      <c r="D29" s="115" t="s">
        <v>27</v>
      </c>
      <c r="E29" s="115"/>
      <c r="F29" s="115" t="s">
        <v>45</v>
      </c>
      <c r="G29" s="115" t="s">
        <v>29</v>
      </c>
      <c r="H29" s="115" t="s">
        <v>29</v>
      </c>
      <c r="I29" s="115" t="s">
        <v>45</v>
      </c>
      <c r="J29" s="115" t="s">
        <v>31</v>
      </c>
      <c r="K29" s="115" t="s">
        <v>28</v>
      </c>
      <c r="L29" s="115" t="s">
        <v>32</v>
      </c>
    </row>
    <row r="30" spans="1:12">
      <c r="A30" s="115" t="s">
        <v>101</v>
      </c>
      <c r="B30" s="115" t="s">
        <v>102</v>
      </c>
      <c r="C30" s="115" t="s">
        <v>103</v>
      </c>
      <c r="D30" s="115" t="s">
        <v>27</v>
      </c>
      <c r="E30" s="115"/>
      <c r="F30" s="115"/>
      <c r="G30" s="115"/>
      <c r="H30" s="115"/>
      <c r="I30" s="115"/>
      <c r="J30" s="115"/>
      <c r="K30" s="115"/>
      <c r="L30" s="115" t="s">
        <v>32</v>
      </c>
    </row>
    <row r="31" spans="1:12">
      <c r="A31" s="115" t="s">
        <v>104</v>
      </c>
      <c r="B31" s="115" t="s">
        <v>105</v>
      </c>
      <c r="C31" s="115" t="s">
        <v>106</v>
      </c>
      <c r="D31" s="115" t="s">
        <v>27</v>
      </c>
      <c r="E31" s="115" t="s">
        <v>28</v>
      </c>
      <c r="F31" s="115"/>
      <c r="G31" s="115" t="s">
        <v>28</v>
      </c>
      <c r="H31" s="115" t="s">
        <v>28</v>
      </c>
      <c r="I31" s="115"/>
      <c r="J31" s="115"/>
      <c r="K31" s="115" t="s">
        <v>107</v>
      </c>
      <c r="L31" s="115" t="s">
        <v>32</v>
      </c>
    </row>
    <row r="32" spans="1:12">
      <c r="A32" s="115" t="s">
        <v>108</v>
      </c>
      <c r="B32" s="115" t="s">
        <v>109</v>
      </c>
      <c r="C32" s="115" t="s">
        <v>110</v>
      </c>
      <c r="D32" s="115" t="s">
        <v>27</v>
      </c>
      <c r="E32" s="115" t="s">
        <v>53</v>
      </c>
      <c r="F32" s="115" t="s">
        <v>45</v>
      </c>
      <c r="G32" s="115" t="s">
        <v>45</v>
      </c>
      <c r="H32" s="115" t="s">
        <v>54</v>
      </c>
      <c r="I32" s="115"/>
      <c r="J32" s="115"/>
      <c r="K32" s="115" t="s">
        <v>91</v>
      </c>
      <c r="L32" s="115" t="s">
        <v>32</v>
      </c>
    </row>
    <row r="33" spans="1:12">
      <c r="A33" s="115" t="s">
        <v>111</v>
      </c>
      <c r="B33" s="115" t="s">
        <v>112</v>
      </c>
      <c r="C33" s="115" t="s">
        <v>113</v>
      </c>
      <c r="D33" s="115" t="s">
        <v>27</v>
      </c>
      <c r="E33" s="115" t="s">
        <v>28</v>
      </c>
      <c r="F33" s="115" t="s">
        <v>28</v>
      </c>
      <c r="G33" s="115" t="s">
        <v>29</v>
      </c>
      <c r="H33" s="115" t="s">
        <v>29</v>
      </c>
      <c r="I33" s="115" t="s">
        <v>28</v>
      </c>
      <c r="J33" s="115" t="s">
        <v>28</v>
      </c>
      <c r="K33" s="115" t="s">
        <v>91</v>
      </c>
      <c r="L33" s="115" t="s">
        <v>32</v>
      </c>
    </row>
    <row r="34" spans="1:12">
      <c r="A34" s="115" t="s">
        <v>114</v>
      </c>
      <c r="B34" s="115" t="s">
        <v>115</v>
      </c>
      <c r="C34" s="115" t="s">
        <v>116</v>
      </c>
      <c r="D34" s="115" t="s">
        <v>27</v>
      </c>
      <c r="E34" s="115" t="s">
        <v>29</v>
      </c>
      <c r="F34" s="115"/>
      <c r="G34" s="115"/>
      <c r="H34" s="115"/>
      <c r="I34" s="115"/>
      <c r="J34" s="115" t="s">
        <v>91</v>
      </c>
      <c r="K34" s="115" t="s">
        <v>28</v>
      </c>
      <c r="L34" s="115" t="s">
        <v>32</v>
      </c>
    </row>
    <row r="35" spans="1:12">
      <c r="A35" s="115" t="s">
        <v>117</v>
      </c>
      <c r="B35" s="115" t="s">
        <v>118</v>
      </c>
      <c r="C35" s="115" t="s">
        <v>119</v>
      </c>
      <c r="D35" s="115" t="s">
        <v>27</v>
      </c>
      <c r="E35" s="115" t="s">
        <v>45</v>
      </c>
      <c r="F35" s="115" t="s">
        <v>28</v>
      </c>
      <c r="G35" s="115" t="s">
        <v>28</v>
      </c>
      <c r="H35" s="115" t="s">
        <v>28</v>
      </c>
      <c r="I35" s="115" t="s">
        <v>45</v>
      </c>
      <c r="J35" s="115" t="s">
        <v>91</v>
      </c>
      <c r="K35" s="115"/>
      <c r="L35" s="115" t="s">
        <v>32</v>
      </c>
    </row>
    <row r="36" spans="1:12">
      <c r="A36" s="115" t="s">
        <v>120</v>
      </c>
      <c r="B36" s="115" t="s">
        <v>121</v>
      </c>
      <c r="C36" s="115" t="s">
        <v>122</v>
      </c>
      <c r="D36" s="115" t="s">
        <v>27</v>
      </c>
      <c r="E36" s="115"/>
      <c r="F36" s="115" t="s">
        <v>28</v>
      </c>
      <c r="G36" s="115" t="s">
        <v>28</v>
      </c>
      <c r="H36" s="115" t="s">
        <v>28</v>
      </c>
      <c r="I36" s="115" t="s">
        <v>45</v>
      </c>
      <c r="J36" s="115" t="s">
        <v>107</v>
      </c>
      <c r="K36" s="115" t="s">
        <v>91</v>
      </c>
      <c r="L36" s="115" t="s">
        <v>32</v>
      </c>
    </row>
    <row r="37" spans="1:12">
      <c r="A37" s="115" t="s">
        <v>123</v>
      </c>
      <c r="B37" s="115" t="s">
        <v>124</v>
      </c>
      <c r="C37" s="115" t="s">
        <v>125</v>
      </c>
      <c r="D37" s="115" t="s">
        <v>27</v>
      </c>
      <c r="E37" s="115" t="s">
        <v>28</v>
      </c>
      <c r="F37" s="115" t="s">
        <v>28</v>
      </c>
      <c r="G37" s="115" t="s">
        <v>28</v>
      </c>
      <c r="H37" s="115" t="s">
        <v>45</v>
      </c>
      <c r="I37" s="115" t="s">
        <v>45</v>
      </c>
      <c r="J37" s="115"/>
      <c r="K37" s="115" t="s">
        <v>31</v>
      </c>
      <c r="L37" s="115" t="s">
        <v>32</v>
      </c>
    </row>
    <row r="38" spans="1:12">
      <c r="A38" s="115" t="s">
        <v>126</v>
      </c>
      <c r="B38" s="115" t="s">
        <v>127</v>
      </c>
      <c r="C38" s="115" t="s">
        <v>128</v>
      </c>
      <c r="D38" s="115" t="s">
        <v>27</v>
      </c>
      <c r="E38" s="115"/>
      <c r="F38" s="115"/>
      <c r="G38" s="115"/>
      <c r="H38" s="115" t="s">
        <v>28</v>
      </c>
      <c r="I38" s="115" t="s">
        <v>29</v>
      </c>
      <c r="J38" s="115" t="s">
        <v>31</v>
      </c>
      <c r="K38" s="115" t="s">
        <v>45</v>
      </c>
      <c r="L38" s="115" t="s">
        <v>32</v>
      </c>
    </row>
    <row r="39" spans="1:12">
      <c r="A39" s="115" t="s">
        <v>129</v>
      </c>
      <c r="B39" s="115" t="s">
        <v>130</v>
      </c>
      <c r="C39" s="115" t="s">
        <v>131</v>
      </c>
      <c r="D39" s="115" t="s">
        <v>27</v>
      </c>
      <c r="E39" s="115" t="s">
        <v>28</v>
      </c>
      <c r="F39" s="115" t="s">
        <v>28</v>
      </c>
      <c r="G39" s="115" t="s">
        <v>28</v>
      </c>
      <c r="H39" s="115" t="s">
        <v>28</v>
      </c>
      <c r="I39" s="115"/>
      <c r="J39" s="115"/>
      <c r="K39" s="115" t="s">
        <v>28</v>
      </c>
      <c r="L39" s="115" t="s">
        <v>32</v>
      </c>
    </row>
    <row r="40" spans="1:12">
      <c r="A40" s="115" t="s">
        <v>132</v>
      </c>
      <c r="B40" s="115" t="s">
        <v>133</v>
      </c>
      <c r="C40" s="115" t="s">
        <v>134</v>
      </c>
      <c r="D40" s="115" t="s">
        <v>27</v>
      </c>
      <c r="E40" s="115" t="s">
        <v>28</v>
      </c>
      <c r="F40" s="115" t="s">
        <v>28</v>
      </c>
      <c r="G40" s="115" t="s">
        <v>28</v>
      </c>
      <c r="H40" s="115"/>
      <c r="I40" s="115"/>
      <c r="J40" s="115"/>
      <c r="K40" s="115" t="s">
        <v>28</v>
      </c>
      <c r="L40" s="115" t="s">
        <v>32</v>
      </c>
    </row>
    <row r="41" spans="1:12">
      <c r="A41" s="115" t="s">
        <v>135</v>
      </c>
      <c r="B41" s="115" t="s">
        <v>136</v>
      </c>
      <c r="C41" s="115" t="s">
        <v>137</v>
      </c>
      <c r="D41" s="115" t="s">
        <v>27</v>
      </c>
      <c r="E41" s="115" t="s">
        <v>29</v>
      </c>
      <c r="F41" s="115" t="s">
        <v>29</v>
      </c>
      <c r="G41" s="115" t="s">
        <v>29</v>
      </c>
      <c r="H41" s="115"/>
      <c r="I41" s="115"/>
      <c r="J41" s="115"/>
      <c r="K41" s="115" t="s">
        <v>91</v>
      </c>
      <c r="L41" s="115" t="s">
        <v>32</v>
      </c>
    </row>
    <row r="42" spans="1:12">
      <c r="A42" s="115" t="s">
        <v>138</v>
      </c>
      <c r="B42" s="115" t="s">
        <v>139</v>
      </c>
      <c r="C42" s="115" t="s">
        <v>90</v>
      </c>
      <c r="D42" s="115" t="s">
        <v>27</v>
      </c>
      <c r="E42" s="115" t="s">
        <v>29</v>
      </c>
      <c r="F42" s="115" t="s">
        <v>28</v>
      </c>
      <c r="G42" s="115" t="s">
        <v>28</v>
      </c>
      <c r="H42" s="115" t="s">
        <v>29</v>
      </c>
      <c r="I42" s="115" t="s">
        <v>45</v>
      </c>
      <c r="J42" s="115"/>
      <c r="K42" s="115" t="s">
        <v>28</v>
      </c>
      <c r="L42" s="115" t="s">
        <v>32</v>
      </c>
    </row>
    <row r="43" spans="1:12">
      <c r="A43" s="115" t="s">
        <v>140</v>
      </c>
      <c r="B43" s="115" t="s">
        <v>141</v>
      </c>
      <c r="C43" s="115" t="s">
        <v>142</v>
      </c>
      <c r="D43" s="115" t="s">
        <v>27</v>
      </c>
      <c r="E43" s="115"/>
      <c r="F43" s="115"/>
      <c r="G43" s="115" t="s">
        <v>28</v>
      </c>
      <c r="H43" s="115" t="s">
        <v>28</v>
      </c>
      <c r="I43" s="115" t="s">
        <v>28</v>
      </c>
      <c r="J43" s="115"/>
      <c r="K43" s="115" t="s">
        <v>28</v>
      </c>
      <c r="L43" s="115" t="s">
        <v>32</v>
      </c>
    </row>
    <row r="44" spans="1:12">
      <c r="A44" s="115" t="s">
        <v>143</v>
      </c>
      <c r="B44" s="115" t="s">
        <v>144</v>
      </c>
      <c r="C44" s="115" t="s">
        <v>145</v>
      </c>
      <c r="D44" s="115" t="s">
        <v>27</v>
      </c>
      <c r="E44" s="115"/>
      <c r="F44" s="115"/>
      <c r="G44" s="115" t="s">
        <v>29</v>
      </c>
      <c r="H44" s="115" t="s">
        <v>28</v>
      </c>
      <c r="I44" s="115" t="s">
        <v>29</v>
      </c>
      <c r="J44" s="115"/>
      <c r="K44" s="115" t="s">
        <v>91</v>
      </c>
      <c r="L44" s="115" t="s">
        <v>32</v>
      </c>
    </row>
    <row r="45" spans="1:12">
      <c r="A45" s="115" t="s">
        <v>146</v>
      </c>
      <c r="B45" s="115" t="s">
        <v>147</v>
      </c>
      <c r="C45" s="115" t="s">
        <v>148</v>
      </c>
      <c r="D45" s="115" t="s">
        <v>27</v>
      </c>
      <c r="E45" s="115" t="s">
        <v>45</v>
      </c>
      <c r="F45" s="115"/>
      <c r="G45" s="115"/>
      <c r="H45" s="115"/>
      <c r="I45" s="115" t="s">
        <v>29</v>
      </c>
      <c r="J45" s="115"/>
      <c r="K45" s="115"/>
      <c r="L45" s="115" t="s">
        <v>32</v>
      </c>
    </row>
    <row r="46" spans="1:12">
      <c r="A46" s="115" t="s">
        <v>149</v>
      </c>
      <c r="B46" s="115" t="s">
        <v>150</v>
      </c>
      <c r="C46" s="115" t="s">
        <v>70</v>
      </c>
      <c r="D46" s="115" t="s">
        <v>27</v>
      </c>
      <c r="E46" s="115" t="s">
        <v>28</v>
      </c>
      <c r="F46" s="115" t="s">
        <v>45</v>
      </c>
      <c r="G46" s="115" t="s">
        <v>28</v>
      </c>
      <c r="H46" s="115" t="s">
        <v>31</v>
      </c>
      <c r="I46" s="115" t="s">
        <v>28</v>
      </c>
      <c r="J46" s="115" t="s">
        <v>91</v>
      </c>
      <c r="K46" s="115" t="s">
        <v>28</v>
      </c>
      <c r="L46" s="115" t="s">
        <v>32</v>
      </c>
    </row>
    <row r="47" spans="1:12">
      <c r="A47" s="115" t="s">
        <v>151</v>
      </c>
      <c r="B47" s="115" t="s">
        <v>152</v>
      </c>
      <c r="C47" s="115" t="s">
        <v>153</v>
      </c>
      <c r="D47" s="115" t="s">
        <v>27</v>
      </c>
      <c r="E47" s="115" t="s">
        <v>45</v>
      </c>
      <c r="F47" s="115"/>
      <c r="G47" s="115"/>
      <c r="H47" s="115"/>
      <c r="I47" s="115" t="s">
        <v>29</v>
      </c>
      <c r="J47" s="115" t="s">
        <v>31</v>
      </c>
      <c r="K47" s="115" t="s">
        <v>28</v>
      </c>
      <c r="L47" s="115" t="s">
        <v>32</v>
      </c>
    </row>
    <row r="48" spans="1:12">
      <c r="A48" s="115" t="s">
        <v>154</v>
      </c>
      <c r="B48" s="115" t="s">
        <v>155</v>
      </c>
      <c r="C48" s="115" t="s">
        <v>156</v>
      </c>
      <c r="D48" s="115" t="s">
        <v>27</v>
      </c>
      <c r="E48" s="115" t="s">
        <v>28</v>
      </c>
      <c r="F48" s="115" t="s">
        <v>28</v>
      </c>
      <c r="G48" s="115" t="s">
        <v>28</v>
      </c>
      <c r="H48" s="115" t="s">
        <v>28</v>
      </c>
      <c r="I48" s="115" t="s">
        <v>28</v>
      </c>
      <c r="J48" s="115" t="s">
        <v>28</v>
      </c>
      <c r="K48" s="115" t="s">
        <v>28</v>
      </c>
      <c r="L48" s="115" t="s">
        <v>32</v>
      </c>
    </row>
    <row r="49" spans="1:12">
      <c r="A49" s="115" t="s">
        <v>157</v>
      </c>
      <c r="B49" s="115" t="s">
        <v>158</v>
      </c>
      <c r="C49" s="115" t="s">
        <v>159</v>
      </c>
      <c r="D49" s="115" t="s">
        <v>27</v>
      </c>
      <c r="E49" s="115" t="s">
        <v>28</v>
      </c>
      <c r="F49" s="115"/>
      <c r="G49" s="115"/>
      <c r="H49" s="115"/>
      <c r="I49" s="115" t="s">
        <v>28</v>
      </c>
      <c r="J49" s="115" t="s">
        <v>28</v>
      </c>
      <c r="K49" s="115"/>
      <c r="L49" s="115" t="s">
        <v>32</v>
      </c>
    </row>
    <row r="50" spans="1:12">
      <c r="A50" s="115" t="s">
        <v>160</v>
      </c>
      <c r="B50" s="115" t="s">
        <v>161</v>
      </c>
      <c r="C50" s="115" t="s">
        <v>162</v>
      </c>
      <c r="D50" s="115" t="s">
        <v>27</v>
      </c>
      <c r="E50" s="115" t="s">
        <v>28</v>
      </c>
      <c r="F50" s="115" t="s">
        <v>28</v>
      </c>
      <c r="G50" s="115" t="s">
        <v>28</v>
      </c>
      <c r="H50" s="115" t="s">
        <v>28</v>
      </c>
      <c r="I50" s="115" t="s">
        <v>28</v>
      </c>
      <c r="J50" s="115" t="s">
        <v>28</v>
      </c>
      <c r="K50" s="115" t="s">
        <v>28</v>
      </c>
      <c r="L50" s="115" t="s">
        <v>32</v>
      </c>
    </row>
    <row r="51" spans="1:12">
      <c r="A51" s="115" t="s">
        <v>163</v>
      </c>
      <c r="B51" s="115" t="s">
        <v>164</v>
      </c>
      <c r="C51" s="115" t="s">
        <v>165</v>
      </c>
      <c r="D51" s="115" t="s">
        <v>27</v>
      </c>
      <c r="E51" s="115"/>
      <c r="F51" s="115" t="s">
        <v>28</v>
      </c>
      <c r="G51" s="115"/>
      <c r="H51" s="115" t="s">
        <v>28</v>
      </c>
      <c r="I51" s="115" t="s">
        <v>166</v>
      </c>
      <c r="J51" s="115" t="s">
        <v>28</v>
      </c>
      <c r="K51" s="115" t="s">
        <v>28</v>
      </c>
      <c r="L51" s="115" t="s">
        <v>32</v>
      </c>
    </row>
    <row r="52" spans="1:12">
      <c r="A52" s="115" t="s">
        <v>167</v>
      </c>
      <c r="B52" s="115" t="s">
        <v>168</v>
      </c>
      <c r="C52" s="115" t="s">
        <v>169</v>
      </c>
      <c r="D52" s="115" t="s">
        <v>27</v>
      </c>
      <c r="E52" s="115"/>
      <c r="F52" s="115"/>
      <c r="G52" s="115"/>
      <c r="H52" s="115"/>
      <c r="I52" s="115"/>
      <c r="J52" s="115" t="s">
        <v>28</v>
      </c>
      <c r="K52" s="115"/>
      <c r="L52" s="115" t="s">
        <v>32</v>
      </c>
    </row>
    <row r="53" spans="1:12">
      <c r="A53" s="115" t="s">
        <v>170</v>
      </c>
      <c r="B53" s="115" t="s">
        <v>171</v>
      </c>
      <c r="C53" s="115" t="s">
        <v>172</v>
      </c>
      <c r="D53" s="115" t="s">
        <v>27</v>
      </c>
      <c r="E53" s="115" t="s">
        <v>28</v>
      </c>
      <c r="F53" s="115" t="s">
        <v>28</v>
      </c>
      <c r="G53" s="115" t="s">
        <v>28</v>
      </c>
      <c r="H53" s="115" t="s">
        <v>28</v>
      </c>
      <c r="I53" s="115" t="s">
        <v>28</v>
      </c>
      <c r="J53" s="115" t="s">
        <v>28</v>
      </c>
      <c r="K53" s="115" t="s">
        <v>28</v>
      </c>
      <c r="L53" s="115" t="s">
        <v>32</v>
      </c>
    </row>
    <row r="54" spans="1:12">
      <c r="A54" s="115" t="s">
        <v>173</v>
      </c>
      <c r="B54" s="115" t="s">
        <v>174</v>
      </c>
      <c r="C54" s="115" t="s">
        <v>175</v>
      </c>
      <c r="D54" s="115" t="s">
        <v>27</v>
      </c>
      <c r="E54" s="115" t="s">
        <v>28</v>
      </c>
      <c r="F54" s="115" t="s">
        <v>28</v>
      </c>
      <c r="G54" s="115" t="s">
        <v>28</v>
      </c>
      <c r="H54" s="115" t="s">
        <v>45</v>
      </c>
      <c r="I54" s="115" t="s">
        <v>29</v>
      </c>
      <c r="J54" s="115" t="s">
        <v>91</v>
      </c>
      <c r="K54" s="115" t="s">
        <v>28</v>
      </c>
      <c r="L54" s="115" t="s">
        <v>32</v>
      </c>
    </row>
    <row r="55" spans="1:12">
      <c r="A55" s="115" t="s">
        <v>176</v>
      </c>
      <c r="B55" s="115" t="s">
        <v>177</v>
      </c>
      <c r="C55" s="115" t="s">
        <v>90</v>
      </c>
      <c r="D55" s="115" t="s">
        <v>27</v>
      </c>
      <c r="E55" s="115" t="s">
        <v>28</v>
      </c>
      <c r="F55" s="115" t="s">
        <v>28</v>
      </c>
      <c r="G55" s="115" t="s">
        <v>28</v>
      </c>
      <c r="H55" s="115" t="s">
        <v>28</v>
      </c>
      <c r="I55" s="115" t="s">
        <v>28</v>
      </c>
      <c r="J55" s="115"/>
      <c r="K55" s="115" t="s">
        <v>28</v>
      </c>
      <c r="L55" s="115" t="s">
        <v>32</v>
      </c>
    </row>
    <row r="56" spans="1:12">
      <c r="A56" s="115" t="s">
        <v>178</v>
      </c>
      <c r="B56" s="115" t="s">
        <v>179</v>
      </c>
      <c r="C56" s="115" t="s">
        <v>180</v>
      </c>
      <c r="D56" s="115" t="s">
        <v>27</v>
      </c>
      <c r="E56" s="115" t="s">
        <v>53</v>
      </c>
      <c r="F56" s="115" t="s">
        <v>45</v>
      </c>
      <c r="G56" s="115" t="s">
        <v>45</v>
      </c>
      <c r="H56" s="115" t="s">
        <v>54</v>
      </c>
      <c r="I56" s="115" t="s">
        <v>28</v>
      </c>
      <c r="J56" s="115"/>
      <c r="K56" s="115" t="s">
        <v>91</v>
      </c>
      <c r="L56" s="115" t="s">
        <v>32</v>
      </c>
    </row>
    <row r="57" spans="1:12">
      <c r="A57" s="115" t="s">
        <v>181</v>
      </c>
      <c r="B57" s="115" t="s">
        <v>182</v>
      </c>
      <c r="C57" s="115" t="s">
        <v>183</v>
      </c>
      <c r="D57" s="115" t="s">
        <v>27</v>
      </c>
      <c r="E57" s="115" t="s">
        <v>28</v>
      </c>
      <c r="F57" s="115" t="s">
        <v>30</v>
      </c>
      <c r="G57" s="115" t="s">
        <v>45</v>
      </c>
      <c r="H57" s="115" t="s">
        <v>31</v>
      </c>
      <c r="I57" s="115" t="s">
        <v>45</v>
      </c>
      <c r="J57" s="115" t="s">
        <v>91</v>
      </c>
      <c r="K57" s="115" t="s">
        <v>28</v>
      </c>
      <c r="L57" s="115" t="s">
        <v>32</v>
      </c>
    </row>
    <row r="58" spans="1:12">
      <c r="A58" s="115" t="s">
        <v>184</v>
      </c>
      <c r="B58" s="115" t="s">
        <v>185</v>
      </c>
      <c r="C58" s="115" t="s">
        <v>186</v>
      </c>
      <c r="D58" s="115" t="s">
        <v>27</v>
      </c>
      <c r="E58" s="115" t="s">
        <v>28</v>
      </c>
      <c r="F58" s="115" t="s">
        <v>28</v>
      </c>
      <c r="G58" s="115" t="s">
        <v>28</v>
      </c>
      <c r="H58" s="115" t="s">
        <v>28</v>
      </c>
      <c r="I58" s="115" t="s">
        <v>28</v>
      </c>
      <c r="J58" s="115" t="s">
        <v>28</v>
      </c>
      <c r="K58" s="115" t="s">
        <v>28</v>
      </c>
      <c r="L58" s="115" t="s">
        <v>32</v>
      </c>
    </row>
    <row r="59" spans="1:12">
      <c r="A59" s="115" t="s">
        <v>187</v>
      </c>
      <c r="B59" s="115" t="s">
        <v>188</v>
      </c>
      <c r="C59" s="115" t="s">
        <v>189</v>
      </c>
      <c r="D59" s="115" t="s">
        <v>27</v>
      </c>
      <c r="E59" s="115" t="s">
        <v>29</v>
      </c>
      <c r="F59" s="115" t="s">
        <v>28</v>
      </c>
      <c r="G59" s="115" t="s">
        <v>28</v>
      </c>
      <c r="H59" s="115" t="s">
        <v>28</v>
      </c>
      <c r="I59" s="115" t="s">
        <v>29</v>
      </c>
      <c r="J59" s="115" t="s">
        <v>31</v>
      </c>
      <c r="K59" s="115"/>
      <c r="L59" s="115" t="s">
        <v>32</v>
      </c>
    </row>
    <row r="60" spans="1:12">
      <c r="A60" s="115" t="s">
        <v>190</v>
      </c>
      <c r="B60" s="115" t="s">
        <v>191</v>
      </c>
      <c r="C60" s="115" t="s">
        <v>63</v>
      </c>
      <c r="D60" s="115" t="s">
        <v>27</v>
      </c>
      <c r="E60" s="115" t="s">
        <v>28</v>
      </c>
      <c r="F60" s="115" t="s">
        <v>28</v>
      </c>
      <c r="G60" s="115" t="s">
        <v>28</v>
      </c>
      <c r="H60" s="115" t="s">
        <v>28</v>
      </c>
      <c r="I60" s="115" t="s">
        <v>28</v>
      </c>
      <c r="J60" s="115" t="s">
        <v>28</v>
      </c>
      <c r="K60" s="115" t="s">
        <v>28</v>
      </c>
      <c r="L60" s="115" t="s">
        <v>32</v>
      </c>
    </row>
    <row r="61" spans="1:12">
      <c r="A61" s="115" t="s">
        <v>192</v>
      </c>
      <c r="B61" s="115" t="s">
        <v>193</v>
      </c>
      <c r="C61" s="115" t="s">
        <v>194</v>
      </c>
      <c r="D61" s="115" t="s">
        <v>27</v>
      </c>
      <c r="E61" s="115" t="s">
        <v>30</v>
      </c>
      <c r="F61" s="115" t="s">
        <v>29</v>
      </c>
      <c r="G61" s="115" t="s">
        <v>29</v>
      </c>
      <c r="H61" s="115" t="s">
        <v>29</v>
      </c>
      <c r="I61" s="115" t="s">
        <v>29</v>
      </c>
      <c r="J61" s="115" t="s">
        <v>28</v>
      </c>
      <c r="K61" s="115" t="s">
        <v>28</v>
      </c>
      <c r="L61" s="115" t="s">
        <v>32</v>
      </c>
    </row>
    <row r="62" spans="1:1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12">
    <mergeCell ref="A4:C4"/>
    <mergeCell ref="A5:C5"/>
    <mergeCell ref="A6:C6"/>
    <mergeCell ref="D4:L4"/>
    <mergeCell ref="D5:L5"/>
    <mergeCell ref="D6:L6"/>
    <mergeCell ref="A1:C1"/>
    <mergeCell ref="A2:C2"/>
    <mergeCell ref="A3:C3"/>
    <mergeCell ref="D1:L1"/>
    <mergeCell ref="D2:L2"/>
    <mergeCell ref="D3:L3"/>
  </mergeCells>
  <pageMargins left="0.75" right="0.75" top="1" bottom="1" header="0" footer="0"/>
  <pageSetup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499984740745262"/>
  </sheetPr>
  <dimension ref="B2:Z42"/>
  <sheetViews>
    <sheetView zoomScale="115" zoomScaleNormal="115" workbookViewId="0">
      <selection activeCell="C14" sqref="C14"/>
    </sheetView>
  </sheetViews>
  <sheetFormatPr defaultColWidth="8.85546875" defaultRowHeight="9.9499999999999993"/>
  <cols>
    <col min="1" max="2" width="3" style="9" customWidth="1"/>
    <col min="3" max="3" width="3.5703125" style="9" customWidth="1"/>
    <col min="4" max="4" width="16.140625" style="9" bestFit="1" customWidth="1"/>
    <col min="5" max="5" width="7.85546875" style="9" bestFit="1" customWidth="1"/>
    <col min="6" max="6" width="8.140625" style="9" bestFit="1" customWidth="1"/>
    <col min="7" max="7" width="9.5703125" style="9" bestFit="1" customWidth="1"/>
    <col min="8" max="8" width="4" style="9" bestFit="1" customWidth="1"/>
    <col min="9" max="9" width="5.42578125" style="9" bestFit="1" customWidth="1"/>
    <col min="10" max="16384" width="8.85546875" style="9"/>
  </cols>
  <sheetData>
    <row r="2" spans="2:26">
      <c r="B2" s="25" t="s">
        <v>195</v>
      </c>
    </row>
    <row r="3" spans="2:26">
      <c r="B3" s="25" t="s">
        <v>196</v>
      </c>
    </row>
    <row r="5" spans="2:26" ht="10.5">
      <c r="D5" s="26" t="s">
        <v>197</v>
      </c>
      <c r="E5" s="26" t="s">
        <v>198</v>
      </c>
      <c r="F5" s="26" t="s">
        <v>199</v>
      </c>
      <c r="G5" s="27"/>
      <c r="H5" s="26" t="s">
        <v>200</v>
      </c>
    </row>
    <row r="6" spans="2:26" ht="10.5">
      <c r="D6" s="28" t="s">
        <v>201</v>
      </c>
      <c r="E6" s="28">
        <v>0</v>
      </c>
      <c r="F6" s="28">
        <v>0</v>
      </c>
      <c r="G6" s="28"/>
      <c r="H6" s="29">
        <v>1.0416666666666666E-2</v>
      </c>
    </row>
    <row r="7" spans="2:26" ht="10.5">
      <c r="D7" s="30" t="s">
        <v>202</v>
      </c>
      <c r="E7" s="30">
        <v>1</v>
      </c>
      <c r="F7" s="30">
        <v>0</v>
      </c>
      <c r="G7" s="30" t="s">
        <v>203</v>
      </c>
      <c r="H7" s="31">
        <v>3.125E-2</v>
      </c>
    </row>
    <row r="8" spans="2:26" ht="10.5">
      <c r="D8" s="32" t="s">
        <v>204</v>
      </c>
      <c r="E8" s="32">
        <v>1</v>
      </c>
      <c r="F8" s="32">
        <v>1</v>
      </c>
      <c r="G8" s="32" t="s">
        <v>205</v>
      </c>
      <c r="H8" s="33">
        <v>0.22916666666666666</v>
      </c>
    </row>
    <row r="9" spans="2:26" ht="10.5">
      <c r="D9" s="34" t="s">
        <v>206</v>
      </c>
      <c r="E9" s="34">
        <v>2</v>
      </c>
      <c r="F9" s="34">
        <v>1</v>
      </c>
      <c r="G9" s="34" t="s">
        <v>207</v>
      </c>
      <c r="H9" s="35">
        <v>3.125E-2</v>
      </c>
    </row>
    <row r="10" spans="2:26" ht="10.5">
      <c r="D10" s="36" t="s">
        <v>208</v>
      </c>
      <c r="E10" s="36">
        <v>2</v>
      </c>
      <c r="F10" s="36">
        <v>2</v>
      </c>
      <c r="G10" s="36" t="s">
        <v>209</v>
      </c>
      <c r="H10" s="37">
        <v>0.16666666666666666</v>
      </c>
    </row>
    <row r="12" spans="2:26">
      <c r="F12" s="38"/>
      <c r="H12" s="38"/>
      <c r="K12" s="38"/>
      <c r="L12" s="38"/>
      <c r="O12" s="38"/>
      <c r="P12" s="38"/>
      <c r="Q12" s="38"/>
      <c r="R12" s="38"/>
      <c r="S12" s="38"/>
      <c r="V12" s="38"/>
      <c r="Y12" s="38"/>
      <c r="Z12" s="38"/>
    </row>
    <row r="13" spans="2:26">
      <c r="C13" s="16" t="s">
        <v>210</v>
      </c>
      <c r="D13" s="9" t="s">
        <v>211</v>
      </c>
    </row>
    <row r="14" spans="2:26">
      <c r="C14" s="17" t="s">
        <v>212</v>
      </c>
      <c r="D14" s="9" t="s">
        <v>213</v>
      </c>
    </row>
    <row r="15" spans="2:26">
      <c r="C15" s="18" t="s">
        <v>214</v>
      </c>
      <c r="D15" s="9" t="s">
        <v>215</v>
      </c>
      <c r="P15" s="38"/>
      <c r="Q15" s="38"/>
    </row>
    <row r="16" spans="2:26">
      <c r="C16" s="20" t="s">
        <v>216</v>
      </c>
      <c r="D16" s="9" t="s">
        <v>217</v>
      </c>
    </row>
    <row r="17" spans="3:4">
      <c r="C17" s="19" t="s">
        <v>218</v>
      </c>
      <c r="D17" s="9" t="s">
        <v>219</v>
      </c>
    </row>
    <row r="18" spans="3:4">
      <c r="C18" s="11" t="s">
        <v>220</v>
      </c>
      <c r="D18" s="9" t="s">
        <v>221</v>
      </c>
    </row>
    <row r="19" spans="3:4">
      <c r="C19" s="12" t="s">
        <v>222</v>
      </c>
      <c r="D19" s="9" t="s">
        <v>223</v>
      </c>
    </row>
    <row r="20" spans="3:4">
      <c r="C20" s="14" t="s">
        <v>224</v>
      </c>
      <c r="D20" s="9" t="s">
        <v>225</v>
      </c>
    </row>
    <row r="21" spans="3:4">
      <c r="C21" s="15" t="s">
        <v>226</v>
      </c>
      <c r="D21" s="9" t="s">
        <v>227</v>
      </c>
    </row>
    <row r="22" spans="3:4">
      <c r="C22" s="13" t="s">
        <v>228</v>
      </c>
      <c r="D22" s="9" t="s">
        <v>229</v>
      </c>
    </row>
    <row r="23" spans="3:4">
      <c r="C23" s="42" t="s">
        <v>230</v>
      </c>
      <c r="D23" s="9" t="s">
        <v>231</v>
      </c>
    </row>
    <row r="24" spans="3:4">
      <c r="C24" s="46">
        <v>40</v>
      </c>
      <c r="D24" s="9" t="s">
        <v>232</v>
      </c>
    </row>
    <row r="25" spans="3:4">
      <c r="C25" s="46">
        <v>15</v>
      </c>
      <c r="D25" s="9" t="s">
        <v>233</v>
      </c>
    </row>
    <row r="26" spans="3:4">
      <c r="C26" s="46">
        <v>10</v>
      </c>
      <c r="D26" s="9" t="s">
        <v>234</v>
      </c>
    </row>
    <row r="27" spans="3:4">
      <c r="C27" s="40" t="s">
        <v>235</v>
      </c>
      <c r="D27" s="9" t="s">
        <v>236</v>
      </c>
    </row>
    <row r="28" spans="3:4">
      <c r="C28" s="41" t="s">
        <v>237</v>
      </c>
      <c r="D28" s="9" t="s">
        <v>238</v>
      </c>
    </row>
    <row r="29" spans="3:4">
      <c r="C29" s="45" t="s">
        <v>239</v>
      </c>
      <c r="D29" s="9" t="s">
        <v>240</v>
      </c>
    </row>
    <row r="30" spans="3:4">
      <c r="C30" s="21" t="s">
        <v>241</v>
      </c>
      <c r="D30" s="9" t="s">
        <v>242</v>
      </c>
    </row>
    <row r="31" spans="3:4">
      <c r="C31" s="43" t="s">
        <v>243</v>
      </c>
      <c r="D31" s="9" t="s">
        <v>244</v>
      </c>
    </row>
    <row r="32" spans="3:4">
      <c r="C32" s="44" t="s">
        <v>245</v>
      </c>
      <c r="D32" s="9" t="s">
        <v>246</v>
      </c>
    </row>
    <row r="33" spans="3:4">
      <c r="C33" s="39" t="s">
        <v>247</v>
      </c>
      <c r="D33" s="9" t="s">
        <v>248</v>
      </c>
    </row>
    <row r="34" spans="3:4">
      <c r="C34" s="39" t="s">
        <v>249</v>
      </c>
      <c r="D34" s="9" t="s">
        <v>250</v>
      </c>
    </row>
    <row r="35" spans="3:4">
      <c r="C35" s="39" t="s">
        <v>251</v>
      </c>
      <c r="D35" s="9" t="s">
        <v>252</v>
      </c>
    </row>
    <row r="36" spans="3:4">
      <c r="C36" s="39" t="s">
        <v>253</v>
      </c>
      <c r="D36" s="9" t="s">
        <v>254</v>
      </c>
    </row>
    <row r="37" spans="3:4">
      <c r="C37" s="39" t="s">
        <v>255</v>
      </c>
      <c r="D37" s="9" t="s">
        <v>256</v>
      </c>
    </row>
    <row r="38" spans="3:4">
      <c r="C38" s="39" t="s">
        <v>257</v>
      </c>
      <c r="D38" s="9" t="s">
        <v>258</v>
      </c>
    </row>
    <row r="39" spans="3:4">
      <c r="C39" s="10" t="s">
        <v>259</v>
      </c>
      <c r="D39" s="9" t="s">
        <v>260</v>
      </c>
    </row>
    <row r="40" spans="3:4">
      <c r="C40" s="10" t="s">
        <v>261</v>
      </c>
      <c r="D40" s="9" t="s">
        <v>262</v>
      </c>
    </row>
    <row r="41" spans="3:4">
      <c r="C41" s="10" t="s">
        <v>263</v>
      </c>
      <c r="D41" s="9" t="s">
        <v>264</v>
      </c>
    </row>
    <row r="42" spans="3:4">
      <c r="C42" s="10" t="s">
        <v>265</v>
      </c>
      <c r="D42" s="9" t="s">
        <v>266</v>
      </c>
    </row>
  </sheetData>
  <conditionalFormatting sqref="C13:C42">
    <cfRule type="containsBlanks" dxfId="1071" priority="1" stopIfTrue="1">
      <formula>LEN(TRIM(C13))=0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499984740745262"/>
  </sheetPr>
  <dimension ref="B2:L56"/>
  <sheetViews>
    <sheetView zoomScale="70" zoomScaleNormal="70" workbookViewId="0">
      <selection activeCell="C4" sqref="C4"/>
    </sheetView>
  </sheetViews>
  <sheetFormatPr defaultColWidth="8.85546875" defaultRowHeight="12.6"/>
  <cols>
    <col min="1" max="1" width="8.85546875" style="3"/>
    <col min="2" max="2" width="10.42578125" style="3" bestFit="1" customWidth="1"/>
    <col min="3" max="3" width="17.42578125" style="3" bestFit="1" customWidth="1"/>
    <col min="4" max="4" width="14.140625" style="3" customWidth="1"/>
    <col min="5" max="5" width="18.5703125" style="3" customWidth="1"/>
    <col min="6" max="6" width="21.85546875" style="113" customWidth="1"/>
    <col min="7" max="16384" width="8.85546875" style="3"/>
  </cols>
  <sheetData>
    <row r="2" spans="2:12" ht="61.35" customHeight="1">
      <c r="B2" s="105"/>
      <c r="E2" s="80" t="s">
        <v>267</v>
      </c>
      <c r="F2" s="79" t="s">
        <v>268</v>
      </c>
    </row>
    <row r="3" spans="2:12">
      <c r="B3" s="106" t="s">
        <v>12</v>
      </c>
      <c r="C3" s="4" t="s">
        <v>13</v>
      </c>
      <c r="D3" s="4" t="s">
        <v>14</v>
      </c>
      <c r="E3" s="4" t="s">
        <v>269</v>
      </c>
      <c r="F3" s="4" t="s">
        <v>270</v>
      </c>
    </row>
    <row r="4" spans="2:12">
      <c r="B4" s="1" t="s">
        <v>24</v>
      </c>
      <c r="C4" s="1" t="s">
        <v>25</v>
      </c>
      <c r="D4" s="1" t="s">
        <v>26</v>
      </c>
      <c r="E4" s="112" t="s">
        <v>212</v>
      </c>
      <c r="F4" s="107" t="s">
        <v>271</v>
      </c>
      <c r="L4" s="102"/>
    </row>
    <row r="5" spans="2:12">
      <c r="B5" s="1" t="s">
        <v>33</v>
      </c>
      <c r="C5" s="1" t="s">
        <v>34</v>
      </c>
      <c r="D5" s="1" t="s">
        <v>35</v>
      </c>
      <c r="E5" s="109" t="s">
        <v>226</v>
      </c>
      <c r="F5" s="107" t="s">
        <v>272</v>
      </c>
      <c r="L5" s="102"/>
    </row>
    <row r="6" spans="2:12">
      <c r="B6" s="1" t="s">
        <v>36</v>
      </c>
      <c r="C6" s="1" t="s">
        <v>37</v>
      </c>
      <c r="D6" s="1" t="s">
        <v>38</v>
      </c>
      <c r="E6" s="112" t="s">
        <v>212</v>
      </c>
      <c r="F6" s="107" t="s">
        <v>273</v>
      </c>
      <c r="L6" s="102"/>
    </row>
    <row r="7" spans="2:12">
      <c r="B7" s="1" t="s">
        <v>39</v>
      </c>
      <c r="C7" s="1" t="s">
        <v>40</v>
      </c>
      <c r="D7" s="1" t="s">
        <v>41</v>
      </c>
      <c r="E7" s="110" t="s">
        <v>228</v>
      </c>
      <c r="F7" s="107" t="s">
        <v>273</v>
      </c>
      <c r="L7" s="102"/>
    </row>
    <row r="8" spans="2:12">
      <c r="B8" s="1" t="s">
        <v>42</v>
      </c>
      <c r="C8" s="1" t="s">
        <v>43</v>
      </c>
      <c r="D8" s="1" t="s">
        <v>44</v>
      </c>
      <c r="E8" s="108" t="s">
        <v>210</v>
      </c>
      <c r="F8" s="107" t="s">
        <v>272</v>
      </c>
      <c r="L8" s="102"/>
    </row>
    <row r="9" spans="2:12">
      <c r="B9" s="1" t="s">
        <v>46</v>
      </c>
      <c r="C9" s="1" t="s">
        <v>47</v>
      </c>
      <c r="D9" s="1" t="s">
        <v>48</v>
      </c>
      <c r="E9" s="110" t="s">
        <v>228</v>
      </c>
      <c r="F9" s="107" t="s">
        <v>272</v>
      </c>
      <c r="L9" s="102"/>
    </row>
    <row r="10" spans="2:12">
      <c r="B10" s="1" t="s">
        <v>50</v>
      </c>
      <c r="C10" s="1" t="s">
        <v>51</v>
      </c>
      <c r="D10" s="1" t="s">
        <v>52</v>
      </c>
      <c r="E10" s="107" t="s">
        <v>274</v>
      </c>
      <c r="F10" s="107" t="s">
        <v>271</v>
      </c>
      <c r="L10" s="102"/>
    </row>
    <row r="11" spans="2:12">
      <c r="B11" s="1" t="s">
        <v>55</v>
      </c>
      <c r="C11" s="1" t="s">
        <v>56</v>
      </c>
      <c r="D11" s="1" t="s">
        <v>57</v>
      </c>
      <c r="E11" s="110" t="s">
        <v>228</v>
      </c>
      <c r="F11" s="107" t="s">
        <v>273</v>
      </c>
      <c r="L11" s="102"/>
    </row>
    <row r="12" spans="2:12">
      <c r="B12" s="1" t="s">
        <v>58</v>
      </c>
      <c r="C12" s="1" t="s">
        <v>59</v>
      </c>
      <c r="D12" s="1" t="s">
        <v>60</v>
      </c>
      <c r="E12" s="110" t="s">
        <v>228</v>
      </c>
      <c r="F12" s="107" t="s">
        <v>273</v>
      </c>
      <c r="L12" s="102"/>
    </row>
    <row r="13" spans="2:12">
      <c r="B13" s="1" t="s">
        <v>61</v>
      </c>
      <c r="C13" s="1" t="s">
        <v>62</v>
      </c>
      <c r="D13" s="1" t="s">
        <v>63</v>
      </c>
      <c r="E13" s="111" t="s">
        <v>224</v>
      </c>
      <c r="F13" s="107" t="s">
        <v>273</v>
      </c>
      <c r="L13" s="102"/>
    </row>
    <row r="14" spans="2:12">
      <c r="B14" s="1" t="s">
        <v>65</v>
      </c>
      <c r="C14" s="1" t="s">
        <v>66</v>
      </c>
      <c r="D14" s="1" t="s">
        <v>67</v>
      </c>
      <c r="E14" s="112" t="s">
        <v>212</v>
      </c>
      <c r="F14" s="107" t="s">
        <v>273</v>
      </c>
      <c r="L14" s="102"/>
    </row>
    <row r="15" spans="2:12">
      <c r="B15" s="1" t="s">
        <v>68</v>
      </c>
      <c r="C15" s="1" t="s">
        <v>69</v>
      </c>
      <c r="D15" s="1" t="s">
        <v>70</v>
      </c>
      <c r="E15" s="108" t="s">
        <v>210</v>
      </c>
      <c r="F15" s="107" t="s">
        <v>273</v>
      </c>
      <c r="L15" s="102"/>
    </row>
    <row r="16" spans="2:12">
      <c r="B16" s="1" t="s">
        <v>71</v>
      </c>
      <c r="C16" s="1" t="s">
        <v>72</v>
      </c>
      <c r="D16" s="1" t="s">
        <v>73</v>
      </c>
      <c r="E16" s="110" t="s">
        <v>228</v>
      </c>
      <c r="F16" s="107" t="s">
        <v>272</v>
      </c>
      <c r="L16" s="102"/>
    </row>
    <row r="17" spans="2:12">
      <c r="B17" s="1" t="s">
        <v>74</v>
      </c>
      <c r="C17" s="1" t="s">
        <v>75</v>
      </c>
      <c r="D17" s="1" t="s">
        <v>76</v>
      </c>
      <c r="E17" s="112" t="s">
        <v>212</v>
      </c>
      <c r="F17" s="107" t="s">
        <v>273</v>
      </c>
      <c r="L17" s="102"/>
    </row>
    <row r="18" spans="2:12">
      <c r="B18" s="1" t="s">
        <v>77</v>
      </c>
      <c r="C18" s="1" t="s">
        <v>78</v>
      </c>
      <c r="D18" s="1" t="s">
        <v>79</v>
      </c>
      <c r="E18" s="112" t="s">
        <v>212</v>
      </c>
      <c r="F18" s="107" t="s">
        <v>273</v>
      </c>
      <c r="L18" s="102"/>
    </row>
    <row r="19" spans="2:12">
      <c r="B19" s="1" t="s">
        <v>80</v>
      </c>
      <c r="C19" s="1" t="s">
        <v>81</v>
      </c>
      <c r="D19" s="1" t="s">
        <v>82</v>
      </c>
      <c r="E19" s="107" t="s">
        <v>275</v>
      </c>
      <c r="F19" s="107" t="s">
        <v>271</v>
      </c>
      <c r="L19" s="102"/>
    </row>
    <row r="20" spans="2:12">
      <c r="B20" s="1" t="s">
        <v>83</v>
      </c>
      <c r="C20" s="1" t="s">
        <v>84</v>
      </c>
      <c r="D20" s="1" t="s">
        <v>85</v>
      </c>
      <c r="E20" s="112" t="s">
        <v>212</v>
      </c>
      <c r="F20" s="107" t="s">
        <v>273</v>
      </c>
      <c r="L20" s="102"/>
    </row>
    <row r="21" spans="2:12">
      <c r="B21" s="1" t="s">
        <v>88</v>
      </c>
      <c r="C21" s="1" t="s">
        <v>89</v>
      </c>
      <c r="D21" s="1" t="s">
        <v>90</v>
      </c>
      <c r="E21" s="110" t="s">
        <v>228</v>
      </c>
      <c r="F21" s="107" t="s">
        <v>273</v>
      </c>
      <c r="L21" s="102"/>
    </row>
    <row r="22" spans="2:12">
      <c r="B22" s="1" t="s">
        <v>92</v>
      </c>
      <c r="C22" s="1" t="s">
        <v>93</v>
      </c>
      <c r="D22" s="1" t="s">
        <v>94</v>
      </c>
      <c r="E22" s="108" t="s">
        <v>210</v>
      </c>
      <c r="F22" s="107" t="s">
        <v>273</v>
      </c>
      <c r="L22" s="102"/>
    </row>
    <row r="23" spans="2:12">
      <c r="B23" s="1" t="s">
        <v>95</v>
      </c>
      <c r="C23" s="1" t="s">
        <v>96</v>
      </c>
      <c r="D23" s="1" t="s">
        <v>97</v>
      </c>
      <c r="E23" s="110" t="s">
        <v>228</v>
      </c>
      <c r="F23" s="107" t="s">
        <v>272</v>
      </c>
      <c r="L23" s="102"/>
    </row>
    <row r="24" spans="2:12">
      <c r="B24" s="1" t="s">
        <v>98</v>
      </c>
      <c r="C24" s="1" t="s">
        <v>99</v>
      </c>
      <c r="D24" s="1" t="s">
        <v>100</v>
      </c>
      <c r="E24" s="107" t="s">
        <v>274</v>
      </c>
      <c r="F24" s="107" t="s">
        <v>271</v>
      </c>
      <c r="L24" s="102"/>
    </row>
    <row r="25" spans="2:12">
      <c r="B25" s="1" t="s">
        <v>101</v>
      </c>
      <c r="C25" s="1" t="s">
        <v>102</v>
      </c>
      <c r="D25" s="1" t="s">
        <v>103</v>
      </c>
      <c r="E25" s="112" t="s">
        <v>212</v>
      </c>
      <c r="F25" s="107" t="s">
        <v>273</v>
      </c>
      <c r="L25" s="102"/>
    </row>
    <row r="26" spans="2:12">
      <c r="B26" s="1" t="s">
        <v>104</v>
      </c>
      <c r="C26" s="1" t="s">
        <v>105</v>
      </c>
      <c r="D26" s="1" t="s">
        <v>106</v>
      </c>
      <c r="E26" s="112" t="s">
        <v>212</v>
      </c>
      <c r="F26" s="107" t="s">
        <v>273</v>
      </c>
      <c r="L26" s="102"/>
    </row>
    <row r="27" spans="2:12">
      <c r="B27" s="1" t="s">
        <v>108</v>
      </c>
      <c r="C27" s="1" t="s">
        <v>109</v>
      </c>
      <c r="D27" s="1" t="s">
        <v>110</v>
      </c>
      <c r="E27" s="107" t="s">
        <v>274</v>
      </c>
      <c r="F27" s="107" t="s">
        <v>271</v>
      </c>
      <c r="L27" s="102"/>
    </row>
    <row r="28" spans="2:12">
      <c r="B28" s="1" t="s">
        <v>111</v>
      </c>
      <c r="C28" s="1" t="s">
        <v>112</v>
      </c>
      <c r="D28" s="1" t="s">
        <v>113</v>
      </c>
      <c r="E28" s="110" t="s">
        <v>228</v>
      </c>
      <c r="F28" s="107" t="s">
        <v>272</v>
      </c>
      <c r="L28" s="102"/>
    </row>
    <row r="29" spans="2:12">
      <c r="B29" s="1" t="s">
        <v>114</v>
      </c>
      <c r="C29" s="1" t="s">
        <v>115</v>
      </c>
      <c r="D29" s="1" t="s">
        <v>116</v>
      </c>
      <c r="E29" s="109" t="s">
        <v>226</v>
      </c>
      <c r="F29" s="107" t="s">
        <v>273</v>
      </c>
      <c r="L29" s="102"/>
    </row>
    <row r="30" spans="2:12">
      <c r="B30" s="1" t="s">
        <v>117</v>
      </c>
      <c r="C30" s="1" t="s">
        <v>118</v>
      </c>
      <c r="D30" s="1" t="s">
        <v>119</v>
      </c>
      <c r="E30" s="114" t="s">
        <v>230</v>
      </c>
      <c r="F30" s="107" t="s">
        <v>272</v>
      </c>
      <c r="L30" s="102"/>
    </row>
    <row r="31" spans="2:12">
      <c r="B31" s="1" t="s">
        <v>120</v>
      </c>
      <c r="C31" s="1" t="s">
        <v>121</v>
      </c>
      <c r="D31" s="1" t="s">
        <v>122</v>
      </c>
      <c r="E31" s="111" t="s">
        <v>224</v>
      </c>
      <c r="F31" s="107" t="s">
        <v>273</v>
      </c>
      <c r="L31" s="102"/>
    </row>
    <row r="32" spans="2:12">
      <c r="B32" s="1" t="s">
        <v>123</v>
      </c>
      <c r="C32" s="1" t="s">
        <v>124</v>
      </c>
      <c r="D32" s="1" t="s">
        <v>125</v>
      </c>
      <c r="E32" s="111" t="s">
        <v>224</v>
      </c>
      <c r="F32" s="107" t="s">
        <v>272</v>
      </c>
      <c r="L32" s="102"/>
    </row>
    <row r="33" spans="2:12">
      <c r="B33" s="1" t="s">
        <v>126</v>
      </c>
      <c r="C33" s="1" t="s">
        <v>127</v>
      </c>
      <c r="D33" s="1" t="s">
        <v>128</v>
      </c>
      <c r="E33" s="112" t="s">
        <v>212</v>
      </c>
      <c r="F33" s="107" t="s">
        <v>273</v>
      </c>
      <c r="L33" s="102"/>
    </row>
    <row r="34" spans="2:12">
      <c r="B34" s="1" t="s">
        <v>129</v>
      </c>
      <c r="C34" s="1" t="s">
        <v>130</v>
      </c>
      <c r="D34" s="1" t="s">
        <v>131</v>
      </c>
      <c r="E34" s="112" t="s">
        <v>212</v>
      </c>
      <c r="F34" s="107" t="s">
        <v>273</v>
      </c>
      <c r="L34" s="102"/>
    </row>
    <row r="35" spans="2:12">
      <c r="B35" s="1" t="s">
        <v>132</v>
      </c>
      <c r="C35" s="1" t="s">
        <v>133</v>
      </c>
      <c r="D35" s="1" t="s">
        <v>134</v>
      </c>
      <c r="E35" s="112" t="s">
        <v>212</v>
      </c>
      <c r="F35" s="107" t="s">
        <v>273</v>
      </c>
      <c r="L35" s="102"/>
    </row>
    <row r="36" spans="2:12">
      <c r="B36" s="1" t="s">
        <v>135</v>
      </c>
      <c r="C36" s="1" t="s">
        <v>136</v>
      </c>
      <c r="D36" s="1" t="s">
        <v>137</v>
      </c>
      <c r="E36" s="108" t="s">
        <v>210</v>
      </c>
      <c r="F36" s="107" t="s">
        <v>272</v>
      </c>
      <c r="L36" s="102"/>
    </row>
    <row r="37" spans="2:12">
      <c r="B37" s="1" t="s">
        <v>138</v>
      </c>
      <c r="C37" s="1" t="s">
        <v>139</v>
      </c>
      <c r="D37" s="1" t="s">
        <v>90</v>
      </c>
      <c r="E37" s="109" t="s">
        <v>218</v>
      </c>
      <c r="F37" s="107" t="s">
        <v>272</v>
      </c>
      <c r="L37" s="102"/>
    </row>
    <row r="38" spans="2:12">
      <c r="B38" s="1" t="s">
        <v>140</v>
      </c>
      <c r="C38" s="1" t="s">
        <v>141</v>
      </c>
      <c r="D38" s="1" t="s">
        <v>142</v>
      </c>
      <c r="E38" s="111" t="s">
        <v>224</v>
      </c>
      <c r="F38" s="107" t="s">
        <v>273</v>
      </c>
      <c r="L38" s="102"/>
    </row>
    <row r="39" spans="2:12">
      <c r="B39" s="1" t="s">
        <v>143</v>
      </c>
      <c r="C39" s="1" t="s">
        <v>144</v>
      </c>
      <c r="D39" s="1" t="s">
        <v>145</v>
      </c>
      <c r="E39" s="109" t="s">
        <v>218</v>
      </c>
      <c r="F39" s="107" t="s">
        <v>272</v>
      </c>
      <c r="L39" s="102"/>
    </row>
    <row r="40" spans="2:12">
      <c r="B40" s="1" t="s">
        <v>146</v>
      </c>
      <c r="C40" s="1" t="s">
        <v>147</v>
      </c>
      <c r="D40" s="1" t="s">
        <v>148</v>
      </c>
      <c r="E40" s="112" t="s">
        <v>212</v>
      </c>
      <c r="F40" s="107" t="s">
        <v>273</v>
      </c>
      <c r="L40" s="102"/>
    </row>
    <row r="41" spans="2:12">
      <c r="B41" s="1" t="s">
        <v>149</v>
      </c>
      <c r="C41" s="1" t="s">
        <v>150</v>
      </c>
      <c r="D41" s="1" t="s">
        <v>70</v>
      </c>
      <c r="E41" s="109" t="s">
        <v>226</v>
      </c>
      <c r="F41" s="107" t="s">
        <v>272</v>
      </c>
      <c r="L41" s="102"/>
    </row>
    <row r="42" spans="2:12">
      <c r="B42" s="1" t="s">
        <v>151</v>
      </c>
      <c r="C42" s="1" t="s">
        <v>152</v>
      </c>
      <c r="D42" s="1" t="s">
        <v>153</v>
      </c>
      <c r="E42" s="112" t="s">
        <v>212</v>
      </c>
      <c r="F42" s="107" t="s">
        <v>273</v>
      </c>
      <c r="L42" s="102"/>
    </row>
    <row r="43" spans="2:12">
      <c r="B43" s="1" t="s">
        <v>154</v>
      </c>
      <c r="C43" s="1" t="s">
        <v>155</v>
      </c>
      <c r="D43" s="1" t="s">
        <v>156</v>
      </c>
      <c r="E43" s="112" t="s">
        <v>212</v>
      </c>
      <c r="F43" s="107" t="s">
        <v>273</v>
      </c>
      <c r="L43" s="102"/>
    </row>
    <row r="44" spans="2:12">
      <c r="B44" s="1" t="s">
        <v>157</v>
      </c>
      <c r="C44" s="1" t="s">
        <v>158</v>
      </c>
      <c r="D44" s="1" t="s">
        <v>159</v>
      </c>
      <c r="E44" s="112" t="s">
        <v>212</v>
      </c>
      <c r="F44" s="107" t="s">
        <v>272</v>
      </c>
      <c r="L44" s="102"/>
    </row>
    <row r="45" spans="2:12">
      <c r="B45" s="1" t="s">
        <v>160</v>
      </c>
      <c r="C45" s="1" t="s">
        <v>161</v>
      </c>
      <c r="D45" s="1" t="s">
        <v>162</v>
      </c>
      <c r="E45" s="112" t="s">
        <v>212</v>
      </c>
      <c r="F45" s="107" t="s">
        <v>273</v>
      </c>
      <c r="L45" s="102"/>
    </row>
    <row r="46" spans="2:12">
      <c r="B46" s="1" t="s">
        <v>163</v>
      </c>
      <c r="C46" s="1" t="s">
        <v>164</v>
      </c>
      <c r="D46" s="1" t="s">
        <v>165</v>
      </c>
      <c r="E46" s="107" t="s">
        <v>276</v>
      </c>
      <c r="F46" s="107" t="s">
        <v>272</v>
      </c>
      <c r="L46" s="102"/>
    </row>
    <row r="47" spans="2:12">
      <c r="B47" s="1" t="s">
        <v>167</v>
      </c>
      <c r="C47" s="1" t="s">
        <v>168</v>
      </c>
      <c r="D47" s="1" t="s">
        <v>169</v>
      </c>
      <c r="E47" s="112" t="s">
        <v>212</v>
      </c>
      <c r="F47" s="107" t="s">
        <v>271</v>
      </c>
      <c r="L47" s="102"/>
    </row>
    <row r="48" spans="2:12">
      <c r="B48" s="1" t="s">
        <v>170</v>
      </c>
      <c r="C48" s="1" t="s">
        <v>171</v>
      </c>
      <c r="D48" s="1" t="s">
        <v>172</v>
      </c>
      <c r="E48" s="112" t="s">
        <v>212</v>
      </c>
      <c r="F48" s="107" t="s">
        <v>273</v>
      </c>
      <c r="L48" s="102"/>
    </row>
    <row r="49" spans="2:12">
      <c r="B49" s="1" t="s">
        <v>173</v>
      </c>
      <c r="C49" s="1" t="s">
        <v>174</v>
      </c>
      <c r="D49" s="1" t="s">
        <v>175</v>
      </c>
      <c r="E49" s="114" t="s">
        <v>230</v>
      </c>
      <c r="F49" s="107" t="s">
        <v>272</v>
      </c>
      <c r="L49" s="102"/>
    </row>
    <row r="50" spans="2:12">
      <c r="B50" s="1" t="s">
        <v>176</v>
      </c>
      <c r="C50" s="1" t="s">
        <v>177</v>
      </c>
      <c r="D50" s="1" t="s">
        <v>90</v>
      </c>
      <c r="E50" s="112" t="s">
        <v>212</v>
      </c>
      <c r="F50" s="107" t="s">
        <v>273</v>
      </c>
      <c r="L50" s="102"/>
    </row>
    <row r="51" spans="2:12">
      <c r="B51" s="1" t="s">
        <v>178</v>
      </c>
      <c r="C51" s="1" t="s">
        <v>179</v>
      </c>
      <c r="D51" s="1" t="s">
        <v>180</v>
      </c>
      <c r="E51" s="111" t="s">
        <v>224</v>
      </c>
      <c r="F51" s="107" t="s">
        <v>273</v>
      </c>
      <c r="L51" s="102"/>
    </row>
    <row r="52" spans="2:12">
      <c r="B52" s="1" t="s">
        <v>181</v>
      </c>
      <c r="C52" s="1" t="s">
        <v>182</v>
      </c>
      <c r="D52" s="1" t="s">
        <v>183</v>
      </c>
      <c r="E52" s="107" t="s">
        <v>277</v>
      </c>
      <c r="F52" s="107" t="s">
        <v>271</v>
      </c>
      <c r="L52" s="102"/>
    </row>
    <row r="53" spans="2:12">
      <c r="B53" s="1" t="s">
        <v>184</v>
      </c>
      <c r="C53" s="1" t="s">
        <v>185</v>
      </c>
      <c r="D53" s="1" t="s">
        <v>186</v>
      </c>
      <c r="E53" s="108" t="s">
        <v>210</v>
      </c>
      <c r="F53" s="107" t="s">
        <v>273</v>
      </c>
      <c r="L53" s="102"/>
    </row>
    <row r="54" spans="2:12">
      <c r="B54" s="1" t="s">
        <v>187</v>
      </c>
      <c r="C54" s="1" t="s">
        <v>188</v>
      </c>
      <c r="D54" s="1" t="s">
        <v>189</v>
      </c>
      <c r="E54" s="112" t="s">
        <v>212</v>
      </c>
      <c r="F54" s="107" t="s">
        <v>273</v>
      </c>
      <c r="L54" s="102"/>
    </row>
    <row r="55" spans="2:12">
      <c r="B55" s="1" t="s">
        <v>190</v>
      </c>
      <c r="C55" s="1" t="s">
        <v>191</v>
      </c>
      <c r="D55" s="1" t="s">
        <v>63</v>
      </c>
      <c r="E55" s="112" t="s">
        <v>212</v>
      </c>
      <c r="F55" s="107" t="s">
        <v>273</v>
      </c>
      <c r="L55" s="102"/>
    </row>
    <row r="56" spans="2:12">
      <c r="B56" s="1" t="s">
        <v>192</v>
      </c>
      <c r="C56" s="1" t="s">
        <v>193</v>
      </c>
      <c r="D56" s="1" t="s">
        <v>194</v>
      </c>
      <c r="E56" s="107" t="s">
        <v>274</v>
      </c>
      <c r="F56" s="107" t="s">
        <v>271</v>
      </c>
    </row>
  </sheetData>
  <conditionalFormatting sqref="E4:E9 E11:E18 E28:E45 E47:E51">
    <cfRule type="containsBlanks" dxfId="1070" priority="30" stopIfTrue="1">
      <formula>LEN(TRIM(E4))=0</formula>
    </cfRule>
  </conditionalFormatting>
  <conditionalFormatting sqref="E20:E23">
    <cfRule type="containsBlanks" dxfId="1069" priority="8" stopIfTrue="1">
      <formula>LEN(TRIM(E20))=0</formula>
    </cfRule>
  </conditionalFormatting>
  <conditionalFormatting sqref="E25:E26">
    <cfRule type="containsBlanks" dxfId="1068" priority="6" stopIfTrue="1">
      <formula>LEN(TRIM(E25))=0</formula>
    </cfRule>
  </conditionalFormatting>
  <conditionalFormatting sqref="E53:E55">
    <cfRule type="containsBlanks" dxfId="1067" priority="1" stopIfTrue="1">
      <formula>LEN(TRIM(E53))=0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B2:AF97"/>
  <sheetViews>
    <sheetView topLeftCell="A36" zoomScale="70" zoomScaleNormal="70" workbookViewId="0">
      <selection activeCell="H54" sqref="H54"/>
    </sheetView>
  </sheetViews>
  <sheetFormatPr defaultColWidth="8.85546875" defaultRowHeight="12.6"/>
  <cols>
    <col min="1" max="1" width="1.42578125" style="56" customWidth="1"/>
    <col min="2" max="2" width="5" style="56" bestFit="1" customWidth="1"/>
    <col min="3" max="3" width="20" style="56" bestFit="1" customWidth="1"/>
    <col min="4" max="4" width="14.5703125" style="56" customWidth="1"/>
    <col min="5" max="5" width="7.5703125" style="60" bestFit="1" customWidth="1"/>
    <col min="6" max="6" width="5.140625" style="60" customWidth="1"/>
    <col min="7" max="8" width="9.5703125" style="56" customWidth="1"/>
    <col min="9" max="9" width="6" style="56" customWidth="1"/>
    <col min="10" max="11" width="9.5703125" style="56" customWidth="1"/>
    <col min="12" max="12" width="6" style="56" customWidth="1"/>
    <col min="13" max="14" width="9.5703125" style="56" customWidth="1"/>
    <col min="15" max="15" width="6" style="56" customWidth="1"/>
    <col min="16" max="17" width="9.5703125" style="56" customWidth="1"/>
    <col min="18" max="18" width="6" style="56" customWidth="1"/>
    <col min="19" max="20" width="9.5703125" style="56" customWidth="1"/>
    <col min="21" max="21" width="6" style="56" customWidth="1"/>
    <col min="22" max="23" width="9.5703125" style="56" customWidth="1"/>
    <col min="24" max="24" width="6" style="56" customWidth="1"/>
    <col min="25" max="26" width="9.5703125" style="56" customWidth="1"/>
    <col min="27" max="27" width="6" style="56" customWidth="1"/>
    <col min="28" max="16384" width="8.85546875" style="56"/>
  </cols>
  <sheetData>
    <row r="2" spans="2:32" s="54" customFormat="1" ht="18.600000000000001" customHeight="1">
      <c r="E2" s="55"/>
      <c r="F2" s="55"/>
      <c r="G2" s="129" t="str">
        <f>RIGHT('paste report'!E8,11)</f>
        <v xml:space="preserve"> Mon Nov 10</v>
      </c>
      <c r="H2" s="130"/>
      <c r="I2" s="131"/>
      <c r="J2" s="129" t="str">
        <f>RIGHT('paste report'!F8,11)</f>
        <v xml:space="preserve"> Tue Nov 11</v>
      </c>
      <c r="K2" s="130"/>
      <c r="L2" s="131"/>
      <c r="M2" s="129" t="str">
        <f>RIGHT('paste report'!G8,11)</f>
        <v xml:space="preserve"> Wed Nov 12</v>
      </c>
      <c r="N2" s="130"/>
      <c r="O2" s="131"/>
      <c r="P2" s="129" t="str">
        <f>RIGHT('paste report'!H8,11)</f>
        <v xml:space="preserve"> Thu Nov 13</v>
      </c>
      <c r="Q2" s="130"/>
      <c r="R2" s="131"/>
      <c r="S2" s="129" t="str">
        <f>RIGHT('paste report'!I8,11)</f>
        <v xml:space="preserve"> Fri Nov 14</v>
      </c>
      <c r="T2" s="130"/>
      <c r="U2" s="131"/>
      <c r="V2" s="129" t="str">
        <f>RIGHT('paste report'!J8,11)</f>
        <v xml:space="preserve"> Sat Nov 15</v>
      </c>
      <c r="W2" s="130"/>
      <c r="X2" s="131"/>
      <c r="Y2" s="129" t="str">
        <f>RIGHT('paste report'!K8,11)</f>
        <v xml:space="preserve"> Sun Nov 16</v>
      </c>
      <c r="Z2" s="130"/>
      <c r="AA2" s="131"/>
    </row>
    <row r="3" spans="2:32" ht="43.7" customHeight="1">
      <c r="C3" s="57" t="s">
        <v>278</v>
      </c>
      <c r="D3" s="104">
        <f>I7+L7+O7+R7+U7+X7+AA7</f>
        <v>431.9999999999996</v>
      </c>
      <c r="E3" s="59"/>
      <c r="F3" s="59"/>
      <c r="G3" s="134"/>
      <c r="H3" s="135"/>
      <c r="I3" s="136"/>
      <c r="J3" s="134"/>
      <c r="K3" s="135"/>
      <c r="L3" s="136"/>
      <c r="M3" s="137" t="s">
        <v>279</v>
      </c>
      <c r="N3" s="135"/>
      <c r="O3" s="136"/>
      <c r="P3" s="134"/>
      <c r="Q3" s="135"/>
      <c r="R3" s="136"/>
      <c r="S3" s="137" t="s">
        <v>279</v>
      </c>
      <c r="T3" s="135"/>
      <c r="U3" s="136"/>
      <c r="V3" s="134"/>
      <c r="W3" s="135"/>
      <c r="X3" s="136"/>
      <c r="Y3" s="134"/>
      <c r="Z3" s="135"/>
      <c r="AA3" s="136"/>
    </row>
    <row r="4" spans="2:32" ht="14.1">
      <c r="C4" s="57"/>
      <c r="D4" s="58"/>
      <c r="E4" s="59"/>
      <c r="F4" s="59"/>
      <c r="G4" s="132" t="s">
        <v>280</v>
      </c>
      <c r="H4" s="133"/>
      <c r="I4" s="103">
        <f>SUMIF($E$10:$E$97,"FT",I10:I97)</f>
        <v>34.000000000000028</v>
      </c>
      <c r="J4" s="132" t="s">
        <v>280</v>
      </c>
      <c r="K4" s="133"/>
      <c r="L4" s="103">
        <f>SUMIF($E$10:$E$97,"FT",L10:L97)</f>
        <v>48.499999999999964</v>
      </c>
      <c r="M4" s="132" t="s">
        <v>280</v>
      </c>
      <c r="N4" s="133"/>
      <c r="O4" s="103">
        <f>SUMIF($E$10:$E$97,"FT",O10:O97)</f>
        <v>47.99999999999995</v>
      </c>
      <c r="P4" s="132" t="s">
        <v>280</v>
      </c>
      <c r="Q4" s="133"/>
      <c r="R4" s="103">
        <f>SUMIF($E$10:$E$97,"FT",R10:R97)</f>
        <v>47.99999999999995</v>
      </c>
      <c r="S4" s="132" t="s">
        <v>280</v>
      </c>
      <c r="T4" s="133"/>
      <c r="U4" s="103">
        <f>SUMIF($E$10:$E$97,"FT",U10:U97)</f>
        <v>23.999999999999972</v>
      </c>
      <c r="V4" s="132" t="s">
        <v>280</v>
      </c>
      <c r="W4" s="133"/>
      <c r="X4" s="103">
        <f>SUMIF($E$10:$E$97,"FT",X10:X97)</f>
        <v>15.999999999999986</v>
      </c>
      <c r="Y4" s="132" t="s">
        <v>280</v>
      </c>
      <c r="Z4" s="133"/>
      <c r="AA4" s="103">
        <f>SUMIF($E$10:$E$97,"FT",AA10:AA97)</f>
        <v>23.999999999999979</v>
      </c>
    </row>
    <row r="5" spans="2:32" ht="14.1">
      <c r="C5" s="57"/>
      <c r="D5" s="58"/>
      <c r="E5" s="59"/>
      <c r="F5" s="59"/>
      <c r="G5" s="132" t="s">
        <v>281</v>
      </c>
      <c r="H5" s="133"/>
      <c r="I5" s="103">
        <f>SUMIF($E$10:$E$97,"PT",I10:I97)</f>
        <v>30.499999999999964</v>
      </c>
      <c r="J5" s="132" t="s">
        <v>281</v>
      </c>
      <c r="K5" s="133"/>
      <c r="L5" s="103">
        <f>SUMIF($E$10:$E$97,"PT",L10:L97)</f>
        <v>30.499999999999964</v>
      </c>
      <c r="M5" s="132" t="s">
        <v>281</v>
      </c>
      <c r="N5" s="133"/>
      <c r="O5" s="103">
        <f>SUMIF($E$10:$E$97,"PT",O10:O97)</f>
        <v>54.499999999999943</v>
      </c>
      <c r="P5" s="132" t="s">
        <v>281</v>
      </c>
      <c r="Q5" s="133"/>
      <c r="R5" s="103">
        <f>SUMIF($E$10:$E$97,"PT",R10:R97)</f>
        <v>62.499999999999936</v>
      </c>
      <c r="S5" s="132" t="s">
        <v>281</v>
      </c>
      <c r="T5" s="133"/>
      <c r="U5" s="103">
        <f>SUMIF($E$10:$E$97,"PT",U10:U97)</f>
        <v>61.49999999999995</v>
      </c>
      <c r="V5" s="132" t="s">
        <v>281</v>
      </c>
      <c r="W5" s="133"/>
      <c r="X5" s="103">
        <f>SUMIF($E$10:$E$97,"PT",X10:X97)</f>
        <v>31.999999999999972</v>
      </c>
      <c r="Y5" s="132" t="s">
        <v>281</v>
      </c>
      <c r="Z5" s="133"/>
      <c r="AA5" s="103">
        <f>SUMIF($E$10:$E$97,"PT",AA10:AA97)</f>
        <v>63.999999999999943</v>
      </c>
    </row>
    <row r="6" spans="2:32" ht="14.1">
      <c r="C6" s="57"/>
      <c r="D6" s="58"/>
      <c r="E6" s="59"/>
      <c r="F6" s="59"/>
      <c r="G6" s="132" t="s">
        <v>282</v>
      </c>
      <c r="H6" s="133"/>
      <c r="I6" s="103">
        <f>SUMIF($E$10:$E$97,"Cas",I10:I97)</f>
        <v>45.499999999999964</v>
      </c>
      <c r="J6" s="132" t="s">
        <v>282</v>
      </c>
      <c r="K6" s="133"/>
      <c r="L6" s="103">
        <f>SUMIF($E$10:$E$97,"Cas",L10:L97)</f>
        <v>15.999999999999982</v>
      </c>
      <c r="M6" s="132" t="s">
        <v>282</v>
      </c>
      <c r="N6" s="133"/>
      <c r="O6" s="103">
        <f>SUMIF($E$10:$E$97,"Cas",O10:O97)</f>
        <v>7.9999999999999911</v>
      </c>
      <c r="P6" s="132" t="s">
        <v>282</v>
      </c>
      <c r="Q6" s="133"/>
      <c r="R6" s="103">
        <f>SUMIF($E$10:$E$97,"Cas",R10:R97)</f>
        <v>12.999999999999982</v>
      </c>
      <c r="S6" s="132" t="s">
        <v>282</v>
      </c>
      <c r="T6" s="133"/>
      <c r="U6" s="103">
        <f>SUMIF($E$10:$E$97,"Cas",U10:U97)</f>
        <v>44.99999999999995</v>
      </c>
      <c r="V6" s="132" t="s">
        <v>282</v>
      </c>
      <c r="W6" s="133"/>
      <c r="X6" s="103">
        <f>SUMIF($E$10:$E$97,"Cas",X10:X97)</f>
        <v>49.99999999999995</v>
      </c>
      <c r="Y6" s="132" t="s">
        <v>282</v>
      </c>
      <c r="Z6" s="133"/>
      <c r="AA6" s="103">
        <f>SUMIF($E$10:$E$97,"Cas",AA10:AA97)</f>
        <v>44.999999999999957</v>
      </c>
    </row>
    <row r="7" spans="2:32">
      <c r="G7" s="132" t="s">
        <v>283</v>
      </c>
      <c r="H7" s="133"/>
      <c r="I7" s="103">
        <f>SUM(I10:I36)</f>
        <v>52.999999999999986</v>
      </c>
      <c r="J7" s="132" t="s">
        <v>283</v>
      </c>
      <c r="K7" s="133"/>
      <c r="L7" s="103">
        <f>SUM(L10:L36)</f>
        <v>54.499999999999943</v>
      </c>
      <c r="M7" s="132" t="s">
        <v>283</v>
      </c>
      <c r="N7" s="133"/>
      <c r="O7" s="103">
        <f>SUM(O10:O36)</f>
        <v>70.499999999999929</v>
      </c>
      <c r="P7" s="132" t="s">
        <v>283</v>
      </c>
      <c r="Q7" s="133"/>
      <c r="R7" s="103">
        <f>SUM(R10:R36)</f>
        <v>67.499999999999929</v>
      </c>
      <c r="S7" s="132" t="s">
        <v>283</v>
      </c>
      <c r="T7" s="133"/>
      <c r="U7" s="103">
        <f>SUM(U10:U36)</f>
        <v>43.49999999999995</v>
      </c>
      <c r="V7" s="132" t="s">
        <v>283</v>
      </c>
      <c r="W7" s="133"/>
      <c r="X7" s="103">
        <f>SUM(X10:X36)</f>
        <v>49.99999999999995</v>
      </c>
      <c r="Y7" s="132" t="s">
        <v>283</v>
      </c>
      <c r="Z7" s="133"/>
      <c r="AA7" s="103">
        <f>SUM(AA10:AA36)</f>
        <v>92.999999999999943</v>
      </c>
    </row>
    <row r="8" spans="2:32">
      <c r="B8" s="61" t="s">
        <v>284</v>
      </c>
      <c r="C8" s="61" t="s">
        <v>13</v>
      </c>
      <c r="D8" s="61" t="s">
        <v>14</v>
      </c>
      <c r="E8" s="61" t="s">
        <v>285</v>
      </c>
      <c r="F8" s="61" t="s">
        <v>286</v>
      </c>
      <c r="G8" s="62" t="s">
        <v>287</v>
      </c>
      <c r="H8" s="63" t="s">
        <v>288</v>
      </c>
      <c r="I8" s="64"/>
      <c r="J8" s="62" t="s">
        <v>287</v>
      </c>
      <c r="K8" s="63" t="s">
        <v>288</v>
      </c>
      <c r="L8" s="64"/>
      <c r="M8" s="62" t="s">
        <v>287</v>
      </c>
      <c r="N8" s="63" t="s">
        <v>288</v>
      </c>
      <c r="O8" s="64"/>
      <c r="P8" s="62" t="s">
        <v>287</v>
      </c>
      <c r="Q8" s="63" t="s">
        <v>288</v>
      </c>
      <c r="R8" s="64"/>
      <c r="S8" s="62" t="s">
        <v>287</v>
      </c>
      <c r="T8" s="63" t="s">
        <v>288</v>
      </c>
      <c r="U8" s="64"/>
      <c r="V8" s="62" t="s">
        <v>287</v>
      </c>
      <c r="W8" s="63" t="s">
        <v>288</v>
      </c>
      <c r="X8" s="64"/>
      <c r="Y8" s="62" t="s">
        <v>287</v>
      </c>
      <c r="Z8" s="63" t="s">
        <v>288</v>
      </c>
      <c r="AA8" s="64"/>
      <c r="AE8" s="65"/>
      <c r="AF8" s="65"/>
    </row>
    <row r="9" spans="2:32">
      <c r="B9" s="66" t="str">
        <f>'paste report'!A9</f>
        <v>01509</v>
      </c>
      <c r="C9" s="66" t="str">
        <f>'paste report'!B9</f>
        <v>Amy</v>
      </c>
      <c r="D9" s="67" t="str">
        <f>'paste report'!C9</f>
        <v>Somana</v>
      </c>
      <c r="E9" s="68" t="str">
        <f>VLOOKUP(B9,Team!$B$4:$F$183,5,FALSE)</f>
        <v>FT</v>
      </c>
      <c r="F9" s="69">
        <f>I9+L9+O9+R9+U9+X9+AA9</f>
        <v>40.499999999999979</v>
      </c>
      <c r="G9" s="70" t="str">
        <f>_xlfn.IFNA(VLOOKUP(LEFT('paste report'!E9,6),$AE$10:$AF$47,2,FALSE),"")</f>
        <v/>
      </c>
      <c r="H9" s="71" t="str">
        <f>_xlfn.IFNA(VLOOKUP(RIGHT('paste report'!E9,6),$AE$10:$AF$47,2,FALSE),"")</f>
        <v/>
      </c>
      <c r="I9" s="101">
        <f>IFERROR(24*IF(H9&gt;0,H9-G9,0),0)</f>
        <v>0</v>
      </c>
      <c r="J9" s="70">
        <f>_xlfn.IFNA(VLOOKUP(LEFT('paste report'!F9,6),$AE$10:$AF$47,2,FALSE),"")</f>
        <v>0.35416666666666602</v>
      </c>
      <c r="K9" s="73">
        <f>_xlfn.IFNA(VLOOKUP(RIGHT('paste report'!F9,6),$AE$10:$AF$47,2,FALSE),"")</f>
        <v>0.687499999999999</v>
      </c>
      <c r="L9" s="101">
        <f>IFERROR(24*IF(K9&gt;0,K9-J9,0),0)</f>
        <v>7.9999999999999911</v>
      </c>
      <c r="M9" s="70">
        <f>_xlfn.IFNA(VLOOKUP(LEFT('paste report'!G9,6),$AE$10:$AF$47,2,FALSE),"")</f>
        <v>0.35416666666666602</v>
      </c>
      <c r="N9" s="73">
        <f>_xlfn.IFNA(VLOOKUP(RIGHT('paste report'!G9,6),$AE$10:$AF$47,2,FALSE),"")</f>
        <v>0.687499999999999</v>
      </c>
      <c r="O9" s="101">
        <f>IFERROR(24*IF(N9&gt;0,N9-M9,0),0)</f>
        <v>7.9999999999999911</v>
      </c>
      <c r="P9" s="70">
        <f>_xlfn.IFNA(VLOOKUP(LEFT('paste report'!H9,6),$AE$10:$AF$47,2,FALSE),"")</f>
        <v>0.35416666666666602</v>
      </c>
      <c r="Q9" s="73">
        <f>_xlfn.IFNA(VLOOKUP(RIGHT('paste report'!H9,6),$AE$10:$AF$47,2,FALSE),"")</f>
        <v>0.70833333333333304</v>
      </c>
      <c r="R9" s="101">
        <f>IFERROR(24*IF(Q9&gt;0,Q9-P9,0),0)</f>
        <v>8.5000000000000089</v>
      </c>
      <c r="S9" s="70">
        <f>_xlfn.IFNA(VLOOKUP(LEFT('paste report'!I9,6),$AE$10:$AF$47,2,FALSE),"")</f>
        <v>0.35416666666666602</v>
      </c>
      <c r="T9" s="73">
        <f>_xlfn.IFNA(VLOOKUP(RIGHT('paste report'!I9,6),$AE$10:$AF$47,2,FALSE),"")</f>
        <v>0.687499999999999</v>
      </c>
      <c r="U9" s="101">
        <f>IFERROR(24*IF(T9&gt;0,T9-S9,0),0)</f>
        <v>7.9999999999999911</v>
      </c>
      <c r="V9" s="70">
        <f>_xlfn.IFNA(VLOOKUP(LEFT('paste report'!J9,6),$AE$10:$AF$47,2,FALSE),"")</f>
        <v>0.499999999999999</v>
      </c>
      <c r="W9" s="73">
        <f>_xlfn.IFNA(VLOOKUP(RIGHT('paste report'!J9,6),$AE$10:$AF$47,2,FALSE),"")</f>
        <v>0.83333333333333204</v>
      </c>
      <c r="X9" s="101">
        <f>IFERROR(24*IF(W9&gt;0,W9-V9,0),0)</f>
        <v>7.9999999999999929</v>
      </c>
      <c r="Y9" s="70" t="str">
        <f>_xlfn.IFNA(VLOOKUP(LEFT('paste report'!K9,6),$AE$10:$AF$47,2,FALSE),"")</f>
        <v/>
      </c>
      <c r="Z9" s="73" t="str">
        <f>_xlfn.IFNA(VLOOKUP(RIGHT('paste report'!K9,6),$AE$10:$AF$47,2,FALSE),"")</f>
        <v/>
      </c>
      <c r="AA9" s="101">
        <f>IFERROR(24*IF(Z9&gt;0,Z9-Y9,0),0)</f>
        <v>0</v>
      </c>
      <c r="AE9" s="65"/>
      <c r="AF9" s="65"/>
    </row>
    <row r="10" spans="2:32">
      <c r="B10" s="66" t="str">
        <f>'paste report'!A10</f>
        <v>1175</v>
      </c>
      <c r="C10" s="66" t="str">
        <f>'paste report'!B10</f>
        <v>Anna</v>
      </c>
      <c r="D10" s="67" t="str">
        <f>'paste report'!C10</f>
        <v>Naritsuka-Hayler</v>
      </c>
      <c r="E10" s="68" t="str">
        <f>VLOOKUP(B10,Team!$B$4:$F$183,5,FALSE)</f>
        <v>PT</v>
      </c>
      <c r="F10" s="69">
        <f>I10+L10+O10+R10+U10+X10+AA10</f>
        <v>23.999999999999975</v>
      </c>
      <c r="G10" s="75" t="str">
        <f>_xlfn.IFNA(VLOOKUP(LEFT('paste report'!E10,6),$AE$10:$AF$47,2,FALSE),"")</f>
        <v/>
      </c>
      <c r="H10" s="76" t="str">
        <f>_xlfn.IFNA(VLOOKUP(RIGHT('paste report'!E10,6),$AE$10:$AF$47,2,FALSE),"")</f>
        <v/>
      </c>
      <c r="I10" s="72">
        <f>IFERROR(24*IF(H10&gt;0,H10-G10,0),0)</f>
        <v>0</v>
      </c>
      <c r="J10" s="75">
        <f>_xlfn.IFNA(VLOOKUP(LEFT('paste report'!F10,6),$AE$10:$AF$47,2,FALSE),"")</f>
        <v>0.35416666666666602</v>
      </c>
      <c r="K10" s="77">
        <f>_xlfn.IFNA(VLOOKUP(RIGHT('paste report'!F10,6),$AE$10:$AF$47,2,FALSE),"")</f>
        <v>0.687499999999999</v>
      </c>
      <c r="L10" s="72">
        <f>IFERROR(24*IF(K10&gt;0,K10-J10,0),0)</f>
        <v>7.9999999999999911</v>
      </c>
      <c r="M10" s="75">
        <f>_xlfn.IFNA(VLOOKUP(LEFT('paste report'!G10,6),$AE$10:$AF$47,2,FALSE),"")</f>
        <v>0.35416666666666602</v>
      </c>
      <c r="N10" s="77">
        <f>_xlfn.IFNA(VLOOKUP(RIGHT('paste report'!G10,6),$AE$10:$AF$47,2,FALSE),"")</f>
        <v>0.687499999999999</v>
      </c>
      <c r="O10" s="72">
        <f>IFERROR(24*IF(N10&gt;0,N10-M10,0),0)</f>
        <v>7.9999999999999911</v>
      </c>
      <c r="P10" s="75" t="str">
        <f>_xlfn.IFNA(VLOOKUP(LEFT('paste report'!H10,6),$AE$10:$AF$47,2,FALSE),"")</f>
        <v/>
      </c>
      <c r="Q10" s="77" t="str">
        <f>_xlfn.IFNA(VLOOKUP(RIGHT('paste report'!H10,6),$AE$10:$AF$47,2,FALSE),"")</f>
        <v/>
      </c>
      <c r="R10" s="72">
        <f>IFERROR(24*IF(Q10&gt;0,Q10-P10,0),0)</f>
        <v>0</v>
      </c>
      <c r="S10" s="75" t="str">
        <f>_xlfn.IFNA(VLOOKUP(LEFT('paste report'!I10,6),$AE$10:$AF$47,2,FALSE),"")</f>
        <v/>
      </c>
      <c r="T10" s="77" t="str">
        <f>_xlfn.IFNA(VLOOKUP(RIGHT('paste report'!I10,6),$AE$10:$AF$47,2,FALSE),"")</f>
        <v/>
      </c>
      <c r="U10" s="72">
        <f>IFERROR(24*IF(T10&gt;0,T10-S10,0),0)</f>
        <v>0</v>
      </c>
      <c r="V10" s="75" t="str">
        <f>_xlfn.IFNA(VLOOKUP(LEFT('paste report'!J10,6),$AE$10:$AF$47,2,FALSE),"")</f>
        <v/>
      </c>
      <c r="W10" s="77" t="str">
        <f>_xlfn.IFNA(VLOOKUP(RIGHT('paste report'!J10,6),$AE$10:$AF$47,2,FALSE),"")</f>
        <v/>
      </c>
      <c r="X10" s="72">
        <f>IFERROR(24*IF(W10&gt;0,W10-V10,0),0)</f>
        <v>0</v>
      </c>
      <c r="Y10" s="75">
        <f>_xlfn.IFNA(VLOOKUP(LEFT('paste report'!K10,6),$AE$10:$AF$47,2,FALSE),"")</f>
        <v>0.499999999999999</v>
      </c>
      <c r="Z10" s="77">
        <f>_xlfn.IFNA(VLOOKUP(RIGHT('paste report'!K10,6),$AE$10:$AF$47,2,FALSE),"")</f>
        <v>0.83333333333333204</v>
      </c>
      <c r="AA10" s="72">
        <f>IFERROR(24*IF(Z10&gt;0,Z10-Y10,0),0)</f>
        <v>7.9999999999999929</v>
      </c>
      <c r="AE10" s="74" t="s">
        <v>289</v>
      </c>
      <c r="AF10" s="65">
        <v>0.20833333333333334</v>
      </c>
    </row>
    <row r="11" spans="2:32">
      <c r="B11" s="66" t="str">
        <f>'paste report'!A11</f>
        <v>1041</v>
      </c>
      <c r="C11" s="66" t="str">
        <f>'paste report'!B11</f>
        <v>Archana</v>
      </c>
      <c r="D11" s="67" t="str">
        <f>'paste report'!C11</f>
        <v>Prashanth</v>
      </c>
      <c r="E11" s="68" t="str">
        <f>VLOOKUP(B11,Team!$B$4:$F$183,5,FALSE)</f>
        <v>CAS</v>
      </c>
      <c r="F11" s="69">
        <f t="shared" ref="F11:F74" si="0">I11+L11+O11+R11+U11+X11+AA11</f>
        <v>0</v>
      </c>
      <c r="G11" s="75" t="str">
        <f>_xlfn.IFNA(VLOOKUP(LEFT('paste report'!E11,6),$AE$10:$AF$47,2,FALSE),"")</f>
        <v/>
      </c>
      <c r="H11" s="76" t="str">
        <f>_xlfn.IFNA(VLOOKUP(RIGHT('paste report'!E11,6),$AE$10:$AF$47,2,FALSE),"")</f>
        <v/>
      </c>
      <c r="I11" s="72">
        <f t="shared" ref="I11:I74" si="1">IFERROR(24*IF(H11&gt;0,H11-G11,0),0)</f>
        <v>0</v>
      </c>
      <c r="J11" s="75" t="str">
        <f>_xlfn.IFNA(VLOOKUP(LEFT('paste report'!F11,6),$AE$10:$AF$47,2,FALSE),"")</f>
        <v/>
      </c>
      <c r="K11" s="77" t="str">
        <f>_xlfn.IFNA(VLOOKUP(RIGHT('paste report'!F11,6),$AE$10:$AF$47,2,FALSE),"")</f>
        <v/>
      </c>
      <c r="L11" s="72">
        <f t="shared" ref="L11:L74" si="2">IFERROR(24*IF(K11&gt;0,K11-J11,0),0)</f>
        <v>0</v>
      </c>
      <c r="M11" s="75" t="str">
        <f>_xlfn.IFNA(VLOOKUP(LEFT('paste report'!G11,6),$AE$10:$AF$47,2,FALSE),"")</f>
        <v/>
      </c>
      <c r="N11" s="77" t="str">
        <f>_xlfn.IFNA(VLOOKUP(RIGHT('paste report'!G11,6),$AE$10:$AF$47,2,FALSE),"")</f>
        <v/>
      </c>
      <c r="O11" s="72">
        <f t="shared" ref="O11:O74" si="3">IFERROR(24*IF(N11&gt;0,N11-M11,0),0)</f>
        <v>0</v>
      </c>
      <c r="P11" s="75" t="str">
        <f>_xlfn.IFNA(VLOOKUP(LEFT('paste report'!H11,6),$AE$10:$AF$47,2,FALSE),"")</f>
        <v/>
      </c>
      <c r="Q11" s="77" t="str">
        <f>_xlfn.IFNA(VLOOKUP(RIGHT('paste report'!H11,6),$AE$10:$AF$47,2,FALSE),"")</f>
        <v/>
      </c>
      <c r="R11" s="72">
        <f t="shared" ref="R11:R74" si="4">IFERROR(24*IF(Q11&gt;0,Q11-P11,0),0)</f>
        <v>0</v>
      </c>
      <c r="S11" s="75" t="str">
        <f>_xlfn.IFNA(VLOOKUP(LEFT('paste report'!I11,6),$AE$10:$AF$47,2,FALSE),"")</f>
        <v/>
      </c>
      <c r="T11" s="77" t="str">
        <f>_xlfn.IFNA(VLOOKUP(RIGHT('paste report'!I11,6),$AE$10:$AF$47,2,FALSE),"")</f>
        <v/>
      </c>
      <c r="U11" s="72">
        <f t="shared" ref="U11:U74" si="5">IFERROR(24*IF(T11&gt;0,T11-S11,0),0)</f>
        <v>0</v>
      </c>
      <c r="V11" s="75" t="str">
        <f>_xlfn.IFNA(VLOOKUP(LEFT('paste report'!J11,6),$AE$10:$AF$47,2,FALSE),"")</f>
        <v/>
      </c>
      <c r="W11" s="77" t="str">
        <f>_xlfn.IFNA(VLOOKUP(RIGHT('paste report'!J11,6),$AE$10:$AF$47,2,FALSE),"")</f>
        <v/>
      </c>
      <c r="X11" s="72">
        <f t="shared" ref="X11:X74" si="6">IFERROR(24*IF(W11&gt;0,W11-V11,0),0)</f>
        <v>0</v>
      </c>
      <c r="Y11" s="75" t="str">
        <f>_xlfn.IFNA(VLOOKUP(LEFT('paste report'!K11,6),$AE$10:$AF$47,2,FALSE),"")</f>
        <v/>
      </c>
      <c r="Z11" s="77" t="str">
        <f>_xlfn.IFNA(VLOOKUP(RIGHT('paste report'!K11,6),$AE$10:$AF$47,2,FALSE),"")</f>
        <v/>
      </c>
      <c r="AA11" s="72">
        <f t="shared" ref="AA11:AA74" si="7">IFERROR(24*IF(Z11&gt;0,Z11-Y11,0),0)</f>
        <v>0</v>
      </c>
      <c r="AE11" s="74" t="s">
        <v>290</v>
      </c>
      <c r="AF11" s="65">
        <v>0.22916666666666666</v>
      </c>
    </row>
    <row r="12" spans="2:32">
      <c r="B12" s="66" t="str">
        <f>'paste report'!A12</f>
        <v>1245</v>
      </c>
      <c r="C12" s="66" t="str">
        <f>'paste report'!B12</f>
        <v>Charlotte</v>
      </c>
      <c r="D12" s="67" t="str">
        <f>'paste report'!C12</f>
        <v>Robertson</v>
      </c>
      <c r="E12" s="68" t="str">
        <f>VLOOKUP(B12,Team!$B$4:$F$183,5,FALSE)</f>
        <v>CAS</v>
      </c>
      <c r="F12" s="69">
        <f t="shared" si="0"/>
        <v>0</v>
      </c>
      <c r="G12" s="75" t="str">
        <f>_xlfn.IFNA(VLOOKUP(LEFT('paste report'!E12,6),$AE$10:$AF$47,2,FALSE),"")</f>
        <v/>
      </c>
      <c r="H12" s="76" t="str">
        <f>_xlfn.IFNA(VLOOKUP(RIGHT('paste report'!E12,6),$AE$10:$AF$47,2,FALSE),"")</f>
        <v/>
      </c>
      <c r="I12" s="72">
        <f t="shared" si="1"/>
        <v>0</v>
      </c>
      <c r="J12" s="75" t="str">
        <f>_xlfn.IFNA(VLOOKUP(LEFT('paste report'!F12,6),$AE$10:$AF$47,2,FALSE),"")</f>
        <v/>
      </c>
      <c r="K12" s="77" t="str">
        <f>_xlfn.IFNA(VLOOKUP(RIGHT('paste report'!F12,6),$AE$10:$AF$47,2,FALSE),"")</f>
        <v/>
      </c>
      <c r="L12" s="72">
        <f t="shared" si="2"/>
        <v>0</v>
      </c>
      <c r="M12" s="75" t="str">
        <f>_xlfn.IFNA(VLOOKUP(LEFT('paste report'!G12,6),$AE$10:$AF$47,2,FALSE),"")</f>
        <v/>
      </c>
      <c r="N12" s="77" t="str">
        <f>_xlfn.IFNA(VLOOKUP(RIGHT('paste report'!G12,6),$AE$10:$AF$47,2,FALSE),"")</f>
        <v/>
      </c>
      <c r="O12" s="72">
        <f t="shared" si="3"/>
        <v>0</v>
      </c>
      <c r="P12" s="75" t="str">
        <f>_xlfn.IFNA(VLOOKUP(LEFT('paste report'!H12,6),$AE$10:$AF$47,2,FALSE),"")</f>
        <v/>
      </c>
      <c r="Q12" s="77" t="str">
        <f>_xlfn.IFNA(VLOOKUP(RIGHT('paste report'!H12,6),$AE$10:$AF$47,2,FALSE),"")</f>
        <v/>
      </c>
      <c r="R12" s="72">
        <f t="shared" si="4"/>
        <v>0</v>
      </c>
      <c r="S12" s="75" t="str">
        <f>_xlfn.IFNA(VLOOKUP(LEFT('paste report'!I12,6),$AE$10:$AF$47,2,FALSE),"")</f>
        <v/>
      </c>
      <c r="T12" s="77" t="str">
        <f>_xlfn.IFNA(VLOOKUP(RIGHT('paste report'!I12,6),$AE$10:$AF$47,2,FALSE),"")</f>
        <v/>
      </c>
      <c r="U12" s="72">
        <f t="shared" si="5"/>
        <v>0</v>
      </c>
      <c r="V12" s="75" t="str">
        <f>_xlfn.IFNA(VLOOKUP(LEFT('paste report'!J12,6),$AE$10:$AF$47,2,FALSE),"")</f>
        <v/>
      </c>
      <c r="W12" s="77" t="str">
        <f>_xlfn.IFNA(VLOOKUP(RIGHT('paste report'!J12,6),$AE$10:$AF$47,2,FALSE),"")</f>
        <v/>
      </c>
      <c r="X12" s="72">
        <f t="shared" si="6"/>
        <v>0</v>
      </c>
      <c r="Y12" s="75" t="str">
        <f>_xlfn.IFNA(VLOOKUP(LEFT('paste report'!K12,6),$AE$10:$AF$47,2,FALSE),"")</f>
        <v/>
      </c>
      <c r="Z12" s="77" t="str">
        <f>_xlfn.IFNA(VLOOKUP(RIGHT('paste report'!K12,6),$AE$10:$AF$47,2,FALSE),"")</f>
        <v/>
      </c>
      <c r="AA12" s="72">
        <f t="shared" si="7"/>
        <v>0</v>
      </c>
      <c r="AE12" s="74" t="s">
        <v>291</v>
      </c>
      <c r="AF12" s="65">
        <v>0.25</v>
      </c>
    </row>
    <row r="13" spans="2:32">
      <c r="B13" s="66" t="str">
        <f>'paste report'!A13</f>
        <v>1136</v>
      </c>
      <c r="C13" s="66" t="str">
        <f>'paste report'!B13</f>
        <v>Cherry</v>
      </c>
      <c r="D13" s="67" t="str">
        <f>'paste report'!C13</f>
        <v>Ward</v>
      </c>
      <c r="E13" s="68" t="str">
        <f>VLOOKUP(B13,Team!$B$4:$F$183,5,FALSE)</f>
        <v>PT</v>
      </c>
      <c r="F13" s="69">
        <f t="shared" si="0"/>
        <v>23.999999999999975</v>
      </c>
      <c r="G13" s="75" t="str">
        <f>_xlfn.IFNA(VLOOKUP(LEFT('paste report'!E13,6),$AE$10:$AF$47,2,FALSE),"")</f>
        <v/>
      </c>
      <c r="H13" s="76" t="str">
        <f>_xlfn.IFNA(VLOOKUP(RIGHT('paste report'!E13,6),$AE$10:$AF$47,2,FALSE),"")</f>
        <v/>
      </c>
      <c r="I13" s="72">
        <f t="shared" si="1"/>
        <v>0</v>
      </c>
      <c r="J13" s="75" t="str">
        <f>_xlfn.IFNA(VLOOKUP(LEFT('paste report'!F13,6),$AE$10:$AF$47,2,FALSE),"")</f>
        <v/>
      </c>
      <c r="K13" s="77" t="str">
        <f>_xlfn.IFNA(VLOOKUP(RIGHT('paste report'!F13,6),$AE$10:$AF$47,2,FALSE),"")</f>
        <v/>
      </c>
      <c r="L13" s="72">
        <f t="shared" si="2"/>
        <v>0</v>
      </c>
      <c r="M13" s="75">
        <f>_xlfn.IFNA(VLOOKUP(LEFT('paste report'!G13,6),$AE$10:$AF$47,2,FALSE),"")</f>
        <v>0.45833333333333298</v>
      </c>
      <c r="N13" s="77">
        <f>_xlfn.IFNA(VLOOKUP(RIGHT('paste report'!G13,6),$AE$10:$AF$47,2,FALSE),"")</f>
        <v>0.79166666666666596</v>
      </c>
      <c r="O13" s="72">
        <f t="shared" si="3"/>
        <v>7.9999999999999911</v>
      </c>
      <c r="P13" s="75" t="str">
        <f>_xlfn.IFNA(VLOOKUP(LEFT('paste report'!H13,6),$AE$10:$AF$47,2,FALSE),"")</f>
        <v/>
      </c>
      <c r="Q13" s="77" t="str">
        <f>_xlfn.IFNA(VLOOKUP(RIGHT('paste report'!H13,6),$AE$10:$AF$47,2,FALSE),"")</f>
        <v/>
      </c>
      <c r="R13" s="72">
        <f t="shared" si="4"/>
        <v>0</v>
      </c>
      <c r="S13" s="75">
        <f>_xlfn.IFNA(VLOOKUP(LEFT('paste report'!I13,6),$AE$10:$AF$47,2,FALSE),"")</f>
        <v>0.45833333333333298</v>
      </c>
      <c r="T13" s="77">
        <f>_xlfn.IFNA(VLOOKUP(RIGHT('paste report'!I13,6),$AE$10:$AF$47,2,FALSE),"")</f>
        <v>0.79166666666666596</v>
      </c>
      <c r="U13" s="72">
        <f t="shared" si="5"/>
        <v>7.9999999999999911</v>
      </c>
      <c r="V13" s="75" t="str">
        <f>_xlfn.IFNA(VLOOKUP(LEFT('paste report'!J13,6),$AE$10:$AF$47,2,FALSE),"")</f>
        <v/>
      </c>
      <c r="W13" s="77" t="str">
        <f>_xlfn.IFNA(VLOOKUP(RIGHT('paste report'!J13,6),$AE$10:$AF$47,2,FALSE),"")</f>
        <v/>
      </c>
      <c r="X13" s="72">
        <f t="shared" si="6"/>
        <v>0</v>
      </c>
      <c r="Y13" s="75">
        <f>_xlfn.IFNA(VLOOKUP(LEFT('paste report'!K13,6),$AE$10:$AF$47,2,FALSE),"")</f>
        <v>0.499999999999999</v>
      </c>
      <c r="Z13" s="77">
        <f>_xlfn.IFNA(VLOOKUP(RIGHT('paste report'!K13,6),$AE$10:$AF$47,2,FALSE),"")</f>
        <v>0.83333333333333204</v>
      </c>
      <c r="AA13" s="72">
        <f t="shared" si="7"/>
        <v>7.9999999999999929</v>
      </c>
      <c r="AE13" s="74" t="s">
        <v>292</v>
      </c>
      <c r="AF13" s="65">
        <v>0.27083333333333298</v>
      </c>
    </row>
    <row r="14" spans="2:32">
      <c r="B14" s="66" t="str">
        <f>'paste report'!A14</f>
        <v>1247</v>
      </c>
      <c r="C14" s="66" t="str">
        <f>'paste report'!B14</f>
        <v>Chihiro</v>
      </c>
      <c r="D14" s="67" t="str">
        <f>'paste report'!C14</f>
        <v>Burgoyne</v>
      </c>
      <c r="E14" s="68" t="str">
        <f>VLOOKUP(B14,Team!$B$4:$F$183,5,FALSE)</f>
        <v>PT</v>
      </c>
      <c r="F14" s="69">
        <f t="shared" si="0"/>
        <v>32.499999999999957</v>
      </c>
      <c r="G14" s="75">
        <f>_xlfn.IFNA(VLOOKUP(LEFT('paste report'!E14,6),$AE$10:$AF$47,2,FALSE),"")</f>
        <v>0.35416666666666602</v>
      </c>
      <c r="H14" s="76">
        <f>_xlfn.IFNA(VLOOKUP(RIGHT('paste report'!E14,6),$AE$10:$AF$47,2,FALSE),"")</f>
        <v>0.624999999999999</v>
      </c>
      <c r="I14" s="72">
        <f t="shared" si="1"/>
        <v>6.4999999999999911</v>
      </c>
      <c r="J14" s="75">
        <f>_xlfn.IFNA(VLOOKUP(LEFT('paste report'!F14,6),$AE$10:$AF$47,2,FALSE),"")</f>
        <v>0.35416666666666602</v>
      </c>
      <c r="K14" s="77">
        <f>_xlfn.IFNA(VLOOKUP(RIGHT('paste report'!F14,6),$AE$10:$AF$47,2,FALSE),"")</f>
        <v>0.624999999999999</v>
      </c>
      <c r="L14" s="72">
        <f t="shared" si="2"/>
        <v>6.4999999999999911</v>
      </c>
      <c r="M14" s="75">
        <f>_xlfn.IFNA(VLOOKUP(LEFT('paste report'!G14,6),$AE$10:$AF$47,2,FALSE),"")</f>
        <v>0.35416666666666602</v>
      </c>
      <c r="N14" s="77">
        <f>_xlfn.IFNA(VLOOKUP(RIGHT('paste report'!G14,6),$AE$10:$AF$47,2,FALSE),"")</f>
        <v>0.624999999999999</v>
      </c>
      <c r="O14" s="72">
        <f t="shared" si="3"/>
        <v>6.4999999999999911</v>
      </c>
      <c r="P14" s="75">
        <f>_xlfn.IFNA(VLOOKUP(LEFT('paste report'!H14,6),$AE$10:$AF$47,2,FALSE),"")</f>
        <v>0.35416666666666602</v>
      </c>
      <c r="Q14" s="77">
        <f>_xlfn.IFNA(VLOOKUP(RIGHT('paste report'!H14,6),$AE$10:$AF$47,2,FALSE),"")</f>
        <v>0.624999999999999</v>
      </c>
      <c r="R14" s="72">
        <f t="shared" si="4"/>
        <v>6.4999999999999911</v>
      </c>
      <c r="S14" s="75">
        <f>_xlfn.IFNA(VLOOKUP(LEFT('paste report'!I14,6),$AE$10:$AF$47,2,FALSE),"")</f>
        <v>0.35416666666666602</v>
      </c>
      <c r="T14" s="77">
        <f>_xlfn.IFNA(VLOOKUP(RIGHT('paste report'!I14,6),$AE$10:$AF$47,2,FALSE),"")</f>
        <v>0.624999999999999</v>
      </c>
      <c r="U14" s="72">
        <f t="shared" si="5"/>
        <v>6.4999999999999911</v>
      </c>
      <c r="V14" s="75" t="str">
        <f>_xlfn.IFNA(VLOOKUP(LEFT('paste report'!J14,6),$AE$10:$AF$47,2,FALSE),"")</f>
        <v/>
      </c>
      <c r="W14" s="77" t="str">
        <f>_xlfn.IFNA(VLOOKUP(RIGHT('paste report'!J14,6),$AE$10:$AF$47,2,FALSE),"")</f>
        <v/>
      </c>
      <c r="X14" s="72">
        <f t="shared" si="6"/>
        <v>0</v>
      </c>
      <c r="Y14" s="75" t="str">
        <f>_xlfn.IFNA(VLOOKUP(LEFT('paste report'!K14,6),$AE$10:$AF$47,2,FALSE),"")</f>
        <v/>
      </c>
      <c r="Z14" s="77" t="str">
        <f>_xlfn.IFNA(VLOOKUP(RIGHT('paste report'!K14,6),$AE$10:$AF$47,2,FALSE),"")</f>
        <v/>
      </c>
      <c r="AA14" s="72">
        <f t="shared" si="7"/>
        <v>0</v>
      </c>
      <c r="AE14" s="74" t="s">
        <v>293</v>
      </c>
      <c r="AF14" s="65">
        <v>0.29166666666666702</v>
      </c>
    </row>
    <row r="15" spans="2:32">
      <c r="B15" s="66" t="str">
        <f>'paste report'!A15</f>
        <v>01514</v>
      </c>
      <c r="C15" s="66" t="str">
        <f>'paste report'!B15</f>
        <v>Chloe</v>
      </c>
      <c r="D15" s="67" t="str">
        <f>'paste report'!C15</f>
        <v>Huang</v>
      </c>
      <c r="E15" s="68" t="str">
        <f>VLOOKUP(B15,Team!$B$4:$F$183,5,FALSE)</f>
        <v>FT</v>
      </c>
      <c r="F15" s="69">
        <f t="shared" si="0"/>
        <v>40.499999999999979</v>
      </c>
      <c r="G15" s="75">
        <f>_xlfn.IFNA(VLOOKUP(LEFT('paste report'!E15,6),$AE$10:$AF$47,2,FALSE),"")</f>
        <v>0.437499999999999</v>
      </c>
      <c r="H15" s="76">
        <f>_xlfn.IFNA(VLOOKUP(RIGHT('paste report'!E15,6),$AE$10:$AF$47,2,FALSE),"")</f>
        <v>0.79166666666666596</v>
      </c>
      <c r="I15" s="72">
        <f t="shared" si="1"/>
        <v>8.5000000000000071</v>
      </c>
      <c r="J15" s="75">
        <f>_xlfn.IFNA(VLOOKUP(LEFT('paste report'!F15,6),$AE$10:$AF$47,2,FALSE),"")</f>
        <v>0.45833333333333298</v>
      </c>
      <c r="K15" s="77">
        <f>_xlfn.IFNA(VLOOKUP(RIGHT('paste report'!F15,6),$AE$10:$AF$47,2,FALSE),"")</f>
        <v>0.79166666666666596</v>
      </c>
      <c r="L15" s="72">
        <f t="shared" si="2"/>
        <v>7.9999999999999911</v>
      </c>
      <c r="M15" s="75">
        <f>_xlfn.IFNA(VLOOKUP(LEFT('paste report'!G15,6),$AE$10:$AF$47,2,FALSE),"")</f>
        <v>0.45833333333333298</v>
      </c>
      <c r="N15" s="77">
        <f>_xlfn.IFNA(VLOOKUP(RIGHT('paste report'!G15,6),$AE$10:$AF$47,2,FALSE),"")</f>
        <v>0.79166666666666596</v>
      </c>
      <c r="O15" s="72">
        <f t="shared" si="3"/>
        <v>7.9999999999999911</v>
      </c>
      <c r="P15" s="75">
        <f>_xlfn.IFNA(VLOOKUP(LEFT('paste report'!H15,6),$AE$10:$AF$47,2,FALSE),"")</f>
        <v>0.58333333333333304</v>
      </c>
      <c r="Q15" s="77">
        <f>_xlfn.IFNA(VLOOKUP(RIGHT('paste report'!H15,6),$AE$10:$AF$47,2,FALSE),"")</f>
        <v>0.91666666666666596</v>
      </c>
      <c r="R15" s="72">
        <f t="shared" si="4"/>
        <v>7.9999999999999902</v>
      </c>
      <c r="S15" s="75" t="str">
        <f>_xlfn.IFNA(VLOOKUP(LEFT('paste report'!I15,6),$AE$10:$AF$47,2,FALSE),"")</f>
        <v/>
      </c>
      <c r="T15" s="77" t="str">
        <f>_xlfn.IFNA(VLOOKUP(RIGHT('paste report'!I15,6),$AE$10:$AF$47,2,FALSE),"")</f>
        <v/>
      </c>
      <c r="U15" s="72">
        <f t="shared" si="5"/>
        <v>0</v>
      </c>
      <c r="V15" s="75" t="str">
        <f>_xlfn.IFNA(VLOOKUP(LEFT('paste report'!J15,6),$AE$10:$AF$47,2,FALSE),"")</f>
        <v/>
      </c>
      <c r="W15" s="77" t="str">
        <f>_xlfn.IFNA(VLOOKUP(RIGHT('paste report'!J15,6),$AE$10:$AF$47,2,FALSE),"")</f>
        <v/>
      </c>
      <c r="X15" s="72">
        <f t="shared" si="6"/>
        <v>0</v>
      </c>
      <c r="Y15" s="75">
        <f>_xlfn.IFNA(VLOOKUP(LEFT('paste report'!K15,6),$AE$10:$AF$47,2,FALSE),"")</f>
        <v>0.499999999999999</v>
      </c>
      <c r="Z15" s="77">
        <f>_xlfn.IFNA(VLOOKUP(RIGHT('paste report'!K15,6),$AE$10:$AF$47,2,FALSE),"")</f>
        <v>0.83333333333333204</v>
      </c>
      <c r="AA15" s="72">
        <f t="shared" si="7"/>
        <v>7.9999999999999929</v>
      </c>
      <c r="AE15" s="74" t="s">
        <v>294</v>
      </c>
      <c r="AF15" s="65">
        <v>0.3125</v>
      </c>
    </row>
    <row r="16" spans="2:32">
      <c r="B16" s="66" t="str">
        <f>'paste report'!A16</f>
        <v>660</v>
      </c>
      <c r="C16" s="66" t="str">
        <f>'paste report'!B16</f>
        <v>Daniel</v>
      </c>
      <c r="D16" s="67" t="str">
        <f>'paste report'!C16</f>
        <v>Park</v>
      </c>
      <c r="E16" s="68" t="str">
        <f>VLOOKUP(B16,Team!$B$4:$F$183,5,FALSE)</f>
        <v>CAS</v>
      </c>
      <c r="F16" s="69">
        <f t="shared" si="0"/>
        <v>0</v>
      </c>
      <c r="G16" s="75" t="str">
        <f>_xlfn.IFNA(VLOOKUP(LEFT('paste report'!E16,6),$AE$10:$AF$47,2,FALSE),"")</f>
        <v/>
      </c>
      <c r="H16" s="76" t="str">
        <f>_xlfn.IFNA(VLOOKUP(RIGHT('paste report'!E16,6),$AE$10:$AF$47,2,FALSE),"")</f>
        <v/>
      </c>
      <c r="I16" s="72">
        <f t="shared" si="1"/>
        <v>0</v>
      </c>
      <c r="J16" s="75" t="str">
        <f>_xlfn.IFNA(VLOOKUP(LEFT('paste report'!F16,6),$AE$10:$AF$47,2,FALSE),"")</f>
        <v/>
      </c>
      <c r="K16" s="77" t="str">
        <f>_xlfn.IFNA(VLOOKUP(RIGHT('paste report'!F16,6),$AE$10:$AF$47,2,FALSE),"")</f>
        <v/>
      </c>
      <c r="L16" s="72">
        <f t="shared" si="2"/>
        <v>0</v>
      </c>
      <c r="M16" s="75" t="str">
        <f>_xlfn.IFNA(VLOOKUP(LEFT('paste report'!G16,6),$AE$10:$AF$47,2,FALSE),"")</f>
        <v/>
      </c>
      <c r="N16" s="77" t="str">
        <f>_xlfn.IFNA(VLOOKUP(RIGHT('paste report'!G16,6),$AE$10:$AF$47,2,FALSE),"")</f>
        <v/>
      </c>
      <c r="O16" s="72">
        <f t="shared" si="3"/>
        <v>0</v>
      </c>
      <c r="P16" s="75" t="str">
        <f>_xlfn.IFNA(VLOOKUP(LEFT('paste report'!H16,6),$AE$10:$AF$47,2,FALSE),"")</f>
        <v/>
      </c>
      <c r="Q16" s="77" t="str">
        <f>_xlfn.IFNA(VLOOKUP(RIGHT('paste report'!H16,6),$AE$10:$AF$47,2,FALSE),"")</f>
        <v/>
      </c>
      <c r="R16" s="72">
        <f t="shared" si="4"/>
        <v>0</v>
      </c>
      <c r="S16" s="75" t="str">
        <f>_xlfn.IFNA(VLOOKUP(LEFT('paste report'!I16,6),$AE$10:$AF$47,2,FALSE),"")</f>
        <v/>
      </c>
      <c r="T16" s="77" t="str">
        <f>_xlfn.IFNA(VLOOKUP(RIGHT('paste report'!I16,6),$AE$10:$AF$47,2,FALSE),"")</f>
        <v/>
      </c>
      <c r="U16" s="72">
        <f t="shared" si="5"/>
        <v>0</v>
      </c>
      <c r="V16" s="75" t="str">
        <f>_xlfn.IFNA(VLOOKUP(LEFT('paste report'!J16,6),$AE$10:$AF$47,2,FALSE),"")</f>
        <v/>
      </c>
      <c r="W16" s="77" t="str">
        <f>_xlfn.IFNA(VLOOKUP(RIGHT('paste report'!J16,6),$AE$10:$AF$47,2,FALSE),"")</f>
        <v/>
      </c>
      <c r="X16" s="72">
        <f t="shared" si="6"/>
        <v>0</v>
      </c>
      <c r="Y16" s="75" t="str">
        <f>_xlfn.IFNA(VLOOKUP(LEFT('paste report'!K16,6),$AE$10:$AF$47,2,FALSE),"")</f>
        <v/>
      </c>
      <c r="Z16" s="77" t="str">
        <f>_xlfn.IFNA(VLOOKUP(RIGHT('paste report'!K16,6),$AE$10:$AF$47,2,FALSE),"")</f>
        <v/>
      </c>
      <c r="AA16" s="72">
        <f t="shared" si="7"/>
        <v>0</v>
      </c>
      <c r="AE16" s="74" t="s">
        <v>295</v>
      </c>
      <c r="AF16" s="65">
        <v>0.33333333333333298</v>
      </c>
    </row>
    <row r="17" spans="2:32">
      <c r="B17" s="66" t="str">
        <f>'paste report'!A17</f>
        <v>1275</v>
      </c>
      <c r="C17" s="66" t="str">
        <f>'paste report'!B17</f>
        <v>Da-yeon</v>
      </c>
      <c r="D17" s="67" t="str">
        <f>'paste report'!C17</f>
        <v>Oh</v>
      </c>
      <c r="E17" s="68" t="str">
        <f>VLOOKUP(B17,Team!$B$4:$F$183,5,FALSE)</f>
        <v>CAS</v>
      </c>
      <c r="F17" s="69">
        <f t="shared" si="0"/>
        <v>0</v>
      </c>
      <c r="G17" s="75" t="str">
        <f>_xlfn.IFNA(VLOOKUP(LEFT('paste report'!E17,6),$AE$10:$AF$47,2,FALSE),"")</f>
        <v/>
      </c>
      <c r="H17" s="76" t="str">
        <f>_xlfn.IFNA(VLOOKUP(RIGHT('paste report'!E17,6),$AE$10:$AF$47,2,FALSE),"")</f>
        <v/>
      </c>
      <c r="I17" s="72">
        <f t="shared" si="1"/>
        <v>0</v>
      </c>
      <c r="J17" s="75" t="str">
        <f>_xlfn.IFNA(VLOOKUP(LEFT('paste report'!F17,6),$AE$10:$AF$47,2,FALSE),"")</f>
        <v/>
      </c>
      <c r="K17" s="77" t="str">
        <f>_xlfn.IFNA(VLOOKUP(RIGHT('paste report'!F17,6),$AE$10:$AF$47,2,FALSE),"")</f>
        <v/>
      </c>
      <c r="L17" s="72">
        <f t="shared" si="2"/>
        <v>0</v>
      </c>
      <c r="M17" s="75" t="str">
        <f>_xlfn.IFNA(VLOOKUP(LEFT('paste report'!G17,6),$AE$10:$AF$47,2,FALSE),"")</f>
        <v/>
      </c>
      <c r="N17" s="77" t="str">
        <f>_xlfn.IFNA(VLOOKUP(RIGHT('paste report'!G17,6),$AE$10:$AF$47,2,FALSE),"")</f>
        <v/>
      </c>
      <c r="O17" s="72">
        <f t="shared" si="3"/>
        <v>0</v>
      </c>
      <c r="P17" s="75" t="str">
        <f>_xlfn.IFNA(VLOOKUP(LEFT('paste report'!H17,6),$AE$10:$AF$47,2,FALSE),"")</f>
        <v/>
      </c>
      <c r="Q17" s="77" t="str">
        <f>_xlfn.IFNA(VLOOKUP(RIGHT('paste report'!H17,6),$AE$10:$AF$47,2,FALSE),"")</f>
        <v/>
      </c>
      <c r="R17" s="72">
        <f t="shared" si="4"/>
        <v>0</v>
      </c>
      <c r="S17" s="75" t="str">
        <f>_xlfn.IFNA(VLOOKUP(LEFT('paste report'!I17,6),$AE$10:$AF$47,2,FALSE),"")</f>
        <v/>
      </c>
      <c r="T17" s="77" t="str">
        <f>_xlfn.IFNA(VLOOKUP(RIGHT('paste report'!I17,6),$AE$10:$AF$47,2,FALSE),"")</f>
        <v/>
      </c>
      <c r="U17" s="72">
        <f t="shared" si="5"/>
        <v>0</v>
      </c>
      <c r="V17" s="75" t="str">
        <f>_xlfn.IFNA(VLOOKUP(LEFT('paste report'!J17,6),$AE$10:$AF$47,2,FALSE),"")</f>
        <v/>
      </c>
      <c r="W17" s="77" t="str">
        <f>_xlfn.IFNA(VLOOKUP(RIGHT('paste report'!J17,6),$AE$10:$AF$47,2,FALSE),"")</f>
        <v/>
      </c>
      <c r="X17" s="72">
        <f t="shared" si="6"/>
        <v>0</v>
      </c>
      <c r="Y17" s="75" t="str">
        <f>_xlfn.IFNA(VLOOKUP(LEFT('paste report'!K17,6),$AE$10:$AF$47,2,FALSE),"")</f>
        <v/>
      </c>
      <c r="Z17" s="77" t="str">
        <f>_xlfn.IFNA(VLOOKUP(RIGHT('paste report'!K17,6),$AE$10:$AF$47,2,FALSE),"")</f>
        <v/>
      </c>
      <c r="AA17" s="72">
        <f t="shared" si="7"/>
        <v>0</v>
      </c>
      <c r="AE17" s="74" t="s">
        <v>296</v>
      </c>
      <c r="AF17" s="65">
        <v>0.35416666666666602</v>
      </c>
    </row>
    <row r="18" spans="2:32">
      <c r="B18" s="66" t="str">
        <f>'paste report'!A18</f>
        <v>1258</v>
      </c>
      <c r="C18" s="66" t="str">
        <f>'paste report'!B18</f>
        <v>Dennis</v>
      </c>
      <c r="D18" s="67" t="str">
        <f>'paste report'!C18</f>
        <v>Kim</v>
      </c>
      <c r="E18" s="68" t="str">
        <f>VLOOKUP(B18,Team!$B$4:$F$183,5,FALSE)</f>
        <v>CAS</v>
      </c>
      <c r="F18" s="69">
        <f t="shared" si="0"/>
        <v>4.9999999999999929</v>
      </c>
      <c r="G18" s="75" t="str">
        <f>_xlfn.IFNA(VLOOKUP(LEFT('paste report'!E18,6),$AE$10:$AF$47,2,FALSE),"")</f>
        <v/>
      </c>
      <c r="H18" s="76" t="str">
        <f>_xlfn.IFNA(VLOOKUP(RIGHT('paste report'!E18,6),$AE$10:$AF$47,2,FALSE),"")</f>
        <v/>
      </c>
      <c r="I18" s="72">
        <f t="shared" si="1"/>
        <v>0</v>
      </c>
      <c r="J18" s="75" t="str">
        <f>_xlfn.IFNA(VLOOKUP(LEFT('paste report'!F18,6),$AE$10:$AF$47,2,FALSE),"")</f>
        <v/>
      </c>
      <c r="K18" s="77" t="str">
        <f>_xlfn.IFNA(VLOOKUP(RIGHT('paste report'!F18,6),$AE$10:$AF$47,2,FALSE),"")</f>
        <v/>
      </c>
      <c r="L18" s="72">
        <f t="shared" si="2"/>
        <v>0</v>
      </c>
      <c r="M18" s="75" t="str">
        <f>_xlfn.IFNA(VLOOKUP(LEFT('paste report'!G18,6),$AE$10:$AF$47,2,FALSE),"")</f>
        <v/>
      </c>
      <c r="N18" s="77" t="str">
        <f>_xlfn.IFNA(VLOOKUP(RIGHT('paste report'!G18,6),$AE$10:$AF$47,2,FALSE),"")</f>
        <v/>
      </c>
      <c r="O18" s="72">
        <f t="shared" si="3"/>
        <v>0</v>
      </c>
      <c r="P18" s="75" t="str">
        <f>_xlfn.IFNA(VLOOKUP(LEFT('paste report'!H18,6),$AE$10:$AF$47,2,FALSE),"")</f>
        <v/>
      </c>
      <c r="Q18" s="77" t="str">
        <f>_xlfn.IFNA(VLOOKUP(RIGHT('paste report'!H18,6),$AE$10:$AF$47,2,FALSE),"")</f>
        <v/>
      </c>
      <c r="R18" s="72">
        <f t="shared" si="4"/>
        <v>0</v>
      </c>
      <c r="S18" s="75" t="str">
        <f>_xlfn.IFNA(VLOOKUP(LEFT('paste report'!I18,6),$AE$10:$AF$47,2,FALSE),"")</f>
        <v/>
      </c>
      <c r="T18" s="77" t="str">
        <f>_xlfn.IFNA(VLOOKUP(RIGHT('paste report'!I18,6),$AE$10:$AF$47,2,FALSE),"")</f>
        <v/>
      </c>
      <c r="U18" s="72">
        <f t="shared" si="5"/>
        <v>0</v>
      </c>
      <c r="V18" s="75">
        <f>_xlfn.IFNA(VLOOKUP(LEFT('paste report'!J18,6),$AE$10:$AF$47,2,FALSE),"")</f>
        <v>0.624999999999999</v>
      </c>
      <c r="W18" s="77">
        <f>_xlfn.IFNA(VLOOKUP(RIGHT('paste report'!J18,6),$AE$10:$AF$47,2,FALSE),"")</f>
        <v>0.83333333333333204</v>
      </c>
      <c r="X18" s="72">
        <f t="shared" si="6"/>
        <v>4.9999999999999929</v>
      </c>
      <c r="Y18" s="75" t="str">
        <f>_xlfn.IFNA(VLOOKUP(LEFT('paste report'!K18,6),$AE$10:$AF$47,2,FALSE),"")</f>
        <v/>
      </c>
      <c r="Z18" s="77" t="str">
        <f>_xlfn.IFNA(VLOOKUP(RIGHT('paste report'!K18,6),$AE$10:$AF$47,2,FALSE),"")</f>
        <v/>
      </c>
      <c r="AA18" s="72">
        <f t="shared" si="7"/>
        <v>0</v>
      </c>
      <c r="AE18" s="74" t="s">
        <v>297</v>
      </c>
      <c r="AF18" s="65">
        <v>0.375</v>
      </c>
    </row>
    <row r="19" spans="2:32">
      <c r="B19" s="66" t="str">
        <f>'paste report'!A19</f>
        <v>1131</v>
      </c>
      <c r="C19" s="66" t="str">
        <f>'paste report'!B19</f>
        <v>Doris</v>
      </c>
      <c r="D19" s="67" t="str">
        <f>'paste report'!C19</f>
        <v>Hou</v>
      </c>
      <c r="E19" s="68" t="str">
        <f>VLOOKUP(B19,Team!$B$4:$F$183,5,FALSE)</f>
        <v>CAS</v>
      </c>
      <c r="F19" s="69">
        <f t="shared" si="0"/>
        <v>0</v>
      </c>
      <c r="G19" s="75" t="str">
        <f>_xlfn.IFNA(VLOOKUP(LEFT('paste report'!E19,6),$AE$10:$AF$47,2,FALSE),"")</f>
        <v/>
      </c>
      <c r="H19" s="76" t="str">
        <f>_xlfn.IFNA(VLOOKUP(RIGHT('paste report'!E19,6),$AE$10:$AF$47,2,FALSE),"")</f>
        <v/>
      </c>
      <c r="I19" s="72">
        <f t="shared" si="1"/>
        <v>0</v>
      </c>
      <c r="J19" s="75" t="str">
        <f>_xlfn.IFNA(VLOOKUP(LEFT('paste report'!F19,6),$AE$10:$AF$47,2,FALSE),"")</f>
        <v/>
      </c>
      <c r="K19" s="77" t="str">
        <f>_xlfn.IFNA(VLOOKUP(RIGHT('paste report'!F19,6),$AE$10:$AF$47,2,FALSE),"")</f>
        <v/>
      </c>
      <c r="L19" s="72">
        <f t="shared" si="2"/>
        <v>0</v>
      </c>
      <c r="M19" s="75" t="str">
        <f>_xlfn.IFNA(VLOOKUP(LEFT('paste report'!G19,6),$AE$10:$AF$47,2,FALSE),"")</f>
        <v/>
      </c>
      <c r="N19" s="77" t="str">
        <f>_xlfn.IFNA(VLOOKUP(RIGHT('paste report'!G19,6),$AE$10:$AF$47,2,FALSE),"")</f>
        <v/>
      </c>
      <c r="O19" s="72">
        <f t="shared" si="3"/>
        <v>0</v>
      </c>
      <c r="P19" s="75" t="str">
        <f>_xlfn.IFNA(VLOOKUP(LEFT('paste report'!H19,6),$AE$10:$AF$47,2,FALSE),"")</f>
        <v/>
      </c>
      <c r="Q19" s="77" t="str">
        <f>_xlfn.IFNA(VLOOKUP(RIGHT('paste report'!H19,6),$AE$10:$AF$47,2,FALSE),"")</f>
        <v/>
      </c>
      <c r="R19" s="72">
        <f t="shared" si="4"/>
        <v>0</v>
      </c>
      <c r="S19" s="75" t="str">
        <f>_xlfn.IFNA(VLOOKUP(LEFT('paste report'!I19,6),$AE$10:$AF$47,2,FALSE),"")</f>
        <v/>
      </c>
      <c r="T19" s="77" t="str">
        <f>_xlfn.IFNA(VLOOKUP(RIGHT('paste report'!I19,6),$AE$10:$AF$47,2,FALSE),"")</f>
        <v/>
      </c>
      <c r="U19" s="72">
        <f t="shared" si="5"/>
        <v>0</v>
      </c>
      <c r="V19" s="75" t="str">
        <f>_xlfn.IFNA(VLOOKUP(LEFT('paste report'!J19,6),$AE$10:$AF$47,2,FALSE),"")</f>
        <v/>
      </c>
      <c r="W19" s="77" t="str">
        <f>_xlfn.IFNA(VLOOKUP(RIGHT('paste report'!J19,6),$AE$10:$AF$47,2,FALSE),"")</f>
        <v/>
      </c>
      <c r="X19" s="72">
        <f t="shared" si="6"/>
        <v>0</v>
      </c>
      <c r="Y19" s="75" t="str">
        <f>_xlfn.IFNA(VLOOKUP(LEFT('paste report'!K19,6),$AE$10:$AF$47,2,FALSE),"")</f>
        <v/>
      </c>
      <c r="Z19" s="77" t="str">
        <f>_xlfn.IFNA(VLOOKUP(RIGHT('paste report'!K19,6),$AE$10:$AF$47,2,FALSE),"")</f>
        <v/>
      </c>
      <c r="AA19" s="72">
        <f t="shared" si="7"/>
        <v>0</v>
      </c>
      <c r="AE19" s="74" t="s">
        <v>298</v>
      </c>
      <c r="AF19" s="65">
        <v>0.39583333333333298</v>
      </c>
    </row>
    <row r="20" spans="2:32">
      <c r="B20" s="66" t="str">
        <f>'paste report'!A20</f>
        <v>01601</v>
      </c>
      <c r="C20" s="66" t="str">
        <f>'paste report'!B20</f>
        <v>Dorothy</v>
      </c>
      <c r="D20" s="67" t="str">
        <f>'paste report'!C20</f>
        <v>Choi</v>
      </c>
      <c r="E20" s="68" t="str">
        <f>VLOOKUP(B20,Team!$B$4:$F$183,5,FALSE)</f>
        <v>CAS</v>
      </c>
      <c r="F20" s="69">
        <f t="shared" si="0"/>
        <v>7.9999999999999911</v>
      </c>
      <c r="G20" s="75" t="str">
        <f>_xlfn.IFNA(VLOOKUP(LEFT('paste report'!E20,6),$AE$10:$AF$47,2,FALSE),"")</f>
        <v/>
      </c>
      <c r="H20" s="76" t="str">
        <f>_xlfn.IFNA(VLOOKUP(RIGHT('paste report'!E20,6),$AE$10:$AF$47,2,FALSE),"")</f>
        <v/>
      </c>
      <c r="I20" s="72">
        <f t="shared" si="1"/>
        <v>0</v>
      </c>
      <c r="J20" s="75" t="str">
        <f>_xlfn.IFNA(VLOOKUP(LEFT('paste report'!F20,6),$AE$10:$AF$47,2,FALSE),"")</f>
        <v/>
      </c>
      <c r="K20" s="77" t="str">
        <f>_xlfn.IFNA(VLOOKUP(RIGHT('paste report'!F20,6),$AE$10:$AF$47,2,FALSE),"")</f>
        <v/>
      </c>
      <c r="L20" s="72">
        <f t="shared" si="2"/>
        <v>0</v>
      </c>
      <c r="M20" s="75" t="str">
        <f>_xlfn.IFNA(VLOOKUP(LEFT('paste report'!G20,6),$AE$10:$AF$47,2,FALSE),"")</f>
        <v/>
      </c>
      <c r="N20" s="77" t="str">
        <f>_xlfn.IFNA(VLOOKUP(RIGHT('paste report'!G20,6),$AE$10:$AF$47,2,FALSE),"")</f>
        <v/>
      </c>
      <c r="O20" s="72">
        <f t="shared" si="3"/>
        <v>0</v>
      </c>
      <c r="P20" s="75" t="str">
        <f>_xlfn.IFNA(VLOOKUP(LEFT('paste report'!H20,6),$AE$10:$AF$47,2,FALSE),"")</f>
        <v/>
      </c>
      <c r="Q20" s="77" t="str">
        <f>_xlfn.IFNA(VLOOKUP(RIGHT('paste report'!H20,6),$AE$10:$AF$47,2,FALSE),"")</f>
        <v/>
      </c>
      <c r="R20" s="72">
        <f t="shared" si="4"/>
        <v>0</v>
      </c>
      <c r="S20" s="75" t="str">
        <f>_xlfn.IFNA(VLOOKUP(LEFT('paste report'!I20,6),$AE$10:$AF$47,2,FALSE),"")</f>
        <v/>
      </c>
      <c r="T20" s="77" t="str">
        <f>_xlfn.IFNA(VLOOKUP(RIGHT('paste report'!I20,6),$AE$10:$AF$47,2,FALSE),"")</f>
        <v/>
      </c>
      <c r="U20" s="72">
        <f t="shared" si="5"/>
        <v>0</v>
      </c>
      <c r="V20" s="75">
        <f>_xlfn.IFNA(VLOOKUP(LEFT('paste report'!J20,6),$AE$10:$AF$47,2,FALSE),"")</f>
        <v>0.45833333333333298</v>
      </c>
      <c r="W20" s="77">
        <f>_xlfn.IFNA(VLOOKUP(RIGHT('paste report'!J20,6),$AE$10:$AF$47,2,FALSE),"")</f>
        <v>0.79166666666666596</v>
      </c>
      <c r="X20" s="72">
        <f t="shared" si="6"/>
        <v>7.9999999999999911</v>
      </c>
      <c r="Y20" s="75" t="str">
        <f>_xlfn.IFNA(VLOOKUP(LEFT('paste report'!K20,6),$AE$10:$AF$47,2,FALSE),"")</f>
        <v/>
      </c>
      <c r="Z20" s="77" t="str">
        <f>_xlfn.IFNA(VLOOKUP(RIGHT('paste report'!K20,6),$AE$10:$AF$47,2,FALSE),"")</f>
        <v/>
      </c>
      <c r="AA20" s="72">
        <f t="shared" si="7"/>
        <v>0</v>
      </c>
      <c r="AE20" s="74" t="s">
        <v>299</v>
      </c>
      <c r="AF20" s="65">
        <v>0.41666666666666602</v>
      </c>
    </row>
    <row r="21" spans="2:32">
      <c r="B21" s="66" t="str">
        <f>'paste report'!A21</f>
        <v>01506</v>
      </c>
      <c r="C21" s="66" t="str">
        <f>'paste report'!B21</f>
        <v>Duke</v>
      </c>
      <c r="D21" s="67" t="str">
        <f>'paste report'!C21</f>
        <v>Trac</v>
      </c>
      <c r="E21" s="68" t="str">
        <f>VLOOKUP(B21,Team!$B$4:$F$183,5,FALSE)</f>
        <v>PT</v>
      </c>
      <c r="F21" s="69">
        <f t="shared" si="0"/>
        <v>23.999999999999975</v>
      </c>
      <c r="G21" s="75" t="str">
        <f>_xlfn.IFNA(VLOOKUP(LEFT('paste report'!E21,6),$AE$10:$AF$47,2,FALSE),"")</f>
        <v/>
      </c>
      <c r="H21" s="76" t="str">
        <f>_xlfn.IFNA(VLOOKUP(RIGHT('paste report'!E21,6),$AE$10:$AF$47,2,FALSE),"")</f>
        <v/>
      </c>
      <c r="I21" s="72">
        <f t="shared" si="1"/>
        <v>0</v>
      </c>
      <c r="J21" s="75" t="str">
        <f>_xlfn.IFNA(VLOOKUP(LEFT('paste report'!F21,6),$AE$10:$AF$47,2,FALSE),"")</f>
        <v/>
      </c>
      <c r="K21" s="77" t="str">
        <f>_xlfn.IFNA(VLOOKUP(RIGHT('paste report'!F21,6),$AE$10:$AF$47,2,FALSE),"")</f>
        <v/>
      </c>
      <c r="L21" s="72">
        <f t="shared" si="2"/>
        <v>0</v>
      </c>
      <c r="M21" s="75" t="str">
        <f>_xlfn.IFNA(VLOOKUP(LEFT('paste report'!G21,6),$AE$10:$AF$47,2,FALSE),"")</f>
        <v/>
      </c>
      <c r="N21" s="77" t="str">
        <f>_xlfn.IFNA(VLOOKUP(RIGHT('paste report'!G21,6),$AE$10:$AF$47,2,FALSE),"")</f>
        <v/>
      </c>
      <c r="O21" s="72">
        <f t="shared" si="3"/>
        <v>0</v>
      </c>
      <c r="P21" s="75">
        <f>_xlfn.IFNA(VLOOKUP(LEFT('paste report'!H21,6),$AE$10:$AF$47,2,FALSE),"")</f>
        <v>0.58333333333333304</v>
      </c>
      <c r="Q21" s="77">
        <f>_xlfn.IFNA(VLOOKUP(RIGHT('paste report'!H21,6),$AE$10:$AF$47,2,FALSE),"")</f>
        <v>0.91666666666666596</v>
      </c>
      <c r="R21" s="72">
        <f t="shared" si="4"/>
        <v>7.9999999999999902</v>
      </c>
      <c r="S21" s="75" t="str">
        <f>_xlfn.IFNA(VLOOKUP(LEFT('paste report'!I21,6),$AE$10:$AF$47,2,FALSE),"")</f>
        <v/>
      </c>
      <c r="T21" s="77" t="str">
        <f>_xlfn.IFNA(VLOOKUP(RIGHT('paste report'!I21,6),$AE$10:$AF$47,2,FALSE),"")</f>
        <v/>
      </c>
      <c r="U21" s="72">
        <f t="shared" si="5"/>
        <v>0</v>
      </c>
      <c r="V21" s="75">
        <f>_xlfn.IFNA(VLOOKUP(LEFT('paste report'!J21,6),$AE$10:$AF$47,2,FALSE),"")</f>
        <v>0.499999999999999</v>
      </c>
      <c r="W21" s="77">
        <f>_xlfn.IFNA(VLOOKUP(RIGHT('paste report'!J21,6),$AE$10:$AF$47,2,FALSE),"")</f>
        <v>0.83333333333333204</v>
      </c>
      <c r="X21" s="72">
        <f t="shared" si="6"/>
        <v>7.9999999999999929</v>
      </c>
      <c r="Y21" s="75">
        <f>_xlfn.IFNA(VLOOKUP(LEFT('paste report'!K21,6),$AE$10:$AF$47,2,FALSE),"")</f>
        <v>0.499999999999999</v>
      </c>
      <c r="Z21" s="77">
        <f>_xlfn.IFNA(VLOOKUP(RIGHT('paste report'!K21,6),$AE$10:$AF$47,2,FALSE),"")</f>
        <v>0.83333333333333204</v>
      </c>
      <c r="AA21" s="72">
        <f t="shared" si="7"/>
        <v>7.9999999999999929</v>
      </c>
      <c r="AE21" s="74" t="s">
        <v>300</v>
      </c>
      <c r="AF21" s="65">
        <v>0.437499999999999</v>
      </c>
    </row>
    <row r="22" spans="2:32">
      <c r="B22" s="66" t="str">
        <f>'paste report'!A22</f>
        <v>01526</v>
      </c>
      <c r="C22" s="66" t="str">
        <f>'paste report'!B22</f>
        <v>Emma</v>
      </c>
      <c r="D22" s="67" t="str">
        <f>'paste report'!C22</f>
        <v>Blackburn</v>
      </c>
      <c r="E22" s="68" t="str">
        <f>VLOOKUP(B22,Team!$B$4:$F$183,5,FALSE)</f>
        <v>CAS</v>
      </c>
      <c r="F22" s="69">
        <f t="shared" si="0"/>
        <v>0</v>
      </c>
      <c r="G22" s="75" t="str">
        <f>_xlfn.IFNA(VLOOKUP(LEFT('paste report'!E22,6),$AE$10:$AF$47,2,FALSE),"")</f>
        <v/>
      </c>
      <c r="H22" s="76" t="str">
        <f>_xlfn.IFNA(VLOOKUP(RIGHT('paste report'!E22,6),$AE$10:$AF$47,2,FALSE),"")</f>
        <v/>
      </c>
      <c r="I22" s="72">
        <f t="shared" si="1"/>
        <v>0</v>
      </c>
      <c r="J22" s="75" t="str">
        <f>_xlfn.IFNA(VLOOKUP(LEFT('paste report'!F22,6),$AE$10:$AF$47,2,FALSE),"")</f>
        <v/>
      </c>
      <c r="K22" s="77" t="str">
        <f>_xlfn.IFNA(VLOOKUP(RIGHT('paste report'!F22,6),$AE$10:$AF$47,2,FALSE),"")</f>
        <v/>
      </c>
      <c r="L22" s="72">
        <f t="shared" si="2"/>
        <v>0</v>
      </c>
      <c r="M22" s="75" t="str">
        <f>_xlfn.IFNA(VLOOKUP(LEFT('paste report'!G22,6),$AE$10:$AF$47,2,FALSE),"")</f>
        <v/>
      </c>
      <c r="N22" s="77" t="str">
        <f>_xlfn.IFNA(VLOOKUP(RIGHT('paste report'!G22,6),$AE$10:$AF$47,2,FALSE),"")</f>
        <v/>
      </c>
      <c r="O22" s="72">
        <f t="shared" si="3"/>
        <v>0</v>
      </c>
      <c r="P22" s="75" t="str">
        <f>_xlfn.IFNA(VLOOKUP(LEFT('paste report'!H22,6),$AE$10:$AF$47,2,FALSE),"")</f>
        <v/>
      </c>
      <c r="Q22" s="77" t="str">
        <f>_xlfn.IFNA(VLOOKUP(RIGHT('paste report'!H22,6),$AE$10:$AF$47,2,FALSE),"")</f>
        <v/>
      </c>
      <c r="R22" s="72">
        <f t="shared" si="4"/>
        <v>0</v>
      </c>
      <c r="S22" s="75" t="str">
        <f>_xlfn.IFNA(VLOOKUP(LEFT('paste report'!I22,6),$AE$10:$AF$47,2,FALSE),"")</f>
        <v/>
      </c>
      <c r="T22" s="77" t="str">
        <f>_xlfn.IFNA(VLOOKUP(RIGHT('paste report'!I22,6),$AE$10:$AF$47,2,FALSE),"")</f>
        <v/>
      </c>
      <c r="U22" s="72">
        <f t="shared" si="5"/>
        <v>0</v>
      </c>
      <c r="V22" s="75" t="str">
        <f>_xlfn.IFNA(VLOOKUP(LEFT('paste report'!J22,6),$AE$10:$AF$47,2,FALSE),"")</f>
        <v/>
      </c>
      <c r="W22" s="77" t="str">
        <f>_xlfn.IFNA(VLOOKUP(RIGHT('paste report'!J22,6),$AE$10:$AF$47,2,FALSE),"")</f>
        <v/>
      </c>
      <c r="X22" s="72">
        <f t="shared" si="6"/>
        <v>0</v>
      </c>
      <c r="Y22" s="75" t="str">
        <f>_xlfn.IFNA(VLOOKUP(LEFT('paste report'!K22,6),$AE$10:$AF$47,2,FALSE),"")</f>
        <v/>
      </c>
      <c r="Z22" s="77" t="str">
        <f>_xlfn.IFNA(VLOOKUP(RIGHT('paste report'!K22,6),$AE$10:$AF$47,2,FALSE),"")</f>
        <v/>
      </c>
      <c r="AA22" s="72">
        <f t="shared" si="7"/>
        <v>0</v>
      </c>
      <c r="AE22" s="74" t="s">
        <v>301</v>
      </c>
      <c r="AF22" s="65">
        <v>0.45833333333333298</v>
      </c>
    </row>
    <row r="23" spans="2:32">
      <c r="B23" s="66" t="str">
        <f>'paste report'!A23</f>
        <v>1025</v>
      </c>
      <c r="C23" s="66" t="str">
        <f>'paste report'!B23</f>
        <v>Eunice</v>
      </c>
      <c r="D23" s="67" t="str">
        <f>'paste report'!C23</f>
        <v>Deng</v>
      </c>
      <c r="E23" s="68" t="str">
        <f>VLOOKUP(B23,Team!$B$4:$F$183,5,FALSE)</f>
        <v>CAS</v>
      </c>
      <c r="F23" s="69">
        <f t="shared" si="0"/>
        <v>0</v>
      </c>
      <c r="G23" s="75" t="str">
        <f>_xlfn.IFNA(VLOOKUP(LEFT('paste report'!E23,6),$AE$10:$AF$47,2,FALSE),"")</f>
        <v/>
      </c>
      <c r="H23" s="76" t="str">
        <f>_xlfn.IFNA(VLOOKUP(RIGHT('paste report'!E23,6),$AE$10:$AF$47,2,FALSE),"")</f>
        <v/>
      </c>
      <c r="I23" s="72">
        <f t="shared" si="1"/>
        <v>0</v>
      </c>
      <c r="J23" s="75" t="str">
        <f>_xlfn.IFNA(VLOOKUP(LEFT('paste report'!F23,6),$AE$10:$AF$47,2,FALSE),"")</f>
        <v/>
      </c>
      <c r="K23" s="77" t="str">
        <f>_xlfn.IFNA(VLOOKUP(RIGHT('paste report'!F23,6),$AE$10:$AF$47,2,FALSE),"")</f>
        <v/>
      </c>
      <c r="L23" s="72">
        <f t="shared" si="2"/>
        <v>0</v>
      </c>
      <c r="M23" s="75" t="str">
        <f>_xlfn.IFNA(VLOOKUP(LEFT('paste report'!G23,6),$AE$10:$AF$47,2,FALSE),"")</f>
        <v/>
      </c>
      <c r="N23" s="77" t="str">
        <f>_xlfn.IFNA(VLOOKUP(RIGHT('paste report'!G23,6),$AE$10:$AF$47,2,FALSE),"")</f>
        <v/>
      </c>
      <c r="O23" s="72">
        <f t="shared" si="3"/>
        <v>0</v>
      </c>
      <c r="P23" s="75" t="str">
        <f>_xlfn.IFNA(VLOOKUP(LEFT('paste report'!H23,6),$AE$10:$AF$47,2,FALSE),"")</f>
        <v/>
      </c>
      <c r="Q23" s="77" t="str">
        <f>_xlfn.IFNA(VLOOKUP(RIGHT('paste report'!H23,6),$AE$10:$AF$47,2,FALSE),"")</f>
        <v/>
      </c>
      <c r="R23" s="72">
        <f t="shared" si="4"/>
        <v>0</v>
      </c>
      <c r="S23" s="75" t="str">
        <f>_xlfn.IFNA(VLOOKUP(LEFT('paste report'!I23,6),$AE$10:$AF$47,2,FALSE),"")</f>
        <v/>
      </c>
      <c r="T23" s="77" t="str">
        <f>_xlfn.IFNA(VLOOKUP(RIGHT('paste report'!I23,6),$AE$10:$AF$47,2,FALSE),"")</f>
        <v/>
      </c>
      <c r="U23" s="72">
        <f t="shared" si="5"/>
        <v>0</v>
      </c>
      <c r="V23" s="75" t="str">
        <f>_xlfn.IFNA(VLOOKUP(LEFT('paste report'!J23,6),$AE$10:$AF$47,2,FALSE),"")</f>
        <v/>
      </c>
      <c r="W23" s="77" t="str">
        <f>_xlfn.IFNA(VLOOKUP(RIGHT('paste report'!J23,6),$AE$10:$AF$47,2,FALSE),"")</f>
        <v/>
      </c>
      <c r="X23" s="72">
        <f t="shared" si="6"/>
        <v>0</v>
      </c>
      <c r="Y23" s="75" t="str">
        <f>_xlfn.IFNA(VLOOKUP(LEFT('paste report'!K23,6),$AE$10:$AF$47,2,FALSE),"")</f>
        <v/>
      </c>
      <c r="Z23" s="77" t="str">
        <f>_xlfn.IFNA(VLOOKUP(RIGHT('paste report'!K23,6),$AE$10:$AF$47,2,FALSE),"")</f>
        <v/>
      </c>
      <c r="AA23" s="72">
        <f t="shared" si="7"/>
        <v>0</v>
      </c>
      <c r="AE23" s="74" t="s">
        <v>302</v>
      </c>
      <c r="AF23" s="65">
        <v>0.47916666666666602</v>
      </c>
    </row>
    <row r="24" spans="2:32">
      <c r="B24" s="66" t="str">
        <f>'paste report'!A24</f>
        <v>670</v>
      </c>
      <c r="C24" s="66" t="str">
        <f>'paste report'!B24</f>
        <v>Fern</v>
      </c>
      <c r="D24" s="67" t="str">
        <f>'paste report'!C24</f>
        <v>Hwa</v>
      </c>
      <c r="E24" s="68" t="str">
        <f>VLOOKUP(B24,Team!$B$4:$F$183,5,FALSE)</f>
        <v>FT</v>
      </c>
      <c r="F24" s="69">
        <f t="shared" si="0"/>
        <v>40.499999999999979</v>
      </c>
      <c r="G24" s="75">
        <f>_xlfn.IFNA(VLOOKUP(LEFT('paste report'!E24,6),$AE$10:$AF$47,2,FALSE),"")</f>
        <v>0.437499999999999</v>
      </c>
      <c r="H24" s="76">
        <f>_xlfn.IFNA(VLOOKUP(RIGHT('paste report'!E24,6),$AE$10:$AF$47,2,FALSE),"")</f>
        <v>0.79166666666666596</v>
      </c>
      <c r="I24" s="72">
        <f t="shared" si="1"/>
        <v>8.5000000000000071</v>
      </c>
      <c r="J24" s="75">
        <f>_xlfn.IFNA(VLOOKUP(LEFT('paste report'!F24,6),$AE$10:$AF$47,2,FALSE),"")</f>
        <v>0.45833333333333298</v>
      </c>
      <c r="K24" s="77">
        <f>_xlfn.IFNA(VLOOKUP(RIGHT('paste report'!F24,6),$AE$10:$AF$47,2,FALSE),"")</f>
        <v>0.79166666666666596</v>
      </c>
      <c r="L24" s="72">
        <f t="shared" si="2"/>
        <v>7.9999999999999911</v>
      </c>
      <c r="M24" s="75">
        <f>_xlfn.IFNA(VLOOKUP(LEFT('paste report'!G24,6),$AE$10:$AF$47,2,FALSE),"")</f>
        <v>0.35416666666666602</v>
      </c>
      <c r="N24" s="77">
        <f>_xlfn.IFNA(VLOOKUP(RIGHT('paste report'!G24,6),$AE$10:$AF$47,2,FALSE),"")</f>
        <v>0.687499999999999</v>
      </c>
      <c r="O24" s="72">
        <f t="shared" si="3"/>
        <v>7.9999999999999911</v>
      </c>
      <c r="P24" s="75">
        <f>_xlfn.IFNA(VLOOKUP(LEFT('paste report'!H24,6),$AE$10:$AF$47,2,FALSE),"")</f>
        <v>0.58333333333333304</v>
      </c>
      <c r="Q24" s="77">
        <f>_xlfn.IFNA(VLOOKUP(RIGHT('paste report'!H24,6),$AE$10:$AF$47,2,FALSE),"")</f>
        <v>0.91666666666666596</v>
      </c>
      <c r="R24" s="72">
        <f t="shared" si="4"/>
        <v>7.9999999999999902</v>
      </c>
      <c r="S24" s="75" t="str">
        <f>_xlfn.IFNA(VLOOKUP(LEFT('paste report'!I24,6),$AE$10:$AF$47,2,FALSE),"")</f>
        <v/>
      </c>
      <c r="T24" s="77" t="str">
        <f>_xlfn.IFNA(VLOOKUP(RIGHT('paste report'!I24,6),$AE$10:$AF$47,2,FALSE),"")</f>
        <v/>
      </c>
      <c r="U24" s="72">
        <f t="shared" si="5"/>
        <v>0</v>
      </c>
      <c r="V24" s="75" t="str">
        <f>_xlfn.IFNA(VLOOKUP(LEFT('paste report'!J24,6),$AE$10:$AF$47,2,FALSE),"")</f>
        <v/>
      </c>
      <c r="W24" s="77" t="str">
        <f>_xlfn.IFNA(VLOOKUP(RIGHT('paste report'!J24,6),$AE$10:$AF$47,2,FALSE),"")</f>
        <v/>
      </c>
      <c r="X24" s="72">
        <f t="shared" si="6"/>
        <v>0</v>
      </c>
      <c r="Y24" s="75">
        <f>_xlfn.IFNA(VLOOKUP(LEFT('paste report'!K24,6),$AE$10:$AF$47,2,FALSE),"")</f>
        <v>0.499999999999999</v>
      </c>
      <c r="Z24" s="77">
        <f>_xlfn.IFNA(VLOOKUP(RIGHT('paste report'!K24,6),$AE$10:$AF$47,2,FALSE),"")</f>
        <v>0.83333333333333204</v>
      </c>
      <c r="AA24" s="72">
        <f t="shared" si="7"/>
        <v>7.9999999999999929</v>
      </c>
      <c r="AE24" s="74" t="s">
        <v>303</v>
      </c>
      <c r="AF24" s="65">
        <v>0.499999999999999</v>
      </c>
    </row>
    <row r="25" spans="2:32">
      <c r="B25" s="66" t="str">
        <f>'paste report'!A25</f>
        <v>01504</v>
      </c>
      <c r="C25" s="66" t="str">
        <f>'paste report'!B25</f>
        <v>Hannah</v>
      </c>
      <c r="D25" s="67" t="str">
        <f>'paste report'!C25</f>
        <v>Abad</v>
      </c>
      <c r="E25" s="68" t="str">
        <f>VLOOKUP(B25,Team!$B$4:$F$183,5,FALSE)</f>
        <v>CAS</v>
      </c>
      <c r="F25" s="69">
        <f t="shared" si="0"/>
        <v>14.999999999999972</v>
      </c>
      <c r="G25" s="75">
        <f>_xlfn.IFNA(VLOOKUP(LEFT('paste report'!E25,6),$AE$10:$AF$47,2,FALSE),"")</f>
        <v>0.58333333333333304</v>
      </c>
      <c r="H25" s="76">
        <f>_xlfn.IFNA(VLOOKUP(RIGHT('paste report'!E25,6),$AE$10:$AF$47,2,FALSE),"")</f>
        <v>0.79166666666666596</v>
      </c>
      <c r="I25" s="72">
        <f t="shared" si="1"/>
        <v>4.9999999999999902</v>
      </c>
      <c r="J25" s="75" t="str">
        <f>_xlfn.IFNA(VLOOKUP(LEFT('paste report'!F25,6),$AE$10:$AF$47,2,FALSE),"")</f>
        <v/>
      </c>
      <c r="K25" s="77" t="str">
        <f>_xlfn.IFNA(VLOOKUP(RIGHT('paste report'!F25,6),$AE$10:$AF$47,2,FALSE),"")</f>
        <v/>
      </c>
      <c r="L25" s="72">
        <f t="shared" si="2"/>
        <v>0</v>
      </c>
      <c r="M25" s="75" t="str">
        <f>_xlfn.IFNA(VLOOKUP(LEFT('paste report'!G25,6),$AE$10:$AF$47,2,FALSE),"")</f>
        <v/>
      </c>
      <c r="N25" s="77" t="str">
        <f>_xlfn.IFNA(VLOOKUP(RIGHT('paste report'!G25,6),$AE$10:$AF$47,2,FALSE),"")</f>
        <v/>
      </c>
      <c r="O25" s="72">
        <f t="shared" si="3"/>
        <v>0</v>
      </c>
      <c r="P25" s="75">
        <f>_xlfn.IFNA(VLOOKUP(LEFT('paste report'!H25,6),$AE$10:$AF$47,2,FALSE),"")</f>
        <v>0.66666666666666596</v>
      </c>
      <c r="Q25" s="77">
        <f>_xlfn.IFNA(VLOOKUP(RIGHT('paste report'!H25,6),$AE$10:$AF$47,2,FALSE),"")</f>
        <v>0.874999999999999</v>
      </c>
      <c r="R25" s="72">
        <f t="shared" si="4"/>
        <v>4.9999999999999929</v>
      </c>
      <c r="S25" s="75">
        <f>_xlfn.IFNA(VLOOKUP(LEFT('paste report'!I25,6),$AE$10:$AF$47,2,FALSE),"")</f>
        <v>0.58333333333333304</v>
      </c>
      <c r="T25" s="77">
        <f>_xlfn.IFNA(VLOOKUP(RIGHT('paste report'!I25,6),$AE$10:$AF$47,2,FALSE),"")</f>
        <v>0.79166666666666596</v>
      </c>
      <c r="U25" s="72">
        <f t="shared" si="5"/>
        <v>4.9999999999999902</v>
      </c>
      <c r="V25" s="75" t="str">
        <f>_xlfn.IFNA(VLOOKUP(LEFT('paste report'!J25,6),$AE$10:$AF$47,2,FALSE),"")</f>
        <v/>
      </c>
      <c r="W25" s="77" t="str">
        <f>_xlfn.IFNA(VLOOKUP(RIGHT('paste report'!J25,6),$AE$10:$AF$47,2,FALSE),"")</f>
        <v/>
      </c>
      <c r="X25" s="72">
        <f t="shared" si="6"/>
        <v>0</v>
      </c>
      <c r="Y25" s="75" t="str">
        <f>_xlfn.IFNA(VLOOKUP(LEFT('paste report'!K25,6),$AE$10:$AF$47,2,FALSE),"")</f>
        <v/>
      </c>
      <c r="Z25" s="77" t="str">
        <f>_xlfn.IFNA(VLOOKUP(RIGHT('paste report'!K25,6),$AE$10:$AF$47,2,FALSE),"")</f>
        <v/>
      </c>
      <c r="AA25" s="72">
        <f t="shared" si="7"/>
        <v>0</v>
      </c>
      <c r="AE25" s="74" t="s">
        <v>304</v>
      </c>
      <c r="AF25" s="65">
        <v>0.52083333333333304</v>
      </c>
    </row>
    <row r="26" spans="2:32">
      <c r="B26" s="66" t="str">
        <f>'paste report'!A26</f>
        <v>01524</v>
      </c>
      <c r="C26" s="66" t="str">
        <f>'paste report'!B26</f>
        <v>Isabelle</v>
      </c>
      <c r="D26" s="67" t="str">
        <f>'paste report'!C26</f>
        <v>Lee</v>
      </c>
      <c r="E26" s="68" t="str">
        <f>VLOOKUP(B26,Team!$B$4:$F$183,5,FALSE)</f>
        <v>CAS</v>
      </c>
      <c r="F26" s="69">
        <f t="shared" si="0"/>
        <v>15.999999999999984</v>
      </c>
      <c r="G26" s="75" t="str">
        <f>_xlfn.IFNA(VLOOKUP(LEFT('paste report'!E26,6),$AE$10:$AF$47,2,FALSE),"")</f>
        <v/>
      </c>
      <c r="H26" s="76" t="str">
        <f>_xlfn.IFNA(VLOOKUP(RIGHT('paste report'!E26,6),$AE$10:$AF$47,2,FALSE),"")</f>
        <v/>
      </c>
      <c r="I26" s="72">
        <f t="shared" si="1"/>
        <v>0</v>
      </c>
      <c r="J26" s="75">
        <f>_xlfn.IFNA(VLOOKUP(LEFT('paste report'!F26,6),$AE$10:$AF$47,2,FALSE),"")</f>
        <v>0.45833333333333298</v>
      </c>
      <c r="K26" s="77">
        <f>_xlfn.IFNA(VLOOKUP(RIGHT('paste report'!F26,6),$AE$10:$AF$47,2,FALSE),"")</f>
        <v>0.79166666666666596</v>
      </c>
      <c r="L26" s="72">
        <f t="shared" si="2"/>
        <v>7.9999999999999911</v>
      </c>
      <c r="M26" s="75" t="str">
        <f>_xlfn.IFNA(VLOOKUP(LEFT('paste report'!G26,6),$AE$10:$AF$47,2,FALSE),"")</f>
        <v/>
      </c>
      <c r="N26" s="77" t="str">
        <f>_xlfn.IFNA(VLOOKUP(RIGHT('paste report'!G26,6),$AE$10:$AF$47,2,FALSE),"")</f>
        <v/>
      </c>
      <c r="O26" s="72">
        <f t="shared" si="3"/>
        <v>0</v>
      </c>
      <c r="P26" s="75" t="str">
        <f>_xlfn.IFNA(VLOOKUP(LEFT('paste report'!H26,6),$AE$10:$AF$47,2,FALSE),"")</f>
        <v/>
      </c>
      <c r="Q26" s="77" t="str">
        <f>_xlfn.IFNA(VLOOKUP(RIGHT('paste report'!H26,6),$AE$10:$AF$47,2,FALSE),"")</f>
        <v/>
      </c>
      <c r="R26" s="72">
        <f t="shared" si="4"/>
        <v>0</v>
      </c>
      <c r="S26" s="75" t="str">
        <f>_xlfn.IFNA(VLOOKUP(LEFT('paste report'!I26,6),$AE$10:$AF$47,2,FALSE),"")</f>
        <v/>
      </c>
      <c r="T26" s="77" t="str">
        <f>_xlfn.IFNA(VLOOKUP(RIGHT('paste report'!I26,6),$AE$10:$AF$47,2,FALSE),"")</f>
        <v/>
      </c>
      <c r="U26" s="72">
        <f t="shared" si="5"/>
        <v>0</v>
      </c>
      <c r="V26" s="75" t="str">
        <f>_xlfn.IFNA(VLOOKUP(LEFT('paste report'!J26,6),$AE$10:$AF$47,2,FALSE),"")</f>
        <v/>
      </c>
      <c r="W26" s="77" t="str">
        <f>_xlfn.IFNA(VLOOKUP(RIGHT('paste report'!J26,6),$AE$10:$AF$47,2,FALSE),"")</f>
        <v/>
      </c>
      <c r="X26" s="72">
        <f t="shared" si="6"/>
        <v>0</v>
      </c>
      <c r="Y26" s="75">
        <f>_xlfn.IFNA(VLOOKUP(LEFT('paste report'!K26,6),$AE$10:$AF$47,2,FALSE),"")</f>
        <v>0.375</v>
      </c>
      <c r="Z26" s="77">
        <f>_xlfn.IFNA(VLOOKUP(RIGHT('paste report'!K26,6),$AE$10:$AF$47,2,FALSE),"")</f>
        <v>0.70833333333333304</v>
      </c>
      <c r="AA26" s="72">
        <f t="shared" si="7"/>
        <v>7.9999999999999929</v>
      </c>
      <c r="AE26" s="74" t="s">
        <v>305</v>
      </c>
      <c r="AF26" s="65">
        <v>0.54166666666666596</v>
      </c>
    </row>
    <row r="27" spans="2:32">
      <c r="B27" s="66" t="str">
        <f>'paste report'!A27</f>
        <v>1216</v>
      </c>
      <c r="C27" s="66" t="str">
        <f>'paste report'!B27</f>
        <v>Janelle</v>
      </c>
      <c r="D27" s="67" t="str">
        <f>'paste report'!C27</f>
        <v>Viernes</v>
      </c>
      <c r="E27" s="68" t="str">
        <f>VLOOKUP(B27,Team!$B$4:$F$183,5,FALSE)</f>
        <v>CAS</v>
      </c>
      <c r="F27" s="69">
        <f t="shared" si="0"/>
        <v>7.9999999999999929</v>
      </c>
      <c r="G27" s="75" t="str">
        <f>_xlfn.IFNA(VLOOKUP(LEFT('paste report'!E27,6),$AE$10:$AF$47,2,FALSE),"")</f>
        <v/>
      </c>
      <c r="H27" s="76" t="str">
        <f>_xlfn.IFNA(VLOOKUP(RIGHT('paste report'!E27,6),$AE$10:$AF$47,2,FALSE),"")</f>
        <v/>
      </c>
      <c r="I27" s="72">
        <f t="shared" si="1"/>
        <v>0</v>
      </c>
      <c r="J27" s="75" t="str">
        <f>_xlfn.IFNA(VLOOKUP(LEFT('paste report'!F27,6),$AE$10:$AF$47,2,FALSE),"")</f>
        <v/>
      </c>
      <c r="K27" s="77" t="str">
        <f>_xlfn.IFNA(VLOOKUP(RIGHT('paste report'!F27,6),$AE$10:$AF$47,2,FALSE),"")</f>
        <v/>
      </c>
      <c r="L27" s="72">
        <f t="shared" si="2"/>
        <v>0</v>
      </c>
      <c r="M27" s="75" t="str">
        <f>_xlfn.IFNA(VLOOKUP(LEFT('paste report'!G27,6),$AE$10:$AF$47,2,FALSE),"")</f>
        <v/>
      </c>
      <c r="N27" s="77" t="str">
        <f>_xlfn.IFNA(VLOOKUP(RIGHT('paste report'!G27,6),$AE$10:$AF$47,2,FALSE),"")</f>
        <v/>
      </c>
      <c r="O27" s="72">
        <f t="shared" si="3"/>
        <v>0</v>
      </c>
      <c r="P27" s="75" t="str">
        <f>_xlfn.IFNA(VLOOKUP(LEFT('paste report'!H27,6),$AE$10:$AF$47,2,FALSE),"")</f>
        <v/>
      </c>
      <c r="Q27" s="77" t="str">
        <f>_xlfn.IFNA(VLOOKUP(RIGHT('paste report'!H27,6),$AE$10:$AF$47,2,FALSE),"")</f>
        <v/>
      </c>
      <c r="R27" s="72">
        <f t="shared" si="4"/>
        <v>0</v>
      </c>
      <c r="S27" s="75" t="str">
        <f>_xlfn.IFNA(VLOOKUP(LEFT('paste report'!I27,6),$AE$10:$AF$47,2,FALSE),"")</f>
        <v/>
      </c>
      <c r="T27" s="77" t="str">
        <f>_xlfn.IFNA(VLOOKUP(RIGHT('paste report'!I27,6),$AE$10:$AF$47,2,FALSE),"")</f>
        <v/>
      </c>
      <c r="U27" s="72">
        <f t="shared" si="5"/>
        <v>0</v>
      </c>
      <c r="V27" s="75" t="str">
        <f>_xlfn.IFNA(VLOOKUP(LEFT('paste report'!J27,6),$AE$10:$AF$47,2,FALSE),"")</f>
        <v/>
      </c>
      <c r="W27" s="77" t="str">
        <f>_xlfn.IFNA(VLOOKUP(RIGHT('paste report'!J27,6),$AE$10:$AF$47,2,FALSE),"")</f>
        <v/>
      </c>
      <c r="X27" s="72">
        <f t="shared" si="6"/>
        <v>0</v>
      </c>
      <c r="Y27" s="75">
        <f>_xlfn.IFNA(VLOOKUP(LEFT('paste report'!K27,6),$AE$10:$AF$47,2,FALSE),"")</f>
        <v>0.499999999999999</v>
      </c>
      <c r="Z27" s="77">
        <f>_xlfn.IFNA(VLOOKUP(RIGHT('paste report'!K27,6),$AE$10:$AF$47,2,FALSE),"")</f>
        <v>0.83333333333333204</v>
      </c>
      <c r="AA27" s="72">
        <f t="shared" si="7"/>
        <v>7.9999999999999929</v>
      </c>
      <c r="AE27" s="74" t="s">
        <v>306</v>
      </c>
      <c r="AF27" s="65">
        <v>0.562499999999999</v>
      </c>
    </row>
    <row r="28" spans="2:32">
      <c r="B28" s="66" t="str">
        <f>'paste report'!A28</f>
        <v>1228</v>
      </c>
      <c r="C28" s="66" t="str">
        <f>'paste report'!B28</f>
        <v>Jared</v>
      </c>
      <c r="D28" s="67" t="str">
        <f>'paste report'!C28</f>
        <v>Hui</v>
      </c>
      <c r="E28" s="68" t="str">
        <f>VLOOKUP(B28,Team!$B$4:$F$183,5,FALSE)</f>
        <v>PT</v>
      </c>
      <c r="F28" s="69">
        <f t="shared" si="0"/>
        <v>23.999999999999975</v>
      </c>
      <c r="G28" s="75" t="str">
        <f>_xlfn.IFNA(VLOOKUP(LEFT('paste report'!E28,6),$AE$10:$AF$47,2,FALSE),"")</f>
        <v/>
      </c>
      <c r="H28" s="76" t="str">
        <f>_xlfn.IFNA(VLOOKUP(RIGHT('paste report'!E28,6),$AE$10:$AF$47,2,FALSE),"")</f>
        <v/>
      </c>
      <c r="I28" s="72">
        <f t="shared" si="1"/>
        <v>0</v>
      </c>
      <c r="J28" s="75" t="str">
        <f>_xlfn.IFNA(VLOOKUP(LEFT('paste report'!F28,6),$AE$10:$AF$47,2,FALSE),"")</f>
        <v/>
      </c>
      <c r="K28" s="77" t="str">
        <f>_xlfn.IFNA(VLOOKUP(RIGHT('paste report'!F28,6),$AE$10:$AF$47,2,FALSE),"")</f>
        <v/>
      </c>
      <c r="L28" s="72">
        <f t="shared" si="2"/>
        <v>0</v>
      </c>
      <c r="M28" s="75">
        <f>_xlfn.IFNA(VLOOKUP(LEFT('paste report'!G28,6),$AE$10:$AF$47,2,FALSE),"")</f>
        <v>0.45833333333333298</v>
      </c>
      <c r="N28" s="77">
        <f>_xlfn.IFNA(VLOOKUP(RIGHT('paste report'!G28,6),$AE$10:$AF$47,2,FALSE),"")</f>
        <v>0.79166666666666596</v>
      </c>
      <c r="O28" s="72">
        <f t="shared" si="3"/>
        <v>7.9999999999999911</v>
      </c>
      <c r="P28" s="75">
        <f>_xlfn.IFNA(VLOOKUP(LEFT('paste report'!H28,6),$AE$10:$AF$47,2,FALSE),"")</f>
        <v>0.58333333333333304</v>
      </c>
      <c r="Q28" s="77">
        <f>_xlfn.IFNA(VLOOKUP(RIGHT('paste report'!H28,6),$AE$10:$AF$47,2,FALSE),"")</f>
        <v>0.91666666666666596</v>
      </c>
      <c r="R28" s="72">
        <f t="shared" si="4"/>
        <v>7.9999999999999902</v>
      </c>
      <c r="S28" s="75" t="str">
        <f>_xlfn.IFNA(VLOOKUP(LEFT('paste report'!I28,6),$AE$10:$AF$47,2,FALSE),"")</f>
        <v/>
      </c>
      <c r="T28" s="77" t="str">
        <f>_xlfn.IFNA(VLOOKUP(RIGHT('paste report'!I28,6),$AE$10:$AF$47,2,FALSE),"")</f>
        <v/>
      </c>
      <c r="U28" s="72">
        <f t="shared" si="5"/>
        <v>0</v>
      </c>
      <c r="V28" s="75" t="str">
        <f>_xlfn.IFNA(VLOOKUP(LEFT('paste report'!J28,6),$AE$10:$AF$47,2,FALSE),"")</f>
        <v/>
      </c>
      <c r="W28" s="77" t="str">
        <f>_xlfn.IFNA(VLOOKUP(RIGHT('paste report'!J28,6),$AE$10:$AF$47,2,FALSE),"")</f>
        <v/>
      </c>
      <c r="X28" s="72">
        <f t="shared" si="6"/>
        <v>0</v>
      </c>
      <c r="Y28" s="75">
        <f>_xlfn.IFNA(VLOOKUP(LEFT('paste report'!K28,6),$AE$10:$AF$47,2,FALSE),"")</f>
        <v>0.499999999999999</v>
      </c>
      <c r="Z28" s="77">
        <f>_xlfn.IFNA(VLOOKUP(RIGHT('paste report'!K28,6),$AE$10:$AF$47,2,FALSE),"")</f>
        <v>0.83333333333333204</v>
      </c>
      <c r="AA28" s="72">
        <f t="shared" si="7"/>
        <v>7.9999999999999929</v>
      </c>
      <c r="AE28" s="74" t="s">
        <v>307</v>
      </c>
      <c r="AF28" s="65">
        <v>0.58333333333333304</v>
      </c>
    </row>
    <row r="29" spans="2:32">
      <c r="B29" s="66" t="str">
        <f>'paste report'!A29</f>
        <v>1196</v>
      </c>
      <c r="C29" s="66" t="str">
        <f>'paste report'!B29</f>
        <v>Jessica</v>
      </c>
      <c r="D29" s="67" t="str">
        <f>'paste report'!C29</f>
        <v>Rao</v>
      </c>
      <c r="E29" s="68" t="str">
        <f>VLOOKUP(B29,Team!$B$4:$F$183,5,FALSE)</f>
        <v>FT</v>
      </c>
      <c r="F29" s="69">
        <f t="shared" si="0"/>
        <v>39.999999999999957</v>
      </c>
      <c r="G29" s="75" t="str">
        <f>_xlfn.IFNA(VLOOKUP(LEFT('paste report'!E29,6),$AE$10:$AF$47,2,FALSE),"")</f>
        <v/>
      </c>
      <c r="H29" s="76" t="str">
        <f>_xlfn.IFNA(VLOOKUP(RIGHT('paste report'!E29,6),$AE$10:$AF$47,2,FALSE),"")</f>
        <v/>
      </c>
      <c r="I29" s="72">
        <f t="shared" si="1"/>
        <v>0</v>
      </c>
      <c r="J29" s="75">
        <f>_xlfn.IFNA(VLOOKUP(LEFT('paste report'!F29,6),$AE$10:$AF$47,2,FALSE),"")</f>
        <v>0.45833333333333298</v>
      </c>
      <c r="K29" s="77">
        <f>_xlfn.IFNA(VLOOKUP(RIGHT('paste report'!F29,6),$AE$10:$AF$47,2,FALSE),"")</f>
        <v>0.79166666666666596</v>
      </c>
      <c r="L29" s="72">
        <f t="shared" si="2"/>
        <v>7.9999999999999911</v>
      </c>
      <c r="M29" s="75">
        <f>_xlfn.IFNA(VLOOKUP(LEFT('paste report'!G29,6),$AE$10:$AF$47,2,FALSE),"")</f>
        <v>0.35416666666666602</v>
      </c>
      <c r="N29" s="77">
        <f>_xlfn.IFNA(VLOOKUP(RIGHT('paste report'!G29,6),$AE$10:$AF$47,2,FALSE),"")</f>
        <v>0.687499999999999</v>
      </c>
      <c r="O29" s="72">
        <f t="shared" si="3"/>
        <v>7.9999999999999911</v>
      </c>
      <c r="P29" s="75">
        <f>_xlfn.IFNA(VLOOKUP(LEFT('paste report'!H29,6),$AE$10:$AF$47,2,FALSE),"")</f>
        <v>0.35416666666666602</v>
      </c>
      <c r="Q29" s="77">
        <f>_xlfn.IFNA(VLOOKUP(RIGHT('paste report'!H29,6),$AE$10:$AF$47,2,FALSE),"")</f>
        <v>0.687499999999999</v>
      </c>
      <c r="R29" s="72">
        <f t="shared" si="4"/>
        <v>7.9999999999999911</v>
      </c>
      <c r="S29" s="75">
        <f>_xlfn.IFNA(VLOOKUP(LEFT('paste report'!I29,6),$AE$10:$AF$47,2,FALSE),"")</f>
        <v>0.45833333333333298</v>
      </c>
      <c r="T29" s="77">
        <f>_xlfn.IFNA(VLOOKUP(RIGHT('paste report'!I29,6),$AE$10:$AF$47,2,FALSE),"")</f>
        <v>0.79166666666666596</v>
      </c>
      <c r="U29" s="72">
        <f t="shared" si="5"/>
        <v>7.9999999999999911</v>
      </c>
      <c r="V29" s="75">
        <f>_xlfn.IFNA(VLOOKUP(LEFT('paste report'!J29,6),$AE$10:$AF$47,2,FALSE),"")</f>
        <v>0.499999999999999</v>
      </c>
      <c r="W29" s="77">
        <f>_xlfn.IFNA(VLOOKUP(RIGHT('paste report'!J29,6),$AE$10:$AF$47,2,FALSE),"")</f>
        <v>0.83333333333333204</v>
      </c>
      <c r="X29" s="72">
        <f t="shared" si="6"/>
        <v>7.9999999999999929</v>
      </c>
      <c r="Y29" s="75" t="str">
        <f>_xlfn.IFNA(VLOOKUP(LEFT('paste report'!K29,6),$AE$10:$AF$47,2,FALSE),"")</f>
        <v/>
      </c>
      <c r="Z29" s="77" t="str">
        <f>_xlfn.IFNA(VLOOKUP(RIGHT('paste report'!K29,6),$AE$10:$AF$47,2,FALSE),"")</f>
        <v/>
      </c>
      <c r="AA29" s="72">
        <f t="shared" si="7"/>
        <v>0</v>
      </c>
      <c r="AE29" s="74" t="s">
        <v>308</v>
      </c>
      <c r="AF29" s="65">
        <v>0.60416666666666596</v>
      </c>
    </row>
    <row r="30" spans="2:32">
      <c r="B30" s="66" t="str">
        <f>'paste report'!A30</f>
        <v>01520</v>
      </c>
      <c r="C30" s="66" t="str">
        <f>'paste report'!B30</f>
        <v>Jessie</v>
      </c>
      <c r="D30" s="67" t="str">
        <f>'paste report'!C30</f>
        <v>Zhang</v>
      </c>
      <c r="E30" s="68" t="str">
        <f>VLOOKUP(B30,Team!$B$4:$F$183,5,FALSE)</f>
        <v>CAS</v>
      </c>
      <c r="F30" s="69">
        <f t="shared" si="0"/>
        <v>0</v>
      </c>
      <c r="G30" s="75" t="str">
        <f>_xlfn.IFNA(VLOOKUP(LEFT('paste report'!E30,6),$AE$10:$AF$47,2,FALSE),"")</f>
        <v/>
      </c>
      <c r="H30" s="76" t="str">
        <f>_xlfn.IFNA(VLOOKUP(RIGHT('paste report'!E30,6),$AE$10:$AF$47,2,FALSE),"")</f>
        <v/>
      </c>
      <c r="I30" s="72">
        <f t="shared" si="1"/>
        <v>0</v>
      </c>
      <c r="J30" s="75" t="str">
        <f>_xlfn.IFNA(VLOOKUP(LEFT('paste report'!F30,6),$AE$10:$AF$47,2,FALSE),"")</f>
        <v/>
      </c>
      <c r="K30" s="77" t="str">
        <f>_xlfn.IFNA(VLOOKUP(RIGHT('paste report'!F30,6),$AE$10:$AF$47,2,FALSE),"")</f>
        <v/>
      </c>
      <c r="L30" s="72">
        <f t="shared" si="2"/>
        <v>0</v>
      </c>
      <c r="M30" s="75" t="str">
        <f>_xlfn.IFNA(VLOOKUP(LEFT('paste report'!G30,6),$AE$10:$AF$47,2,FALSE),"")</f>
        <v/>
      </c>
      <c r="N30" s="77" t="str">
        <f>_xlfn.IFNA(VLOOKUP(RIGHT('paste report'!G30,6),$AE$10:$AF$47,2,FALSE),"")</f>
        <v/>
      </c>
      <c r="O30" s="72">
        <f t="shared" si="3"/>
        <v>0</v>
      </c>
      <c r="P30" s="75" t="str">
        <f>_xlfn.IFNA(VLOOKUP(LEFT('paste report'!H30,6),$AE$10:$AF$47,2,FALSE),"")</f>
        <v/>
      </c>
      <c r="Q30" s="77" t="str">
        <f>_xlfn.IFNA(VLOOKUP(RIGHT('paste report'!H30,6),$AE$10:$AF$47,2,FALSE),"")</f>
        <v/>
      </c>
      <c r="R30" s="72">
        <f t="shared" si="4"/>
        <v>0</v>
      </c>
      <c r="S30" s="75" t="str">
        <f>_xlfn.IFNA(VLOOKUP(LEFT('paste report'!I30,6),$AE$10:$AF$47,2,FALSE),"")</f>
        <v/>
      </c>
      <c r="T30" s="77" t="str">
        <f>_xlfn.IFNA(VLOOKUP(RIGHT('paste report'!I30,6),$AE$10:$AF$47,2,FALSE),"")</f>
        <v/>
      </c>
      <c r="U30" s="72">
        <f t="shared" si="5"/>
        <v>0</v>
      </c>
      <c r="V30" s="75" t="str">
        <f>_xlfn.IFNA(VLOOKUP(LEFT('paste report'!J30,6),$AE$10:$AF$47,2,FALSE),"")</f>
        <v/>
      </c>
      <c r="W30" s="77" t="str">
        <f>_xlfn.IFNA(VLOOKUP(RIGHT('paste report'!J30,6),$AE$10:$AF$47,2,FALSE),"")</f>
        <v/>
      </c>
      <c r="X30" s="72">
        <f t="shared" si="6"/>
        <v>0</v>
      </c>
      <c r="Y30" s="75" t="str">
        <f>_xlfn.IFNA(VLOOKUP(LEFT('paste report'!K30,6),$AE$10:$AF$47,2,FALSE),"")</f>
        <v/>
      </c>
      <c r="Z30" s="77" t="str">
        <f>_xlfn.IFNA(VLOOKUP(RIGHT('paste report'!K30,6),$AE$10:$AF$47,2,FALSE),"")</f>
        <v/>
      </c>
      <c r="AA30" s="72">
        <f t="shared" si="7"/>
        <v>0</v>
      </c>
      <c r="AE30" s="78" t="s">
        <v>309</v>
      </c>
      <c r="AF30" s="65">
        <v>0.624999999999999</v>
      </c>
    </row>
    <row r="31" spans="2:32">
      <c r="B31" s="66" t="str">
        <f>'paste report'!A31</f>
        <v>01505</v>
      </c>
      <c r="C31" s="66" t="str">
        <f>'paste report'!B31</f>
        <v>Jewel</v>
      </c>
      <c r="D31" s="67" t="str">
        <f>'paste report'!C31</f>
        <v>Yabut</v>
      </c>
      <c r="E31" s="68" t="str">
        <f>VLOOKUP(B31,Team!$B$4:$F$183,5,FALSE)</f>
        <v>CAS</v>
      </c>
      <c r="F31" s="69">
        <f t="shared" si="0"/>
        <v>4.9999999999999929</v>
      </c>
      <c r="G31" s="75" t="str">
        <f>_xlfn.IFNA(VLOOKUP(LEFT('paste report'!E31,6),$AE$10:$AF$47,2,FALSE),"")</f>
        <v/>
      </c>
      <c r="H31" s="76" t="str">
        <f>_xlfn.IFNA(VLOOKUP(RIGHT('paste report'!E31,6),$AE$10:$AF$47,2,FALSE),"")</f>
        <v/>
      </c>
      <c r="I31" s="72">
        <f t="shared" si="1"/>
        <v>0</v>
      </c>
      <c r="J31" s="75" t="str">
        <f>_xlfn.IFNA(VLOOKUP(LEFT('paste report'!F31,6),$AE$10:$AF$47,2,FALSE),"")</f>
        <v/>
      </c>
      <c r="K31" s="77" t="str">
        <f>_xlfn.IFNA(VLOOKUP(RIGHT('paste report'!F31,6),$AE$10:$AF$47,2,FALSE),"")</f>
        <v/>
      </c>
      <c r="L31" s="72">
        <f t="shared" si="2"/>
        <v>0</v>
      </c>
      <c r="M31" s="75" t="str">
        <f>_xlfn.IFNA(VLOOKUP(LEFT('paste report'!G31,6),$AE$10:$AF$47,2,FALSE),"")</f>
        <v/>
      </c>
      <c r="N31" s="77" t="str">
        <f>_xlfn.IFNA(VLOOKUP(RIGHT('paste report'!G31,6),$AE$10:$AF$47,2,FALSE),"")</f>
        <v/>
      </c>
      <c r="O31" s="72">
        <f t="shared" si="3"/>
        <v>0</v>
      </c>
      <c r="P31" s="75" t="str">
        <f>_xlfn.IFNA(VLOOKUP(LEFT('paste report'!H31,6),$AE$10:$AF$47,2,FALSE),"")</f>
        <v/>
      </c>
      <c r="Q31" s="77" t="str">
        <f>_xlfn.IFNA(VLOOKUP(RIGHT('paste report'!H31,6),$AE$10:$AF$47,2,FALSE),"")</f>
        <v/>
      </c>
      <c r="R31" s="72">
        <f t="shared" si="4"/>
        <v>0</v>
      </c>
      <c r="S31" s="75" t="str">
        <f>_xlfn.IFNA(VLOOKUP(LEFT('paste report'!I31,6),$AE$10:$AF$47,2,FALSE),"")</f>
        <v/>
      </c>
      <c r="T31" s="77" t="str">
        <f>_xlfn.IFNA(VLOOKUP(RIGHT('paste report'!I31,6),$AE$10:$AF$47,2,FALSE),"")</f>
        <v/>
      </c>
      <c r="U31" s="72">
        <f t="shared" si="5"/>
        <v>0</v>
      </c>
      <c r="V31" s="75" t="str">
        <f>_xlfn.IFNA(VLOOKUP(LEFT('paste report'!J31,6),$AE$10:$AF$47,2,FALSE),"")</f>
        <v/>
      </c>
      <c r="W31" s="77" t="str">
        <f>_xlfn.IFNA(VLOOKUP(RIGHT('paste report'!J31,6),$AE$10:$AF$47,2,FALSE),"")</f>
        <v/>
      </c>
      <c r="X31" s="72">
        <f t="shared" si="6"/>
        <v>0</v>
      </c>
      <c r="Y31" s="75">
        <f>_xlfn.IFNA(VLOOKUP(LEFT('paste report'!K31,6),$AE$10:$AF$47,2,FALSE),"")</f>
        <v>0.375</v>
      </c>
      <c r="Z31" s="77">
        <f>_xlfn.IFNA(VLOOKUP(RIGHT('paste report'!K31,6),$AE$10:$AF$47,2,FALSE),"")</f>
        <v>0.58333333333333304</v>
      </c>
      <c r="AA31" s="72">
        <f t="shared" si="7"/>
        <v>4.9999999999999929</v>
      </c>
      <c r="AE31" s="74" t="s">
        <v>310</v>
      </c>
      <c r="AF31" s="65">
        <v>0.64583333333333304</v>
      </c>
    </row>
    <row r="32" spans="2:32">
      <c r="B32" s="66" t="str">
        <f>'paste report'!A32</f>
        <v>1289</v>
      </c>
      <c r="C32" s="66" t="str">
        <f>'paste report'!B32</f>
        <v>Jordan</v>
      </c>
      <c r="D32" s="67" t="str">
        <f>'paste report'!C32</f>
        <v>Shue</v>
      </c>
      <c r="E32" s="68" t="str">
        <f>VLOOKUP(B32,Team!$B$4:$F$183,5,FALSE)</f>
        <v>FT</v>
      </c>
      <c r="F32" s="69">
        <f t="shared" si="0"/>
        <v>40.499999999999979</v>
      </c>
      <c r="G32" s="75">
        <f>_xlfn.IFNA(VLOOKUP(LEFT('paste report'!E32,6),$AE$10:$AF$47,2,FALSE),"")</f>
        <v>0.437499999999999</v>
      </c>
      <c r="H32" s="76">
        <f>_xlfn.IFNA(VLOOKUP(RIGHT('paste report'!E32,6),$AE$10:$AF$47,2,FALSE),"")</f>
        <v>0.79166666666666596</v>
      </c>
      <c r="I32" s="72">
        <f t="shared" si="1"/>
        <v>8.5000000000000071</v>
      </c>
      <c r="J32" s="75">
        <f>_xlfn.IFNA(VLOOKUP(LEFT('paste report'!F32,6),$AE$10:$AF$47,2,FALSE),"")</f>
        <v>0.45833333333333298</v>
      </c>
      <c r="K32" s="77">
        <f>_xlfn.IFNA(VLOOKUP(RIGHT('paste report'!F32,6),$AE$10:$AF$47,2,FALSE),"")</f>
        <v>0.79166666666666596</v>
      </c>
      <c r="L32" s="72">
        <f t="shared" si="2"/>
        <v>7.9999999999999911</v>
      </c>
      <c r="M32" s="75">
        <f>_xlfn.IFNA(VLOOKUP(LEFT('paste report'!G32,6),$AE$10:$AF$47,2,FALSE),"")</f>
        <v>0.45833333333333298</v>
      </c>
      <c r="N32" s="77">
        <f>_xlfn.IFNA(VLOOKUP(RIGHT('paste report'!G32,6),$AE$10:$AF$47,2,FALSE),"")</f>
        <v>0.79166666666666596</v>
      </c>
      <c r="O32" s="72">
        <f t="shared" si="3"/>
        <v>7.9999999999999911</v>
      </c>
      <c r="P32" s="75">
        <f>_xlfn.IFNA(VLOOKUP(LEFT('paste report'!H32,6),$AE$10:$AF$47,2,FALSE),"")</f>
        <v>0.58333333333333304</v>
      </c>
      <c r="Q32" s="77">
        <f>_xlfn.IFNA(VLOOKUP(RIGHT('paste report'!H32,6),$AE$10:$AF$47,2,FALSE),"")</f>
        <v>0.91666666666666596</v>
      </c>
      <c r="R32" s="72">
        <f t="shared" si="4"/>
        <v>7.9999999999999902</v>
      </c>
      <c r="S32" s="75" t="str">
        <f>_xlfn.IFNA(VLOOKUP(LEFT('paste report'!I32,6),$AE$10:$AF$47,2,FALSE),"")</f>
        <v/>
      </c>
      <c r="T32" s="77" t="str">
        <f>_xlfn.IFNA(VLOOKUP(RIGHT('paste report'!I32,6),$AE$10:$AF$47,2,FALSE),"")</f>
        <v/>
      </c>
      <c r="U32" s="72">
        <f t="shared" si="5"/>
        <v>0</v>
      </c>
      <c r="V32" s="75" t="str">
        <f>_xlfn.IFNA(VLOOKUP(LEFT('paste report'!J32,6),$AE$10:$AF$47,2,FALSE),"")</f>
        <v/>
      </c>
      <c r="W32" s="77" t="str">
        <f>_xlfn.IFNA(VLOOKUP(RIGHT('paste report'!J32,6),$AE$10:$AF$47,2,FALSE),"")</f>
        <v/>
      </c>
      <c r="X32" s="72">
        <f t="shared" si="6"/>
        <v>0</v>
      </c>
      <c r="Y32" s="75">
        <f>_xlfn.IFNA(VLOOKUP(LEFT('paste report'!K32,6),$AE$10:$AF$47,2,FALSE),"")</f>
        <v>0.375</v>
      </c>
      <c r="Z32" s="77">
        <f>_xlfn.IFNA(VLOOKUP(RIGHT('paste report'!K32,6),$AE$10:$AF$47,2,FALSE),"")</f>
        <v>0.70833333333333304</v>
      </c>
      <c r="AA32" s="72">
        <f t="shared" si="7"/>
        <v>7.9999999999999929</v>
      </c>
      <c r="AE32" s="74" t="s">
        <v>311</v>
      </c>
      <c r="AF32" s="65">
        <v>0.66666666666666596</v>
      </c>
    </row>
    <row r="33" spans="2:32">
      <c r="B33" s="66" t="str">
        <f>'paste report'!A33</f>
        <v>1094</v>
      </c>
      <c r="C33" s="66" t="str">
        <f>'paste report'!B33</f>
        <v>Joslyn</v>
      </c>
      <c r="D33" s="67" t="str">
        <f>'paste report'!C33</f>
        <v>Lam</v>
      </c>
      <c r="E33" s="68" t="str">
        <f>VLOOKUP(B33,Team!$B$4:$F$183,5,FALSE)</f>
        <v>PT</v>
      </c>
      <c r="F33" s="69">
        <f t="shared" si="0"/>
        <v>23.999999999999975</v>
      </c>
      <c r="G33" s="75" t="str">
        <f>_xlfn.IFNA(VLOOKUP(LEFT('paste report'!E33,6),$AE$10:$AF$47,2,FALSE),"")</f>
        <v/>
      </c>
      <c r="H33" s="76" t="str">
        <f>_xlfn.IFNA(VLOOKUP(RIGHT('paste report'!E33,6),$AE$10:$AF$47,2,FALSE),"")</f>
        <v/>
      </c>
      <c r="I33" s="72">
        <f t="shared" si="1"/>
        <v>0</v>
      </c>
      <c r="J33" s="75" t="str">
        <f>_xlfn.IFNA(VLOOKUP(LEFT('paste report'!F33,6),$AE$10:$AF$47,2,FALSE),"")</f>
        <v/>
      </c>
      <c r="K33" s="77" t="str">
        <f>_xlfn.IFNA(VLOOKUP(RIGHT('paste report'!F33,6),$AE$10:$AF$47,2,FALSE),"")</f>
        <v/>
      </c>
      <c r="L33" s="72">
        <f t="shared" si="2"/>
        <v>0</v>
      </c>
      <c r="M33" s="75">
        <f>_xlfn.IFNA(VLOOKUP(LEFT('paste report'!G33,6),$AE$10:$AF$47,2,FALSE),"")</f>
        <v>0.35416666666666602</v>
      </c>
      <c r="N33" s="77">
        <f>_xlfn.IFNA(VLOOKUP(RIGHT('paste report'!G33,6),$AE$10:$AF$47,2,FALSE),"")</f>
        <v>0.687499999999999</v>
      </c>
      <c r="O33" s="72">
        <f t="shared" si="3"/>
        <v>7.9999999999999911</v>
      </c>
      <c r="P33" s="75">
        <f>_xlfn.IFNA(VLOOKUP(LEFT('paste report'!H33,6),$AE$10:$AF$47,2,FALSE),"")</f>
        <v>0.35416666666666602</v>
      </c>
      <c r="Q33" s="77">
        <f>_xlfn.IFNA(VLOOKUP(RIGHT('paste report'!H33,6),$AE$10:$AF$47,2,FALSE),"")</f>
        <v>0.687499999999999</v>
      </c>
      <c r="R33" s="72">
        <f t="shared" si="4"/>
        <v>7.9999999999999911</v>
      </c>
      <c r="S33" s="75" t="str">
        <f>_xlfn.IFNA(VLOOKUP(LEFT('paste report'!I33,6),$AE$10:$AF$47,2,FALSE),"")</f>
        <v/>
      </c>
      <c r="T33" s="77" t="str">
        <f>_xlfn.IFNA(VLOOKUP(RIGHT('paste report'!I33,6),$AE$10:$AF$47,2,FALSE),"")</f>
        <v/>
      </c>
      <c r="U33" s="72">
        <f t="shared" si="5"/>
        <v>0</v>
      </c>
      <c r="V33" s="75" t="str">
        <f>_xlfn.IFNA(VLOOKUP(LEFT('paste report'!J33,6),$AE$10:$AF$47,2,FALSE),"")</f>
        <v/>
      </c>
      <c r="W33" s="77" t="str">
        <f>_xlfn.IFNA(VLOOKUP(RIGHT('paste report'!J33,6),$AE$10:$AF$47,2,FALSE),"")</f>
        <v/>
      </c>
      <c r="X33" s="72">
        <f t="shared" si="6"/>
        <v>0</v>
      </c>
      <c r="Y33" s="75">
        <f>_xlfn.IFNA(VLOOKUP(LEFT('paste report'!K33,6),$AE$10:$AF$47,2,FALSE),"")</f>
        <v>0.375</v>
      </c>
      <c r="Z33" s="77">
        <f>_xlfn.IFNA(VLOOKUP(RIGHT('paste report'!K33,6),$AE$10:$AF$47,2,FALSE),"")</f>
        <v>0.70833333333333304</v>
      </c>
      <c r="AA33" s="72">
        <f t="shared" si="7"/>
        <v>7.9999999999999929</v>
      </c>
      <c r="AE33" s="78" t="s">
        <v>312</v>
      </c>
      <c r="AF33" s="65">
        <v>0.687499999999999</v>
      </c>
    </row>
    <row r="34" spans="2:32">
      <c r="B34" s="66" t="str">
        <f>'paste report'!A34</f>
        <v>1014</v>
      </c>
      <c r="C34" s="66" t="str">
        <f>'paste report'!B34</f>
        <v>Julie K.</v>
      </c>
      <c r="D34" s="67" t="str">
        <f>'paste report'!C34</f>
        <v>Ko</v>
      </c>
      <c r="E34" s="68" t="str">
        <f>VLOOKUP(B34,Team!$B$4:$F$183,5,FALSE)</f>
        <v>CAS</v>
      </c>
      <c r="F34" s="69">
        <f t="shared" si="0"/>
        <v>15.999999999999984</v>
      </c>
      <c r="G34" s="75">
        <f>_xlfn.IFNA(VLOOKUP(LEFT('paste report'!E34,6),$AE$10:$AF$47,2,FALSE),"")</f>
        <v>0.35416666666666602</v>
      </c>
      <c r="H34" s="76">
        <f>_xlfn.IFNA(VLOOKUP(RIGHT('paste report'!E34,6),$AE$10:$AF$47,2,FALSE),"")</f>
        <v>0.687499999999999</v>
      </c>
      <c r="I34" s="72">
        <f t="shared" si="1"/>
        <v>7.9999999999999911</v>
      </c>
      <c r="J34" s="75" t="str">
        <f>_xlfn.IFNA(VLOOKUP(LEFT('paste report'!F34,6),$AE$10:$AF$47,2,FALSE),"")</f>
        <v/>
      </c>
      <c r="K34" s="77" t="str">
        <f>_xlfn.IFNA(VLOOKUP(RIGHT('paste report'!F34,6),$AE$10:$AF$47,2,FALSE),"")</f>
        <v/>
      </c>
      <c r="L34" s="72">
        <f t="shared" si="2"/>
        <v>0</v>
      </c>
      <c r="M34" s="75" t="str">
        <f>_xlfn.IFNA(VLOOKUP(LEFT('paste report'!G34,6),$AE$10:$AF$47,2,FALSE),"")</f>
        <v/>
      </c>
      <c r="N34" s="77" t="str">
        <f>_xlfn.IFNA(VLOOKUP(RIGHT('paste report'!G34,6),$AE$10:$AF$47,2,FALSE),"")</f>
        <v/>
      </c>
      <c r="O34" s="72">
        <f t="shared" si="3"/>
        <v>0</v>
      </c>
      <c r="P34" s="75" t="str">
        <f>_xlfn.IFNA(VLOOKUP(LEFT('paste report'!H34,6),$AE$10:$AF$47,2,FALSE),"")</f>
        <v/>
      </c>
      <c r="Q34" s="77" t="str">
        <f>_xlfn.IFNA(VLOOKUP(RIGHT('paste report'!H34,6),$AE$10:$AF$47,2,FALSE),"")</f>
        <v/>
      </c>
      <c r="R34" s="72">
        <f t="shared" si="4"/>
        <v>0</v>
      </c>
      <c r="S34" s="75" t="str">
        <f>_xlfn.IFNA(VLOOKUP(LEFT('paste report'!I34,6),$AE$10:$AF$47,2,FALSE),"")</f>
        <v/>
      </c>
      <c r="T34" s="77" t="str">
        <f>_xlfn.IFNA(VLOOKUP(RIGHT('paste report'!I34,6),$AE$10:$AF$47,2,FALSE),"")</f>
        <v/>
      </c>
      <c r="U34" s="72">
        <f t="shared" si="5"/>
        <v>0</v>
      </c>
      <c r="V34" s="75">
        <f>_xlfn.IFNA(VLOOKUP(LEFT('paste report'!J34,6),$AE$10:$AF$47,2,FALSE),"")</f>
        <v>0.375</v>
      </c>
      <c r="W34" s="77">
        <f>_xlfn.IFNA(VLOOKUP(RIGHT('paste report'!J34,6),$AE$10:$AF$47,2,FALSE),"")</f>
        <v>0.70833333333333304</v>
      </c>
      <c r="X34" s="72">
        <f t="shared" si="6"/>
        <v>7.9999999999999929</v>
      </c>
      <c r="Y34" s="75" t="str">
        <f>_xlfn.IFNA(VLOOKUP(LEFT('paste report'!K34,6),$AE$10:$AF$47,2,FALSE),"")</f>
        <v/>
      </c>
      <c r="Z34" s="77" t="str">
        <f>_xlfn.IFNA(VLOOKUP(RIGHT('paste report'!K34,6),$AE$10:$AF$47,2,FALSE),"")</f>
        <v/>
      </c>
      <c r="AA34" s="72">
        <f t="shared" si="7"/>
        <v>0</v>
      </c>
      <c r="AE34" s="74" t="s">
        <v>313</v>
      </c>
      <c r="AF34" s="65">
        <v>0.70833333333333304</v>
      </c>
    </row>
    <row r="35" spans="2:32">
      <c r="B35" s="66" t="str">
        <f>'paste report'!A35</f>
        <v>01518</v>
      </c>
      <c r="C35" s="66" t="str">
        <f>'paste report'!B35</f>
        <v>Julie L.</v>
      </c>
      <c r="D35" s="67" t="str">
        <f>'paste report'!C35</f>
        <v>Luong</v>
      </c>
      <c r="E35" s="68" t="str">
        <f>VLOOKUP(B35,Team!$B$4:$F$183,5,FALSE)</f>
        <v>PT</v>
      </c>
      <c r="F35" s="69">
        <f t="shared" si="0"/>
        <v>23.999999999999975</v>
      </c>
      <c r="G35" s="75">
        <f>_xlfn.IFNA(VLOOKUP(LEFT('paste report'!E35,6),$AE$10:$AF$47,2,FALSE),"")</f>
        <v>0.45833333333333298</v>
      </c>
      <c r="H35" s="76">
        <f>_xlfn.IFNA(VLOOKUP(RIGHT('paste report'!E35,6),$AE$10:$AF$47,2,FALSE),"")</f>
        <v>0.79166666666666596</v>
      </c>
      <c r="I35" s="72">
        <f t="shared" si="1"/>
        <v>7.9999999999999911</v>
      </c>
      <c r="J35" s="75" t="str">
        <f>_xlfn.IFNA(VLOOKUP(LEFT('paste report'!F35,6),$AE$10:$AF$47,2,FALSE),"")</f>
        <v/>
      </c>
      <c r="K35" s="77" t="str">
        <f>_xlfn.IFNA(VLOOKUP(RIGHT('paste report'!F35,6),$AE$10:$AF$47,2,FALSE),"")</f>
        <v/>
      </c>
      <c r="L35" s="72">
        <f t="shared" si="2"/>
        <v>0</v>
      </c>
      <c r="M35" s="75" t="str">
        <f>_xlfn.IFNA(VLOOKUP(LEFT('paste report'!G35,6),$AE$10:$AF$47,2,FALSE),"")</f>
        <v/>
      </c>
      <c r="N35" s="77" t="str">
        <f>_xlfn.IFNA(VLOOKUP(RIGHT('paste report'!G35,6),$AE$10:$AF$47,2,FALSE),"")</f>
        <v/>
      </c>
      <c r="O35" s="72">
        <f t="shared" si="3"/>
        <v>0</v>
      </c>
      <c r="P35" s="75" t="str">
        <f>_xlfn.IFNA(VLOOKUP(LEFT('paste report'!H35,6),$AE$10:$AF$47,2,FALSE),"")</f>
        <v/>
      </c>
      <c r="Q35" s="77" t="str">
        <f>_xlfn.IFNA(VLOOKUP(RIGHT('paste report'!H35,6),$AE$10:$AF$47,2,FALSE),"")</f>
        <v/>
      </c>
      <c r="R35" s="72">
        <f t="shared" si="4"/>
        <v>0</v>
      </c>
      <c r="S35" s="75">
        <f>_xlfn.IFNA(VLOOKUP(LEFT('paste report'!I35,6),$AE$10:$AF$47,2,FALSE),"")</f>
        <v>0.45833333333333298</v>
      </c>
      <c r="T35" s="77">
        <f>_xlfn.IFNA(VLOOKUP(RIGHT('paste report'!I35,6),$AE$10:$AF$47,2,FALSE),"")</f>
        <v>0.79166666666666596</v>
      </c>
      <c r="U35" s="72">
        <f t="shared" si="5"/>
        <v>7.9999999999999911</v>
      </c>
      <c r="V35" s="75">
        <f>_xlfn.IFNA(VLOOKUP(LEFT('paste report'!J35,6),$AE$10:$AF$47,2,FALSE),"")</f>
        <v>0.375</v>
      </c>
      <c r="W35" s="77">
        <f>_xlfn.IFNA(VLOOKUP(RIGHT('paste report'!J35,6),$AE$10:$AF$47,2,FALSE),"")</f>
        <v>0.70833333333333304</v>
      </c>
      <c r="X35" s="72">
        <f t="shared" si="6"/>
        <v>7.9999999999999929</v>
      </c>
      <c r="Y35" s="75" t="str">
        <f>_xlfn.IFNA(VLOOKUP(LEFT('paste report'!K35,6),$AE$10:$AF$47,2,FALSE),"")</f>
        <v/>
      </c>
      <c r="Z35" s="77" t="str">
        <f>_xlfn.IFNA(VLOOKUP(RIGHT('paste report'!K35,6),$AE$10:$AF$47,2,FALSE),"")</f>
        <v/>
      </c>
      <c r="AA35" s="72">
        <f t="shared" si="7"/>
        <v>0</v>
      </c>
      <c r="AE35" s="74" t="s">
        <v>314</v>
      </c>
      <c r="AF35" s="65">
        <v>0.72916666666666596</v>
      </c>
    </row>
    <row r="36" spans="2:32">
      <c r="B36" s="66" t="str">
        <f>'paste report'!A36</f>
        <v>01527</v>
      </c>
      <c r="C36" s="66" t="str">
        <f>'paste report'!B36</f>
        <v>Justine</v>
      </c>
      <c r="D36" s="67" t="str">
        <f>'paste report'!C36</f>
        <v>Sy</v>
      </c>
      <c r="E36" s="68" t="str">
        <f>VLOOKUP(B36,Team!$B$4:$F$183,5,FALSE)</f>
        <v>CAS</v>
      </c>
      <c r="F36" s="69">
        <f t="shared" si="0"/>
        <v>20.999999999999979</v>
      </c>
      <c r="G36" s="75" t="str">
        <f>_xlfn.IFNA(VLOOKUP(LEFT('paste report'!E36,6),$AE$10:$AF$47,2,FALSE),"")</f>
        <v/>
      </c>
      <c r="H36" s="76" t="str">
        <f>_xlfn.IFNA(VLOOKUP(RIGHT('paste report'!E36,6),$AE$10:$AF$47,2,FALSE),"")</f>
        <v/>
      </c>
      <c r="I36" s="72">
        <f t="shared" si="1"/>
        <v>0</v>
      </c>
      <c r="J36" s="75" t="str">
        <f>_xlfn.IFNA(VLOOKUP(LEFT('paste report'!F36,6),$AE$10:$AF$47,2,FALSE),"")</f>
        <v/>
      </c>
      <c r="K36" s="77" t="str">
        <f>_xlfn.IFNA(VLOOKUP(RIGHT('paste report'!F36,6),$AE$10:$AF$47,2,FALSE),"")</f>
        <v/>
      </c>
      <c r="L36" s="72">
        <f t="shared" si="2"/>
        <v>0</v>
      </c>
      <c r="M36" s="75" t="str">
        <f>_xlfn.IFNA(VLOOKUP(LEFT('paste report'!G36,6),$AE$10:$AF$47,2,FALSE),"")</f>
        <v/>
      </c>
      <c r="N36" s="77" t="str">
        <f>_xlfn.IFNA(VLOOKUP(RIGHT('paste report'!G36,6),$AE$10:$AF$47,2,FALSE),"")</f>
        <v/>
      </c>
      <c r="O36" s="72">
        <f t="shared" si="3"/>
        <v>0</v>
      </c>
      <c r="P36" s="75" t="str">
        <f>_xlfn.IFNA(VLOOKUP(LEFT('paste report'!H36,6),$AE$10:$AF$47,2,FALSE),"")</f>
        <v/>
      </c>
      <c r="Q36" s="77" t="str">
        <f>_xlfn.IFNA(VLOOKUP(RIGHT('paste report'!H36,6),$AE$10:$AF$47,2,FALSE),"")</f>
        <v/>
      </c>
      <c r="R36" s="72">
        <f t="shared" si="4"/>
        <v>0</v>
      </c>
      <c r="S36" s="75">
        <f>_xlfn.IFNA(VLOOKUP(LEFT('paste report'!I36,6),$AE$10:$AF$47,2,FALSE),"")</f>
        <v>0.45833333333333298</v>
      </c>
      <c r="T36" s="77">
        <f>_xlfn.IFNA(VLOOKUP(RIGHT('paste report'!I36,6),$AE$10:$AF$47,2,FALSE),"")</f>
        <v>0.79166666666666596</v>
      </c>
      <c r="U36" s="72">
        <f t="shared" si="5"/>
        <v>7.9999999999999911</v>
      </c>
      <c r="V36" s="75">
        <f>_xlfn.IFNA(VLOOKUP(LEFT('paste report'!J36,6),$AE$10:$AF$47,2,FALSE),"")</f>
        <v>0.375</v>
      </c>
      <c r="W36" s="77">
        <f>_xlfn.IFNA(VLOOKUP(RIGHT('paste report'!J36,6),$AE$10:$AF$47,2,FALSE),"")</f>
        <v>0.58333333333333304</v>
      </c>
      <c r="X36" s="72">
        <f t="shared" si="6"/>
        <v>4.9999999999999929</v>
      </c>
      <c r="Y36" s="75">
        <f>_xlfn.IFNA(VLOOKUP(LEFT('paste report'!K36,6),$AE$10:$AF$47,2,FALSE),"")</f>
        <v>0.375</v>
      </c>
      <c r="Z36" s="77">
        <f>_xlfn.IFNA(VLOOKUP(RIGHT('paste report'!K36,6),$AE$10:$AF$47,2,FALSE),"")</f>
        <v>0.70833333333333304</v>
      </c>
      <c r="AA36" s="72">
        <f t="shared" si="7"/>
        <v>7.9999999999999929</v>
      </c>
      <c r="AE36" s="74" t="s">
        <v>315</v>
      </c>
      <c r="AF36" s="65">
        <v>0.749999999999999</v>
      </c>
    </row>
    <row r="37" spans="2:32">
      <c r="B37" s="66" t="str">
        <f>'paste report'!A37</f>
        <v>01519</v>
      </c>
      <c r="C37" s="66" t="str">
        <f>'paste report'!B37</f>
        <v>Kathy</v>
      </c>
      <c r="D37" s="67" t="str">
        <f>'paste report'!C37</f>
        <v>Htun</v>
      </c>
      <c r="E37" s="68" t="str">
        <f>VLOOKUP(B37,Team!$B$4:$F$183,5,FALSE)</f>
        <v>PT</v>
      </c>
      <c r="F37" s="69">
        <f t="shared" si="0"/>
        <v>23.999999999999975</v>
      </c>
      <c r="G37" s="75" t="str">
        <f>_xlfn.IFNA(VLOOKUP(LEFT('paste report'!E37,6),$AE$10:$AF$47,2,FALSE),"")</f>
        <v/>
      </c>
      <c r="H37" s="76" t="str">
        <f>_xlfn.IFNA(VLOOKUP(RIGHT('paste report'!E37,6),$AE$10:$AF$47,2,FALSE),"")</f>
        <v/>
      </c>
      <c r="I37" s="72">
        <f t="shared" si="1"/>
        <v>0</v>
      </c>
      <c r="J37" s="75" t="str">
        <f>_xlfn.IFNA(VLOOKUP(LEFT('paste report'!F37,6),$AE$10:$AF$47,2,FALSE),"")</f>
        <v/>
      </c>
      <c r="K37" s="77" t="str">
        <f>_xlfn.IFNA(VLOOKUP(RIGHT('paste report'!F37,6),$AE$10:$AF$47,2,FALSE),"")</f>
        <v/>
      </c>
      <c r="L37" s="72">
        <f t="shared" si="2"/>
        <v>0</v>
      </c>
      <c r="M37" s="75" t="str">
        <f>_xlfn.IFNA(VLOOKUP(LEFT('paste report'!G37,6),$AE$10:$AF$47,2,FALSE),"")</f>
        <v/>
      </c>
      <c r="N37" s="77" t="str">
        <f>_xlfn.IFNA(VLOOKUP(RIGHT('paste report'!G37,6),$AE$10:$AF$47,2,FALSE),"")</f>
        <v/>
      </c>
      <c r="O37" s="72">
        <f t="shared" si="3"/>
        <v>0</v>
      </c>
      <c r="P37" s="75">
        <f>_xlfn.IFNA(VLOOKUP(LEFT('paste report'!H37,6),$AE$10:$AF$47,2,FALSE),"")</f>
        <v>0.45833333333333298</v>
      </c>
      <c r="Q37" s="77">
        <f>_xlfn.IFNA(VLOOKUP(RIGHT('paste report'!H37,6),$AE$10:$AF$47,2,FALSE),"")</f>
        <v>0.79166666666666596</v>
      </c>
      <c r="R37" s="72">
        <f t="shared" si="4"/>
        <v>7.9999999999999911</v>
      </c>
      <c r="S37" s="75">
        <f>_xlfn.IFNA(VLOOKUP(LEFT('paste report'!I37,6),$AE$10:$AF$47,2,FALSE),"")</f>
        <v>0.45833333333333298</v>
      </c>
      <c r="T37" s="77">
        <f>_xlfn.IFNA(VLOOKUP(RIGHT('paste report'!I37,6),$AE$10:$AF$47,2,FALSE),"")</f>
        <v>0.79166666666666596</v>
      </c>
      <c r="U37" s="72">
        <f t="shared" si="5"/>
        <v>7.9999999999999911</v>
      </c>
      <c r="V37" s="75" t="str">
        <f>_xlfn.IFNA(VLOOKUP(LEFT('paste report'!J37,6),$AE$10:$AF$47,2,FALSE),"")</f>
        <v/>
      </c>
      <c r="W37" s="77" t="str">
        <f>_xlfn.IFNA(VLOOKUP(RIGHT('paste report'!J37,6),$AE$10:$AF$47,2,FALSE),"")</f>
        <v/>
      </c>
      <c r="X37" s="72">
        <f t="shared" si="6"/>
        <v>0</v>
      </c>
      <c r="Y37" s="75">
        <f>_xlfn.IFNA(VLOOKUP(LEFT('paste report'!K37,6),$AE$10:$AF$47,2,FALSE),"")</f>
        <v>0.499999999999999</v>
      </c>
      <c r="Z37" s="77">
        <f>_xlfn.IFNA(VLOOKUP(RIGHT('paste report'!K37,6),$AE$10:$AF$47,2,FALSE),"")</f>
        <v>0.83333333333333204</v>
      </c>
      <c r="AA37" s="72">
        <f t="shared" si="7"/>
        <v>7.9999999999999929</v>
      </c>
      <c r="AE37" s="74" t="s">
        <v>316</v>
      </c>
      <c r="AF37" s="65">
        <v>0.77083333333333304</v>
      </c>
    </row>
    <row r="38" spans="2:32">
      <c r="B38" s="66" t="str">
        <f>'paste report'!A38</f>
        <v>1143</v>
      </c>
      <c r="C38" s="66" t="str">
        <f>'paste report'!B38</f>
        <v>Kaye</v>
      </c>
      <c r="D38" s="67" t="str">
        <f>'paste report'!C38</f>
        <v>Bongolan</v>
      </c>
      <c r="E38" s="68" t="str">
        <f>VLOOKUP(B38,Team!$B$4:$F$183,5,FALSE)</f>
        <v>CAS</v>
      </c>
      <c r="F38" s="69">
        <f t="shared" si="0"/>
        <v>23.999999999999975</v>
      </c>
      <c r="G38" s="75" t="str">
        <f>_xlfn.IFNA(VLOOKUP(LEFT('paste report'!E38,6),$AE$10:$AF$47,2,FALSE),"")</f>
        <v/>
      </c>
      <c r="H38" s="76" t="str">
        <f>_xlfn.IFNA(VLOOKUP(RIGHT('paste report'!E38,6),$AE$10:$AF$47,2,FALSE),"")</f>
        <v/>
      </c>
      <c r="I38" s="72">
        <f t="shared" si="1"/>
        <v>0</v>
      </c>
      <c r="J38" s="75" t="str">
        <f>_xlfn.IFNA(VLOOKUP(LEFT('paste report'!F38,6),$AE$10:$AF$47,2,FALSE),"")</f>
        <v/>
      </c>
      <c r="K38" s="77" t="str">
        <f>_xlfn.IFNA(VLOOKUP(RIGHT('paste report'!F38,6),$AE$10:$AF$47,2,FALSE),"")</f>
        <v/>
      </c>
      <c r="L38" s="72">
        <f t="shared" si="2"/>
        <v>0</v>
      </c>
      <c r="M38" s="75" t="str">
        <f>_xlfn.IFNA(VLOOKUP(LEFT('paste report'!G38,6),$AE$10:$AF$47,2,FALSE),"")</f>
        <v/>
      </c>
      <c r="N38" s="77" t="str">
        <f>_xlfn.IFNA(VLOOKUP(RIGHT('paste report'!G38,6),$AE$10:$AF$47,2,FALSE),"")</f>
        <v/>
      </c>
      <c r="O38" s="72">
        <f t="shared" si="3"/>
        <v>0</v>
      </c>
      <c r="P38" s="75" t="str">
        <f>_xlfn.IFNA(VLOOKUP(LEFT('paste report'!H38,6),$AE$10:$AF$47,2,FALSE),"")</f>
        <v/>
      </c>
      <c r="Q38" s="77" t="str">
        <f>_xlfn.IFNA(VLOOKUP(RIGHT('paste report'!H38,6),$AE$10:$AF$47,2,FALSE),"")</f>
        <v/>
      </c>
      <c r="R38" s="72">
        <f t="shared" si="4"/>
        <v>0</v>
      </c>
      <c r="S38" s="75">
        <f>_xlfn.IFNA(VLOOKUP(LEFT('paste report'!I38,6),$AE$10:$AF$47,2,FALSE),"")</f>
        <v>0.35416666666666602</v>
      </c>
      <c r="T38" s="77">
        <f>_xlfn.IFNA(VLOOKUP(RIGHT('paste report'!I38,6),$AE$10:$AF$47,2,FALSE),"")</f>
        <v>0.687499999999999</v>
      </c>
      <c r="U38" s="72">
        <f t="shared" si="5"/>
        <v>7.9999999999999911</v>
      </c>
      <c r="V38" s="75">
        <f>_xlfn.IFNA(VLOOKUP(LEFT('paste report'!J38,6),$AE$10:$AF$47,2,FALSE),"")</f>
        <v>0.499999999999999</v>
      </c>
      <c r="W38" s="77">
        <f>_xlfn.IFNA(VLOOKUP(RIGHT('paste report'!J38,6),$AE$10:$AF$47,2,FALSE),"")</f>
        <v>0.83333333333333204</v>
      </c>
      <c r="X38" s="72">
        <f t="shared" si="6"/>
        <v>7.9999999999999929</v>
      </c>
      <c r="Y38" s="75">
        <f>_xlfn.IFNA(VLOOKUP(LEFT('paste report'!K38,6),$AE$10:$AF$47,2,FALSE),"")</f>
        <v>0.45833333333333298</v>
      </c>
      <c r="Z38" s="77">
        <f>_xlfn.IFNA(VLOOKUP(RIGHT('paste report'!K38,6),$AE$10:$AF$47,2,FALSE),"")</f>
        <v>0.79166666666666596</v>
      </c>
      <c r="AA38" s="72">
        <f t="shared" si="7"/>
        <v>7.9999999999999911</v>
      </c>
      <c r="AE38" s="74" t="s">
        <v>317</v>
      </c>
      <c r="AF38" s="65">
        <v>0.79166666666666596</v>
      </c>
    </row>
    <row r="39" spans="2:32">
      <c r="B39" s="66" t="str">
        <f>'paste report'!A39</f>
        <v>01523</v>
      </c>
      <c r="C39" s="66" t="str">
        <f>'paste report'!B39</f>
        <v>Lachlan</v>
      </c>
      <c r="D39" s="67" t="str">
        <f>'paste report'!C39</f>
        <v>Ng</v>
      </c>
      <c r="E39" s="68" t="str">
        <f>VLOOKUP(B39,Team!$B$4:$F$183,5,FALSE)</f>
        <v>CAS</v>
      </c>
      <c r="F39" s="69">
        <f t="shared" si="0"/>
        <v>0</v>
      </c>
      <c r="G39" s="75" t="str">
        <f>_xlfn.IFNA(VLOOKUP(LEFT('paste report'!E39,6),$AE$10:$AF$47,2,FALSE),"")</f>
        <v/>
      </c>
      <c r="H39" s="76" t="str">
        <f>_xlfn.IFNA(VLOOKUP(RIGHT('paste report'!E39,6),$AE$10:$AF$47,2,FALSE),"")</f>
        <v/>
      </c>
      <c r="I39" s="72">
        <f t="shared" si="1"/>
        <v>0</v>
      </c>
      <c r="J39" s="75" t="str">
        <f>_xlfn.IFNA(VLOOKUP(LEFT('paste report'!F39,6),$AE$10:$AF$47,2,FALSE),"")</f>
        <v/>
      </c>
      <c r="K39" s="77" t="str">
        <f>_xlfn.IFNA(VLOOKUP(RIGHT('paste report'!F39,6),$AE$10:$AF$47,2,FALSE),"")</f>
        <v/>
      </c>
      <c r="L39" s="72">
        <f t="shared" si="2"/>
        <v>0</v>
      </c>
      <c r="M39" s="75" t="str">
        <f>_xlfn.IFNA(VLOOKUP(LEFT('paste report'!G39,6),$AE$10:$AF$47,2,FALSE),"")</f>
        <v/>
      </c>
      <c r="N39" s="77" t="str">
        <f>_xlfn.IFNA(VLOOKUP(RIGHT('paste report'!G39,6),$AE$10:$AF$47,2,FALSE),"")</f>
        <v/>
      </c>
      <c r="O39" s="72">
        <f t="shared" si="3"/>
        <v>0</v>
      </c>
      <c r="P39" s="75" t="str">
        <f>_xlfn.IFNA(VLOOKUP(LEFT('paste report'!H39,6),$AE$10:$AF$47,2,FALSE),"")</f>
        <v/>
      </c>
      <c r="Q39" s="77" t="str">
        <f>_xlfn.IFNA(VLOOKUP(RIGHT('paste report'!H39,6),$AE$10:$AF$47,2,FALSE),"")</f>
        <v/>
      </c>
      <c r="R39" s="72">
        <f t="shared" si="4"/>
        <v>0</v>
      </c>
      <c r="S39" s="75" t="str">
        <f>_xlfn.IFNA(VLOOKUP(LEFT('paste report'!I39,6),$AE$10:$AF$47,2,FALSE),"")</f>
        <v/>
      </c>
      <c r="T39" s="77" t="str">
        <f>_xlfn.IFNA(VLOOKUP(RIGHT('paste report'!I39,6),$AE$10:$AF$47,2,FALSE),"")</f>
        <v/>
      </c>
      <c r="U39" s="72">
        <f t="shared" si="5"/>
        <v>0</v>
      </c>
      <c r="V39" s="75" t="str">
        <f>_xlfn.IFNA(VLOOKUP(LEFT('paste report'!J39,6),$AE$10:$AF$47,2,FALSE),"")</f>
        <v/>
      </c>
      <c r="W39" s="77" t="str">
        <f>_xlfn.IFNA(VLOOKUP(RIGHT('paste report'!J39,6),$AE$10:$AF$47,2,FALSE),"")</f>
        <v/>
      </c>
      <c r="X39" s="72">
        <f t="shared" si="6"/>
        <v>0</v>
      </c>
      <c r="Y39" s="75" t="str">
        <f>_xlfn.IFNA(VLOOKUP(LEFT('paste report'!K39,6),$AE$10:$AF$47,2,FALSE),"")</f>
        <v/>
      </c>
      <c r="Z39" s="77" t="str">
        <f>_xlfn.IFNA(VLOOKUP(RIGHT('paste report'!K39,6),$AE$10:$AF$47,2,FALSE),"")</f>
        <v/>
      </c>
      <c r="AA39" s="72">
        <f t="shared" si="7"/>
        <v>0</v>
      </c>
      <c r="AE39" s="74" t="s">
        <v>318</v>
      </c>
      <c r="AF39" s="65">
        <v>0.812499999999999</v>
      </c>
    </row>
    <row r="40" spans="2:32">
      <c r="B40" s="66" t="str">
        <f>'paste report'!A40</f>
        <v>614</v>
      </c>
      <c r="C40" s="66" t="str">
        <f>'paste report'!B40</f>
        <v>Lauren</v>
      </c>
      <c r="D40" s="67" t="str">
        <f>'paste report'!C40</f>
        <v>Huynh</v>
      </c>
      <c r="E40" s="68" t="str">
        <f>VLOOKUP(B40,Team!$B$4:$F$183,5,FALSE)</f>
        <v>CAS</v>
      </c>
      <c r="F40" s="69">
        <f t="shared" si="0"/>
        <v>0</v>
      </c>
      <c r="G40" s="75" t="str">
        <f>_xlfn.IFNA(VLOOKUP(LEFT('paste report'!E40,6),$AE$10:$AF$47,2,FALSE),"")</f>
        <v/>
      </c>
      <c r="H40" s="76" t="str">
        <f>_xlfn.IFNA(VLOOKUP(RIGHT('paste report'!E40,6),$AE$10:$AF$47,2,FALSE),"")</f>
        <v/>
      </c>
      <c r="I40" s="72">
        <f t="shared" si="1"/>
        <v>0</v>
      </c>
      <c r="J40" s="75" t="str">
        <f>_xlfn.IFNA(VLOOKUP(LEFT('paste report'!F40,6),$AE$10:$AF$47,2,FALSE),"")</f>
        <v/>
      </c>
      <c r="K40" s="77" t="str">
        <f>_xlfn.IFNA(VLOOKUP(RIGHT('paste report'!F40,6),$AE$10:$AF$47,2,FALSE),"")</f>
        <v/>
      </c>
      <c r="L40" s="72">
        <f t="shared" si="2"/>
        <v>0</v>
      </c>
      <c r="M40" s="75" t="str">
        <f>_xlfn.IFNA(VLOOKUP(LEFT('paste report'!G40,6),$AE$10:$AF$47,2,FALSE),"")</f>
        <v/>
      </c>
      <c r="N40" s="77" t="str">
        <f>_xlfn.IFNA(VLOOKUP(RIGHT('paste report'!G40,6),$AE$10:$AF$47,2,FALSE),"")</f>
        <v/>
      </c>
      <c r="O40" s="72">
        <f t="shared" si="3"/>
        <v>0</v>
      </c>
      <c r="P40" s="75" t="str">
        <f>_xlfn.IFNA(VLOOKUP(LEFT('paste report'!H40,6),$AE$10:$AF$47,2,FALSE),"")</f>
        <v/>
      </c>
      <c r="Q40" s="77" t="str">
        <f>_xlfn.IFNA(VLOOKUP(RIGHT('paste report'!H40,6),$AE$10:$AF$47,2,FALSE),"")</f>
        <v/>
      </c>
      <c r="R40" s="72">
        <f t="shared" si="4"/>
        <v>0</v>
      </c>
      <c r="S40" s="75" t="str">
        <f>_xlfn.IFNA(VLOOKUP(LEFT('paste report'!I40,6),$AE$10:$AF$47,2,FALSE),"")</f>
        <v/>
      </c>
      <c r="T40" s="77" t="str">
        <f>_xlfn.IFNA(VLOOKUP(RIGHT('paste report'!I40,6),$AE$10:$AF$47,2,FALSE),"")</f>
        <v/>
      </c>
      <c r="U40" s="72">
        <f t="shared" si="5"/>
        <v>0</v>
      </c>
      <c r="V40" s="75" t="str">
        <f>_xlfn.IFNA(VLOOKUP(LEFT('paste report'!J40,6),$AE$10:$AF$47,2,FALSE),"")</f>
        <v/>
      </c>
      <c r="W40" s="77" t="str">
        <f>_xlfn.IFNA(VLOOKUP(RIGHT('paste report'!J40,6),$AE$10:$AF$47,2,FALSE),"")</f>
        <v/>
      </c>
      <c r="X40" s="72">
        <f t="shared" si="6"/>
        <v>0</v>
      </c>
      <c r="Y40" s="75" t="str">
        <f>_xlfn.IFNA(VLOOKUP(LEFT('paste report'!K40,6),$AE$10:$AF$47,2,FALSE),"")</f>
        <v/>
      </c>
      <c r="Z40" s="77" t="str">
        <f>_xlfn.IFNA(VLOOKUP(RIGHT('paste report'!K40,6),$AE$10:$AF$47,2,FALSE),"")</f>
        <v/>
      </c>
      <c r="AA40" s="72">
        <f t="shared" si="7"/>
        <v>0</v>
      </c>
      <c r="AE40" s="74" t="s">
        <v>319</v>
      </c>
      <c r="AF40" s="65">
        <v>0.83333333333333204</v>
      </c>
    </row>
    <row r="41" spans="2:32">
      <c r="B41" s="66" t="str">
        <f>'paste report'!A41</f>
        <v>01517</v>
      </c>
      <c r="C41" s="66" t="str">
        <f>'paste report'!B41</f>
        <v>Lona</v>
      </c>
      <c r="D41" s="67" t="str">
        <f>'paste report'!C41</f>
        <v>Simkhada</v>
      </c>
      <c r="E41" s="68" t="str">
        <f>VLOOKUP(B41,Team!$B$4:$F$183,5,FALSE)</f>
        <v>PT</v>
      </c>
      <c r="F41" s="69">
        <f t="shared" si="0"/>
        <v>31.999999999999964</v>
      </c>
      <c r="G41" s="75">
        <f>_xlfn.IFNA(VLOOKUP(LEFT('paste report'!E41,6),$AE$10:$AF$47,2,FALSE),"")</f>
        <v>0.35416666666666602</v>
      </c>
      <c r="H41" s="76">
        <f>_xlfn.IFNA(VLOOKUP(RIGHT('paste report'!E41,6),$AE$10:$AF$47,2,FALSE),"")</f>
        <v>0.687499999999999</v>
      </c>
      <c r="I41" s="72">
        <f t="shared" si="1"/>
        <v>7.9999999999999911</v>
      </c>
      <c r="J41" s="75">
        <f>_xlfn.IFNA(VLOOKUP(LEFT('paste report'!F41,6),$AE$10:$AF$47,2,FALSE),"")</f>
        <v>0.35416666666666602</v>
      </c>
      <c r="K41" s="77">
        <f>_xlfn.IFNA(VLOOKUP(RIGHT('paste report'!F41,6),$AE$10:$AF$47,2,FALSE),"")</f>
        <v>0.687499999999999</v>
      </c>
      <c r="L41" s="72">
        <f t="shared" si="2"/>
        <v>7.9999999999999911</v>
      </c>
      <c r="M41" s="75">
        <f>_xlfn.IFNA(VLOOKUP(LEFT('paste report'!G41,6),$AE$10:$AF$47,2,FALSE),"")</f>
        <v>0.35416666666666602</v>
      </c>
      <c r="N41" s="77">
        <f>_xlfn.IFNA(VLOOKUP(RIGHT('paste report'!G41,6),$AE$10:$AF$47,2,FALSE),"")</f>
        <v>0.687499999999999</v>
      </c>
      <c r="O41" s="72">
        <f t="shared" si="3"/>
        <v>7.9999999999999911</v>
      </c>
      <c r="P41" s="75" t="str">
        <f>_xlfn.IFNA(VLOOKUP(LEFT('paste report'!H41,6),$AE$10:$AF$47,2,FALSE),"")</f>
        <v/>
      </c>
      <c r="Q41" s="77" t="str">
        <f>_xlfn.IFNA(VLOOKUP(RIGHT('paste report'!H41,6),$AE$10:$AF$47,2,FALSE),"")</f>
        <v/>
      </c>
      <c r="R41" s="72">
        <f t="shared" si="4"/>
        <v>0</v>
      </c>
      <c r="S41" s="75" t="str">
        <f>_xlfn.IFNA(VLOOKUP(LEFT('paste report'!I41,6),$AE$10:$AF$47,2,FALSE),"")</f>
        <v/>
      </c>
      <c r="T41" s="77" t="str">
        <f>_xlfn.IFNA(VLOOKUP(RIGHT('paste report'!I41,6),$AE$10:$AF$47,2,FALSE),"")</f>
        <v/>
      </c>
      <c r="U41" s="72">
        <f t="shared" si="5"/>
        <v>0</v>
      </c>
      <c r="V41" s="75" t="str">
        <f>_xlfn.IFNA(VLOOKUP(LEFT('paste report'!J41,6),$AE$10:$AF$47,2,FALSE),"")</f>
        <v/>
      </c>
      <c r="W41" s="77" t="str">
        <f>_xlfn.IFNA(VLOOKUP(RIGHT('paste report'!J41,6),$AE$10:$AF$47,2,FALSE),"")</f>
        <v/>
      </c>
      <c r="X41" s="72">
        <f t="shared" si="6"/>
        <v>0</v>
      </c>
      <c r="Y41" s="75">
        <f>_xlfn.IFNA(VLOOKUP(LEFT('paste report'!K41,6),$AE$10:$AF$47,2,FALSE),"")</f>
        <v>0.375</v>
      </c>
      <c r="Z41" s="77">
        <f>_xlfn.IFNA(VLOOKUP(RIGHT('paste report'!K41,6),$AE$10:$AF$47,2,FALSE),"")</f>
        <v>0.70833333333333304</v>
      </c>
      <c r="AA41" s="72">
        <f t="shared" si="7"/>
        <v>7.9999999999999929</v>
      </c>
      <c r="AE41" s="74" t="s">
        <v>320</v>
      </c>
      <c r="AF41" s="65">
        <v>0.85416666666666596</v>
      </c>
    </row>
    <row r="42" spans="2:32">
      <c r="B42" s="66" t="str">
        <f>'paste report'!A42</f>
        <v>882</v>
      </c>
      <c r="C42" s="66" t="str">
        <f>'paste report'!B42</f>
        <v>Masami</v>
      </c>
      <c r="D42" s="67" t="str">
        <f>'paste report'!C42</f>
        <v>Lee</v>
      </c>
      <c r="E42" s="68" t="str">
        <f>VLOOKUP(B42,Team!$B$4:$F$183,5,FALSE)</f>
        <v>PT</v>
      </c>
      <c r="F42" s="69">
        <f t="shared" si="0"/>
        <v>23.999999999999972</v>
      </c>
      <c r="G42" s="75">
        <f>_xlfn.IFNA(VLOOKUP(LEFT('paste report'!E42,6),$AE$10:$AF$47,2,FALSE),"")</f>
        <v>0.35416666666666602</v>
      </c>
      <c r="H42" s="76">
        <f>_xlfn.IFNA(VLOOKUP(RIGHT('paste report'!E42,6),$AE$10:$AF$47,2,FALSE),"")</f>
        <v>0.687499999999999</v>
      </c>
      <c r="I42" s="72">
        <f t="shared" si="1"/>
        <v>7.9999999999999911</v>
      </c>
      <c r="J42" s="75" t="str">
        <f>_xlfn.IFNA(VLOOKUP(LEFT('paste report'!F42,6),$AE$10:$AF$47,2,FALSE),"")</f>
        <v/>
      </c>
      <c r="K42" s="77" t="str">
        <f>_xlfn.IFNA(VLOOKUP(RIGHT('paste report'!F42,6),$AE$10:$AF$47,2,FALSE),"")</f>
        <v/>
      </c>
      <c r="L42" s="72">
        <f t="shared" si="2"/>
        <v>0</v>
      </c>
      <c r="M42" s="75" t="str">
        <f>_xlfn.IFNA(VLOOKUP(LEFT('paste report'!G42,6),$AE$10:$AF$47,2,FALSE),"")</f>
        <v/>
      </c>
      <c r="N42" s="77" t="str">
        <f>_xlfn.IFNA(VLOOKUP(RIGHT('paste report'!G42,6),$AE$10:$AF$47,2,FALSE),"")</f>
        <v/>
      </c>
      <c r="O42" s="72">
        <f t="shared" si="3"/>
        <v>0</v>
      </c>
      <c r="P42" s="75">
        <f>_xlfn.IFNA(VLOOKUP(LEFT('paste report'!H42,6),$AE$10:$AF$47,2,FALSE),"")</f>
        <v>0.35416666666666602</v>
      </c>
      <c r="Q42" s="77">
        <f>_xlfn.IFNA(VLOOKUP(RIGHT('paste report'!H42,6),$AE$10:$AF$47,2,FALSE),"")</f>
        <v>0.687499999999999</v>
      </c>
      <c r="R42" s="72">
        <f t="shared" si="4"/>
        <v>7.9999999999999911</v>
      </c>
      <c r="S42" s="75">
        <f>_xlfn.IFNA(VLOOKUP(LEFT('paste report'!I42,6),$AE$10:$AF$47,2,FALSE),"")</f>
        <v>0.45833333333333298</v>
      </c>
      <c r="T42" s="77">
        <f>_xlfn.IFNA(VLOOKUP(RIGHT('paste report'!I42,6),$AE$10:$AF$47,2,FALSE),"")</f>
        <v>0.79166666666666596</v>
      </c>
      <c r="U42" s="72">
        <f t="shared" si="5"/>
        <v>7.9999999999999911</v>
      </c>
      <c r="V42" s="75" t="str">
        <f>_xlfn.IFNA(VLOOKUP(LEFT('paste report'!J42,6),$AE$10:$AF$47,2,FALSE),"")</f>
        <v/>
      </c>
      <c r="W42" s="77" t="str">
        <f>_xlfn.IFNA(VLOOKUP(RIGHT('paste report'!J42,6),$AE$10:$AF$47,2,FALSE),"")</f>
        <v/>
      </c>
      <c r="X42" s="72">
        <f t="shared" si="6"/>
        <v>0</v>
      </c>
      <c r="Y42" s="75" t="str">
        <f>_xlfn.IFNA(VLOOKUP(LEFT('paste report'!K42,6),$AE$10:$AF$47,2,FALSE),"")</f>
        <v/>
      </c>
      <c r="Z42" s="77" t="str">
        <f>_xlfn.IFNA(VLOOKUP(RIGHT('paste report'!K42,6),$AE$10:$AF$47,2,FALSE),"")</f>
        <v/>
      </c>
      <c r="AA42" s="72">
        <f t="shared" si="7"/>
        <v>0</v>
      </c>
      <c r="AE42" s="74" t="s">
        <v>321</v>
      </c>
      <c r="AF42" s="65">
        <v>0.874999999999999</v>
      </c>
    </row>
    <row r="43" spans="2:32">
      <c r="B43" s="66" t="str">
        <f>'paste report'!A43</f>
        <v>1132</v>
      </c>
      <c r="C43" s="66" t="str">
        <f>'paste report'!B43</f>
        <v>Michelle B.</v>
      </c>
      <c r="D43" s="67" t="str">
        <f>'paste report'!C43</f>
        <v>Banh</v>
      </c>
      <c r="E43" s="68" t="str">
        <f>VLOOKUP(B43,Team!$B$4:$F$183,5,FALSE)</f>
        <v>CAS</v>
      </c>
      <c r="F43" s="69">
        <f t="shared" si="0"/>
        <v>0</v>
      </c>
      <c r="G43" s="75" t="str">
        <f>_xlfn.IFNA(VLOOKUP(LEFT('paste report'!E43,6),$AE$10:$AF$47,2,FALSE),"")</f>
        <v/>
      </c>
      <c r="H43" s="76" t="str">
        <f>_xlfn.IFNA(VLOOKUP(RIGHT('paste report'!E43,6),$AE$10:$AF$47,2,FALSE),"")</f>
        <v/>
      </c>
      <c r="I43" s="72">
        <f t="shared" si="1"/>
        <v>0</v>
      </c>
      <c r="J43" s="75" t="str">
        <f>_xlfn.IFNA(VLOOKUP(LEFT('paste report'!F43,6),$AE$10:$AF$47,2,FALSE),"")</f>
        <v/>
      </c>
      <c r="K43" s="77" t="str">
        <f>_xlfn.IFNA(VLOOKUP(RIGHT('paste report'!F43,6),$AE$10:$AF$47,2,FALSE),"")</f>
        <v/>
      </c>
      <c r="L43" s="72">
        <f t="shared" si="2"/>
        <v>0</v>
      </c>
      <c r="M43" s="75" t="str">
        <f>_xlfn.IFNA(VLOOKUP(LEFT('paste report'!G43,6),$AE$10:$AF$47,2,FALSE),"")</f>
        <v/>
      </c>
      <c r="N43" s="77" t="str">
        <f>_xlfn.IFNA(VLOOKUP(RIGHT('paste report'!G43,6),$AE$10:$AF$47,2,FALSE),"")</f>
        <v/>
      </c>
      <c r="O43" s="72">
        <f t="shared" si="3"/>
        <v>0</v>
      </c>
      <c r="P43" s="75" t="str">
        <f>_xlfn.IFNA(VLOOKUP(LEFT('paste report'!H43,6),$AE$10:$AF$47,2,FALSE),"")</f>
        <v/>
      </c>
      <c r="Q43" s="77" t="str">
        <f>_xlfn.IFNA(VLOOKUP(RIGHT('paste report'!H43,6),$AE$10:$AF$47,2,FALSE),"")</f>
        <v/>
      </c>
      <c r="R43" s="72">
        <f t="shared" si="4"/>
        <v>0</v>
      </c>
      <c r="S43" s="75" t="str">
        <f>_xlfn.IFNA(VLOOKUP(LEFT('paste report'!I43,6),$AE$10:$AF$47,2,FALSE),"")</f>
        <v/>
      </c>
      <c r="T43" s="77" t="str">
        <f>_xlfn.IFNA(VLOOKUP(RIGHT('paste report'!I43,6),$AE$10:$AF$47,2,FALSE),"")</f>
        <v/>
      </c>
      <c r="U43" s="72">
        <f t="shared" si="5"/>
        <v>0</v>
      </c>
      <c r="V43" s="75" t="str">
        <f>_xlfn.IFNA(VLOOKUP(LEFT('paste report'!J43,6),$AE$10:$AF$47,2,FALSE),"")</f>
        <v/>
      </c>
      <c r="W43" s="77" t="str">
        <f>_xlfn.IFNA(VLOOKUP(RIGHT('paste report'!J43,6),$AE$10:$AF$47,2,FALSE),"")</f>
        <v/>
      </c>
      <c r="X43" s="72">
        <f t="shared" si="6"/>
        <v>0</v>
      </c>
      <c r="Y43" s="75" t="str">
        <f>_xlfn.IFNA(VLOOKUP(LEFT('paste report'!K43,6),$AE$10:$AF$47,2,FALSE),"")</f>
        <v/>
      </c>
      <c r="Z43" s="77" t="str">
        <f>_xlfn.IFNA(VLOOKUP(RIGHT('paste report'!K43,6),$AE$10:$AF$47,2,FALSE),"")</f>
        <v/>
      </c>
      <c r="AA43" s="72">
        <f t="shared" si="7"/>
        <v>0</v>
      </c>
      <c r="AE43" s="74" t="s">
        <v>322</v>
      </c>
      <c r="AF43" s="65">
        <v>0.89583333333333204</v>
      </c>
    </row>
    <row r="44" spans="2:32">
      <c r="B44" s="66" t="str">
        <f>'paste report'!A44</f>
        <v>01525</v>
      </c>
      <c r="C44" s="66" t="str">
        <f>'paste report'!B44</f>
        <v>Michelle T.</v>
      </c>
      <c r="D44" s="67" t="str">
        <f>'paste report'!C44</f>
        <v>Tran Wo</v>
      </c>
      <c r="E44" s="68" t="str">
        <f>VLOOKUP(B44,Team!$B$4:$F$183,5,FALSE)</f>
        <v>PT</v>
      </c>
      <c r="F44" s="69">
        <f t="shared" si="0"/>
        <v>23.999999999999975</v>
      </c>
      <c r="G44" s="75" t="str">
        <f>_xlfn.IFNA(VLOOKUP(LEFT('paste report'!E44,6),$AE$10:$AF$47,2,FALSE),"")</f>
        <v/>
      </c>
      <c r="H44" s="76" t="str">
        <f>_xlfn.IFNA(VLOOKUP(RIGHT('paste report'!E44,6),$AE$10:$AF$47,2,FALSE),"")</f>
        <v/>
      </c>
      <c r="I44" s="72">
        <f t="shared" si="1"/>
        <v>0</v>
      </c>
      <c r="J44" s="75" t="str">
        <f>_xlfn.IFNA(VLOOKUP(LEFT('paste report'!F44,6),$AE$10:$AF$47,2,FALSE),"")</f>
        <v/>
      </c>
      <c r="K44" s="77" t="str">
        <f>_xlfn.IFNA(VLOOKUP(RIGHT('paste report'!F44,6),$AE$10:$AF$47,2,FALSE),"")</f>
        <v/>
      </c>
      <c r="L44" s="72">
        <f t="shared" si="2"/>
        <v>0</v>
      </c>
      <c r="M44" s="75">
        <f>_xlfn.IFNA(VLOOKUP(LEFT('paste report'!G44,6),$AE$10:$AF$47,2,FALSE),"")</f>
        <v>0.35416666666666602</v>
      </c>
      <c r="N44" s="77">
        <f>_xlfn.IFNA(VLOOKUP(RIGHT('paste report'!G44,6),$AE$10:$AF$47,2,FALSE),"")</f>
        <v>0.687499999999999</v>
      </c>
      <c r="O44" s="72">
        <f t="shared" si="3"/>
        <v>7.9999999999999911</v>
      </c>
      <c r="P44" s="75" t="str">
        <f>_xlfn.IFNA(VLOOKUP(LEFT('paste report'!H44,6),$AE$10:$AF$47,2,FALSE),"")</f>
        <v/>
      </c>
      <c r="Q44" s="77" t="str">
        <f>_xlfn.IFNA(VLOOKUP(RIGHT('paste report'!H44,6),$AE$10:$AF$47,2,FALSE),"")</f>
        <v/>
      </c>
      <c r="R44" s="72">
        <f t="shared" si="4"/>
        <v>0</v>
      </c>
      <c r="S44" s="75">
        <f>_xlfn.IFNA(VLOOKUP(LEFT('paste report'!I44,6),$AE$10:$AF$47,2,FALSE),"")</f>
        <v>0.35416666666666602</v>
      </c>
      <c r="T44" s="77">
        <f>_xlfn.IFNA(VLOOKUP(RIGHT('paste report'!I44,6),$AE$10:$AF$47,2,FALSE),"")</f>
        <v>0.687499999999999</v>
      </c>
      <c r="U44" s="72">
        <f t="shared" si="5"/>
        <v>7.9999999999999911</v>
      </c>
      <c r="V44" s="75" t="str">
        <f>_xlfn.IFNA(VLOOKUP(LEFT('paste report'!J44,6),$AE$10:$AF$47,2,FALSE),"")</f>
        <v/>
      </c>
      <c r="W44" s="77" t="str">
        <f>_xlfn.IFNA(VLOOKUP(RIGHT('paste report'!J44,6),$AE$10:$AF$47,2,FALSE),"")</f>
        <v/>
      </c>
      <c r="X44" s="72">
        <f t="shared" si="6"/>
        <v>0</v>
      </c>
      <c r="Y44" s="75">
        <f>_xlfn.IFNA(VLOOKUP(LEFT('paste report'!K44,6),$AE$10:$AF$47,2,FALSE),"")</f>
        <v>0.375</v>
      </c>
      <c r="Z44" s="77">
        <f>_xlfn.IFNA(VLOOKUP(RIGHT('paste report'!K44,6),$AE$10:$AF$47,2,FALSE),"")</f>
        <v>0.70833333333333304</v>
      </c>
      <c r="AA44" s="72">
        <f t="shared" si="7"/>
        <v>7.9999999999999929</v>
      </c>
      <c r="AE44" s="74" t="s">
        <v>323</v>
      </c>
      <c r="AF44" s="65">
        <v>0.91666666666666596</v>
      </c>
    </row>
    <row r="45" spans="2:32">
      <c r="B45" s="66" t="str">
        <f>'paste report'!A45</f>
        <v>1234</v>
      </c>
      <c r="C45" s="66" t="str">
        <f>'paste report'!B45</f>
        <v>Misato</v>
      </c>
      <c r="D45" s="67" t="str">
        <f>'paste report'!C45</f>
        <v>Ishikawa</v>
      </c>
      <c r="E45" s="68" t="str">
        <f>VLOOKUP(B45,Team!$B$4:$F$183,5,FALSE)</f>
        <v>CAS</v>
      </c>
      <c r="F45" s="69">
        <f t="shared" si="0"/>
        <v>15.999999999999982</v>
      </c>
      <c r="G45" s="75">
        <f>_xlfn.IFNA(VLOOKUP(LEFT('paste report'!E45,6),$AE$10:$AF$47,2,FALSE),"")</f>
        <v>0.45833333333333298</v>
      </c>
      <c r="H45" s="76">
        <f>_xlfn.IFNA(VLOOKUP(RIGHT('paste report'!E45,6),$AE$10:$AF$47,2,FALSE),"")</f>
        <v>0.79166666666666596</v>
      </c>
      <c r="I45" s="72">
        <f t="shared" si="1"/>
        <v>7.9999999999999911</v>
      </c>
      <c r="J45" s="75" t="str">
        <f>_xlfn.IFNA(VLOOKUP(LEFT('paste report'!F45,6),$AE$10:$AF$47,2,FALSE),"")</f>
        <v/>
      </c>
      <c r="K45" s="77" t="str">
        <f>_xlfn.IFNA(VLOOKUP(RIGHT('paste report'!F45,6),$AE$10:$AF$47,2,FALSE),"")</f>
        <v/>
      </c>
      <c r="L45" s="72">
        <f t="shared" si="2"/>
        <v>0</v>
      </c>
      <c r="M45" s="75" t="str">
        <f>_xlfn.IFNA(VLOOKUP(LEFT('paste report'!G45,6),$AE$10:$AF$47,2,FALSE),"")</f>
        <v/>
      </c>
      <c r="N45" s="77" t="str">
        <f>_xlfn.IFNA(VLOOKUP(RIGHT('paste report'!G45,6),$AE$10:$AF$47,2,FALSE),"")</f>
        <v/>
      </c>
      <c r="O45" s="72">
        <f t="shared" si="3"/>
        <v>0</v>
      </c>
      <c r="P45" s="75" t="str">
        <f>_xlfn.IFNA(VLOOKUP(LEFT('paste report'!H45,6),$AE$10:$AF$47,2,FALSE),"")</f>
        <v/>
      </c>
      <c r="Q45" s="77" t="str">
        <f>_xlfn.IFNA(VLOOKUP(RIGHT('paste report'!H45,6),$AE$10:$AF$47,2,FALSE),"")</f>
        <v/>
      </c>
      <c r="R45" s="72">
        <f t="shared" si="4"/>
        <v>0</v>
      </c>
      <c r="S45" s="75">
        <f>_xlfn.IFNA(VLOOKUP(LEFT('paste report'!I45,6),$AE$10:$AF$47,2,FALSE),"")</f>
        <v>0.35416666666666602</v>
      </c>
      <c r="T45" s="77">
        <f>_xlfn.IFNA(VLOOKUP(RIGHT('paste report'!I45,6),$AE$10:$AF$47,2,FALSE),"")</f>
        <v>0.687499999999999</v>
      </c>
      <c r="U45" s="72">
        <f t="shared" si="5"/>
        <v>7.9999999999999911</v>
      </c>
      <c r="V45" s="75" t="str">
        <f>_xlfn.IFNA(VLOOKUP(LEFT('paste report'!J45,6),$AE$10:$AF$47,2,FALSE),"")</f>
        <v/>
      </c>
      <c r="W45" s="77" t="str">
        <f>_xlfn.IFNA(VLOOKUP(RIGHT('paste report'!J45,6),$AE$10:$AF$47,2,FALSE),"")</f>
        <v/>
      </c>
      <c r="X45" s="72">
        <f t="shared" si="6"/>
        <v>0</v>
      </c>
      <c r="Y45" s="75" t="str">
        <f>_xlfn.IFNA(VLOOKUP(LEFT('paste report'!K45,6),$AE$10:$AF$47,2,FALSE),"")</f>
        <v/>
      </c>
      <c r="Z45" s="77" t="str">
        <f>_xlfn.IFNA(VLOOKUP(RIGHT('paste report'!K45,6),$AE$10:$AF$47,2,FALSE),"")</f>
        <v/>
      </c>
      <c r="AA45" s="72">
        <f t="shared" si="7"/>
        <v>0</v>
      </c>
      <c r="AE45" s="74" t="s">
        <v>324</v>
      </c>
      <c r="AF45" s="65">
        <v>0.937499999999999</v>
      </c>
    </row>
    <row r="46" spans="2:32">
      <c r="B46" s="66" t="str">
        <f>'paste report'!A46</f>
        <v>1015</v>
      </c>
      <c r="C46" s="66" t="str">
        <f>'paste report'!B46</f>
        <v>Natalie C.</v>
      </c>
      <c r="D46" s="67" t="str">
        <f>'paste report'!C46</f>
        <v>Choi</v>
      </c>
      <c r="E46" s="68" t="str">
        <f>VLOOKUP(B46,Team!$B$4:$F$183,5,FALSE)</f>
        <v>PT</v>
      </c>
      <c r="F46" s="69">
        <f t="shared" si="0"/>
        <v>23.999999999999979</v>
      </c>
      <c r="G46" s="75" t="str">
        <f>_xlfn.IFNA(VLOOKUP(LEFT('paste report'!E46,6),$AE$10:$AF$47,2,FALSE),"")</f>
        <v/>
      </c>
      <c r="H46" s="76" t="str">
        <f>_xlfn.IFNA(VLOOKUP(RIGHT('paste report'!E46,6),$AE$10:$AF$47,2,FALSE),"")</f>
        <v/>
      </c>
      <c r="I46" s="72">
        <f t="shared" si="1"/>
        <v>0</v>
      </c>
      <c r="J46" s="75">
        <f>_xlfn.IFNA(VLOOKUP(LEFT('paste report'!F46,6),$AE$10:$AF$47,2,FALSE),"")</f>
        <v>0.45833333333333298</v>
      </c>
      <c r="K46" s="77">
        <f>_xlfn.IFNA(VLOOKUP(RIGHT('paste report'!F46,6),$AE$10:$AF$47,2,FALSE),"")</f>
        <v>0.79166666666666596</v>
      </c>
      <c r="L46" s="72">
        <f t="shared" si="2"/>
        <v>7.9999999999999911</v>
      </c>
      <c r="M46" s="75" t="str">
        <f>_xlfn.IFNA(VLOOKUP(LEFT('paste report'!G46,6),$AE$10:$AF$47,2,FALSE),"")</f>
        <v/>
      </c>
      <c r="N46" s="77" t="str">
        <f>_xlfn.IFNA(VLOOKUP(RIGHT('paste report'!G46,6),$AE$10:$AF$47,2,FALSE),"")</f>
        <v/>
      </c>
      <c r="O46" s="72">
        <f t="shared" si="3"/>
        <v>0</v>
      </c>
      <c r="P46" s="75">
        <f>_xlfn.IFNA(VLOOKUP(LEFT('paste report'!H46,6),$AE$10:$AF$47,2,FALSE),"")</f>
        <v>0.499999999999999</v>
      </c>
      <c r="Q46" s="77">
        <f>_xlfn.IFNA(VLOOKUP(RIGHT('paste report'!H46,6),$AE$10:$AF$47,2,FALSE),"")</f>
        <v>0.83333333333333204</v>
      </c>
      <c r="R46" s="72">
        <f t="shared" si="4"/>
        <v>7.9999999999999929</v>
      </c>
      <c r="S46" s="75" t="str">
        <f>_xlfn.IFNA(VLOOKUP(LEFT('paste report'!I46,6),$AE$10:$AF$47,2,FALSE),"")</f>
        <v/>
      </c>
      <c r="T46" s="77" t="str">
        <f>_xlfn.IFNA(VLOOKUP(RIGHT('paste report'!I46,6),$AE$10:$AF$47,2,FALSE),"")</f>
        <v/>
      </c>
      <c r="U46" s="72">
        <f t="shared" si="5"/>
        <v>0</v>
      </c>
      <c r="V46" s="75">
        <f>_xlfn.IFNA(VLOOKUP(LEFT('paste report'!J46,6),$AE$10:$AF$47,2,FALSE),"")</f>
        <v>0.375</v>
      </c>
      <c r="W46" s="77">
        <f>_xlfn.IFNA(VLOOKUP(RIGHT('paste report'!J46,6),$AE$10:$AF$47,2,FALSE),"")</f>
        <v>0.70833333333333304</v>
      </c>
      <c r="X46" s="72">
        <f t="shared" si="6"/>
        <v>7.9999999999999929</v>
      </c>
      <c r="Y46" s="75" t="str">
        <f>_xlfn.IFNA(VLOOKUP(LEFT('paste report'!K46,6),$AE$10:$AF$47,2,FALSE),"")</f>
        <v/>
      </c>
      <c r="Z46" s="77" t="str">
        <f>_xlfn.IFNA(VLOOKUP(RIGHT('paste report'!K46,6),$AE$10:$AF$47,2,FALSE),"")</f>
        <v/>
      </c>
      <c r="AA46" s="72">
        <f t="shared" si="7"/>
        <v>0</v>
      </c>
      <c r="AE46" s="74" t="s">
        <v>325</v>
      </c>
      <c r="AF46" s="65">
        <v>0.95833333333333204</v>
      </c>
    </row>
    <row r="47" spans="2:32">
      <c r="B47" s="66" t="str">
        <f>'paste report'!A47</f>
        <v>01529</v>
      </c>
      <c r="C47" s="66" t="str">
        <f>'paste report'!B47</f>
        <v>Natalie N.</v>
      </c>
      <c r="D47" s="67" t="str">
        <f>'paste report'!C47</f>
        <v>Nguyen</v>
      </c>
      <c r="E47" s="68" t="str">
        <f>VLOOKUP(B47,Team!$B$4:$F$183,5,FALSE)</f>
        <v>CAS</v>
      </c>
      <c r="F47" s="69">
        <f t="shared" si="0"/>
        <v>23.999999999999975</v>
      </c>
      <c r="G47" s="75">
        <f>_xlfn.IFNA(VLOOKUP(LEFT('paste report'!E47,6),$AE$10:$AF$47,2,FALSE),"")</f>
        <v>0.45833333333333298</v>
      </c>
      <c r="H47" s="76">
        <f>_xlfn.IFNA(VLOOKUP(RIGHT('paste report'!E47,6),$AE$10:$AF$47,2,FALSE),"")</f>
        <v>0.79166666666666596</v>
      </c>
      <c r="I47" s="72">
        <f t="shared" si="1"/>
        <v>7.9999999999999911</v>
      </c>
      <c r="J47" s="75" t="str">
        <f>_xlfn.IFNA(VLOOKUP(LEFT('paste report'!F47,6),$AE$10:$AF$47,2,FALSE),"")</f>
        <v/>
      </c>
      <c r="K47" s="77" t="str">
        <f>_xlfn.IFNA(VLOOKUP(RIGHT('paste report'!F47,6),$AE$10:$AF$47,2,FALSE),"")</f>
        <v/>
      </c>
      <c r="L47" s="72">
        <f t="shared" si="2"/>
        <v>0</v>
      </c>
      <c r="M47" s="75" t="str">
        <f>_xlfn.IFNA(VLOOKUP(LEFT('paste report'!G47,6),$AE$10:$AF$47,2,FALSE),"")</f>
        <v/>
      </c>
      <c r="N47" s="77" t="str">
        <f>_xlfn.IFNA(VLOOKUP(RIGHT('paste report'!G47,6),$AE$10:$AF$47,2,FALSE),"")</f>
        <v/>
      </c>
      <c r="O47" s="72">
        <f t="shared" si="3"/>
        <v>0</v>
      </c>
      <c r="P47" s="75" t="str">
        <f>_xlfn.IFNA(VLOOKUP(LEFT('paste report'!H47,6),$AE$10:$AF$47,2,FALSE),"")</f>
        <v/>
      </c>
      <c r="Q47" s="77" t="str">
        <f>_xlfn.IFNA(VLOOKUP(RIGHT('paste report'!H47,6),$AE$10:$AF$47,2,FALSE),"")</f>
        <v/>
      </c>
      <c r="R47" s="72">
        <f t="shared" si="4"/>
        <v>0</v>
      </c>
      <c r="S47" s="75">
        <f>_xlfn.IFNA(VLOOKUP(LEFT('paste report'!I47,6),$AE$10:$AF$47,2,FALSE),"")</f>
        <v>0.35416666666666602</v>
      </c>
      <c r="T47" s="77">
        <f>_xlfn.IFNA(VLOOKUP(RIGHT('paste report'!I47,6),$AE$10:$AF$47,2,FALSE),"")</f>
        <v>0.687499999999999</v>
      </c>
      <c r="U47" s="72">
        <f t="shared" si="5"/>
        <v>7.9999999999999911</v>
      </c>
      <c r="V47" s="75">
        <f>_xlfn.IFNA(VLOOKUP(LEFT('paste report'!J47,6),$AE$10:$AF$47,2,FALSE),"")</f>
        <v>0.499999999999999</v>
      </c>
      <c r="W47" s="77">
        <f>_xlfn.IFNA(VLOOKUP(RIGHT('paste report'!J47,6),$AE$10:$AF$47,2,FALSE),"")</f>
        <v>0.83333333333333204</v>
      </c>
      <c r="X47" s="72">
        <f t="shared" si="6"/>
        <v>7.9999999999999929</v>
      </c>
      <c r="Y47" s="75" t="str">
        <f>_xlfn.IFNA(VLOOKUP(LEFT('paste report'!K47,6),$AE$10:$AF$47,2,FALSE),"")</f>
        <v/>
      </c>
      <c r="Z47" s="77" t="str">
        <f>_xlfn.IFNA(VLOOKUP(RIGHT('paste report'!K47,6),$AE$10:$AF$47,2,FALSE),"")</f>
        <v/>
      </c>
      <c r="AA47" s="72">
        <f t="shared" si="7"/>
        <v>0</v>
      </c>
      <c r="AE47" s="74" t="s">
        <v>326</v>
      </c>
      <c r="AF47" s="65">
        <v>0.97916666666666596</v>
      </c>
    </row>
    <row r="48" spans="2:32">
      <c r="B48" s="66" t="str">
        <f>'paste report'!A48</f>
        <v>1257</v>
      </c>
      <c r="C48" s="66" t="str">
        <f>'paste report'!B48</f>
        <v>Noreen</v>
      </c>
      <c r="D48" s="67" t="str">
        <f>'paste report'!C48</f>
        <v>De Vera</v>
      </c>
      <c r="E48" s="68" t="str">
        <f>VLOOKUP(B48,Team!$B$4:$F$183,5,FALSE)</f>
        <v>CAS</v>
      </c>
      <c r="F48" s="69">
        <f t="shared" si="0"/>
        <v>0</v>
      </c>
      <c r="G48" s="75" t="str">
        <f>_xlfn.IFNA(VLOOKUP(LEFT('paste report'!E48,6),$AE$10:$AF$47,2,FALSE),"")</f>
        <v/>
      </c>
      <c r="H48" s="76" t="str">
        <f>_xlfn.IFNA(VLOOKUP(RIGHT('paste report'!E48,6),$AE$10:$AF$47,2,FALSE),"")</f>
        <v/>
      </c>
      <c r="I48" s="72">
        <f t="shared" si="1"/>
        <v>0</v>
      </c>
      <c r="J48" s="75" t="str">
        <f>_xlfn.IFNA(VLOOKUP(LEFT('paste report'!F48,6),$AE$10:$AF$47,2,FALSE),"")</f>
        <v/>
      </c>
      <c r="K48" s="77" t="str">
        <f>_xlfn.IFNA(VLOOKUP(RIGHT('paste report'!F48,6),$AE$10:$AF$47,2,FALSE),"")</f>
        <v/>
      </c>
      <c r="L48" s="72">
        <f t="shared" si="2"/>
        <v>0</v>
      </c>
      <c r="M48" s="75" t="str">
        <f>_xlfn.IFNA(VLOOKUP(LEFT('paste report'!G48,6),$AE$10:$AF$47,2,FALSE),"")</f>
        <v/>
      </c>
      <c r="N48" s="77" t="str">
        <f>_xlfn.IFNA(VLOOKUP(RIGHT('paste report'!G48,6),$AE$10:$AF$47,2,FALSE),"")</f>
        <v/>
      </c>
      <c r="O48" s="72">
        <f t="shared" si="3"/>
        <v>0</v>
      </c>
      <c r="P48" s="75" t="str">
        <f>_xlfn.IFNA(VLOOKUP(LEFT('paste report'!H48,6),$AE$10:$AF$47,2,FALSE),"")</f>
        <v/>
      </c>
      <c r="Q48" s="77" t="str">
        <f>_xlfn.IFNA(VLOOKUP(RIGHT('paste report'!H48,6),$AE$10:$AF$47,2,FALSE),"")</f>
        <v/>
      </c>
      <c r="R48" s="72">
        <f t="shared" si="4"/>
        <v>0</v>
      </c>
      <c r="S48" s="75" t="str">
        <f>_xlfn.IFNA(VLOOKUP(LEFT('paste report'!I48,6),$AE$10:$AF$47,2,FALSE),"")</f>
        <v/>
      </c>
      <c r="T48" s="77" t="str">
        <f>_xlfn.IFNA(VLOOKUP(RIGHT('paste report'!I48,6),$AE$10:$AF$47,2,FALSE),"")</f>
        <v/>
      </c>
      <c r="U48" s="72">
        <f t="shared" si="5"/>
        <v>0</v>
      </c>
      <c r="V48" s="75" t="str">
        <f>_xlfn.IFNA(VLOOKUP(LEFT('paste report'!J48,6),$AE$10:$AF$47,2,FALSE),"")</f>
        <v/>
      </c>
      <c r="W48" s="77" t="str">
        <f>_xlfn.IFNA(VLOOKUP(RIGHT('paste report'!J48,6),$AE$10:$AF$47,2,FALSE),"")</f>
        <v/>
      </c>
      <c r="X48" s="72">
        <f t="shared" si="6"/>
        <v>0</v>
      </c>
      <c r="Y48" s="75" t="str">
        <f>_xlfn.IFNA(VLOOKUP(LEFT('paste report'!K48,6),$AE$10:$AF$47,2,FALSE),"")</f>
        <v/>
      </c>
      <c r="Z48" s="77" t="str">
        <f>_xlfn.IFNA(VLOOKUP(RIGHT('paste report'!K48,6),$AE$10:$AF$47,2,FALSE),"")</f>
        <v/>
      </c>
      <c r="AA48" s="72">
        <f t="shared" si="7"/>
        <v>0</v>
      </c>
    </row>
    <row r="49" spans="2:27">
      <c r="B49" s="66" t="str">
        <f>'paste report'!A49</f>
        <v>1287</v>
      </c>
      <c r="C49" s="66" t="str">
        <f>'paste report'!B49</f>
        <v>Pearl</v>
      </c>
      <c r="D49" s="67" t="str">
        <f>'paste report'!C49</f>
        <v>Lin</v>
      </c>
      <c r="E49" s="68" t="str">
        <f>VLOOKUP(B49,Team!$B$4:$F$183,5,FALSE)</f>
        <v>PT</v>
      </c>
      <c r="F49" s="69">
        <f t="shared" si="0"/>
        <v>0</v>
      </c>
      <c r="G49" s="75" t="str">
        <f>_xlfn.IFNA(VLOOKUP(LEFT('paste report'!E49,6),$AE$10:$AF$47,2,FALSE),"")</f>
        <v/>
      </c>
      <c r="H49" s="76" t="str">
        <f>_xlfn.IFNA(VLOOKUP(RIGHT('paste report'!E49,6),$AE$10:$AF$47,2,FALSE),"")</f>
        <v/>
      </c>
      <c r="I49" s="72">
        <f t="shared" si="1"/>
        <v>0</v>
      </c>
      <c r="J49" s="75" t="str">
        <f>_xlfn.IFNA(VLOOKUP(LEFT('paste report'!F49,6),$AE$10:$AF$47,2,FALSE),"")</f>
        <v/>
      </c>
      <c r="K49" s="77" t="str">
        <f>_xlfn.IFNA(VLOOKUP(RIGHT('paste report'!F49,6),$AE$10:$AF$47,2,FALSE),"")</f>
        <v/>
      </c>
      <c r="L49" s="72">
        <f t="shared" si="2"/>
        <v>0</v>
      </c>
      <c r="M49" s="75" t="str">
        <f>_xlfn.IFNA(VLOOKUP(LEFT('paste report'!G49,6),$AE$10:$AF$47,2,FALSE),"")</f>
        <v/>
      </c>
      <c r="N49" s="77" t="str">
        <f>_xlfn.IFNA(VLOOKUP(RIGHT('paste report'!G49,6),$AE$10:$AF$47,2,FALSE),"")</f>
        <v/>
      </c>
      <c r="O49" s="72">
        <f t="shared" si="3"/>
        <v>0</v>
      </c>
      <c r="P49" s="75" t="str">
        <f>_xlfn.IFNA(VLOOKUP(LEFT('paste report'!H49,6),$AE$10:$AF$47,2,FALSE),"")</f>
        <v/>
      </c>
      <c r="Q49" s="77" t="str">
        <f>_xlfn.IFNA(VLOOKUP(RIGHT('paste report'!H49,6),$AE$10:$AF$47,2,FALSE),"")</f>
        <v/>
      </c>
      <c r="R49" s="72">
        <f t="shared" si="4"/>
        <v>0</v>
      </c>
      <c r="S49" s="75" t="str">
        <f>_xlfn.IFNA(VLOOKUP(LEFT('paste report'!I49,6),$AE$10:$AF$47,2,FALSE),"")</f>
        <v/>
      </c>
      <c r="T49" s="77" t="str">
        <f>_xlfn.IFNA(VLOOKUP(RIGHT('paste report'!I49,6),$AE$10:$AF$47,2,FALSE),"")</f>
        <v/>
      </c>
      <c r="U49" s="72">
        <f t="shared" si="5"/>
        <v>0</v>
      </c>
      <c r="V49" s="75" t="str">
        <f>_xlfn.IFNA(VLOOKUP(LEFT('paste report'!J49,6),$AE$10:$AF$47,2,FALSE),"")</f>
        <v/>
      </c>
      <c r="W49" s="77" t="str">
        <f>_xlfn.IFNA(VLOOKUP(RIGHT('paste report'!J49,6),$AE$10:$AF$47,2,FALSE),"")</f>
        <v/>
      </c>
      <c r="X49" s="72">
        <f t="shared" si="6"/>
        <v>0</v>
      </c>
      <c r="Y49" s="75" t="str">
        <f>_xlfn.IFNA(VLOOKUP(LEFT('paste report'!K49,6),$AE$10:$AF$47,2,FALSE),"")</f>
        <v/>
      </c>
      <c r="Z49" s="77" t="str">
        <f>_xlfn.IFNA(VLOOKUP(RIGHT('paste report'!K49,6),$AE$10:$AF$47,2,FALSE),"")</f>
        <v/>
      </c>
      <c r="AA49" s="72">
        <f t="shared" si="7"/>
        <v>0</v>
      </c>
    </row>
    <row r="50" spans="2:27">
      <c r="B50" s="66" t="str">
        <f>'paste report'!A50</f>
        <v>1232</v>
      </c>
      <c r="C50" s="66" t="str">
        <f>'paste report'!B50</f>
        <v>Penny</v>
      </c>
      <c r="D50" s="67" t="str">
        <f>'paste report'!C50</f>
        <v>Rabena</v>
      </c>
      <c r="E50" s="68" t="str">
        <f>VLOOKUP(B50,Team!$B$4:$F$183,5,FALSE)</f>
        <v>CAS</v>
      </c>
      <c r="F50" s="69">
        <f t="shared" si="0"/>
        <v>0</v>
      </c>
      <c r="G50" s="75" t="str">
        <f>_xlfn.IFNA(VLOOKUP(LEFT('paste report'!E50,6),$AE$10:$AF$47,2,FALSE),"")</f>
        <v/>
      </c>
      <c r="H50" s="76" t="str">
        <f>_xlfn.IFNA(VLOOKUP(RIGHT('paste report'!E50,6),$AE$10:$AF$47,2,FALSE),"")</f>
        <v/>
      </c>
      <c r="I50" s="72">
        <f t="shared" si="1"/>
        <v>0</v>
      </c>
      <c r="J50" s="75" t="str">
        <f>_xlfn.IFNA(VLOOKUP(LEFT('paste report'!F50,6),$AE$10:$AF$47,2,FALSE),"")</f>
        <v/>
      </c>
      <c r="K50" s="77" t="str">
        <f>_xlfn.IFNA(VLOOKUP(RIGHT('paste report'!F50,6),$AE$10:$AF$47,2,FALSE),"")</f>
        <v/>
      </c>
      <c r="L50" s="72">
        <f t="shared" si="2"/>
        <v>0</v>
      </c>
      <c r="M50" s="75" t="str">
        <f>_xlfn.IFNA(VLOOKUP(LEFT('paste report'!G50,6),$AE$10:$AF$47,2,FALSE),"")</f>
        <v/>
      </c>
      <c r="N50" s="77" t="str">
        <f>_xlfn.IFNA(VLOOKUP(RIGHT('paste report'!G50,6),$AE$10:$AF$47,2,FALSE),"")</f>
        <v/>
      </c>
      <c r="O50" s="72">
        <f t="shared" si="3"/>
        <v>0</v>
      </c>
      <c r="P50" s="75" t="str">
        <f>_xlfn.IFNA(VLOOKUP(LEFT('paste report'!H50,6),$AE$10:$AF$47,2,FALSE),"")</f>
        <v/>
      </c>
      <c r="Q50" s="77" t="str">
        <f>_xlfn.IFNA(VLOOKUP(RIGHT('paste report'!H50,6),$AE$10:$AF$47,2,FALSE),"")</f>
        <v/>
      </c>
      <c r="R50" s="72">
        <f t="shared" si="4"/>
        <v>0</v>
      </c>
      <c r="S50" s="75" t="str">
        <f>_xlfn.IFNA(VLOOKUP(LEFT('paste report'!I50,6),$AE$10:$AF$47,2,FALSE),"")</f>
        <v/>
      </c>
      <c r="T50" s="77" t="str">
        <f>_xlfn.IFNA(VLOOKUP(RIGHT('paste report'!I50,6),$AE$10:$AF$47,2,FALSE),"")</f>
        <v/>
      </c>
      <c r="U50" s="72">
        <f t="shared" si="5"/>
        <v>0</v>
      </c>
      <c r="V50" s="75" t="str">
        <f>_xlfn.IFNA(VLOOKUP(LEFT('paste report'!J50,6),$AE$10:$AF$47,2,FALSE),"")</f>
        <v/>
      </c>
      <c r="W50" s="77" t="str">
        <f>_xlfn.IFNA(VLOOKUP(RIGHT('paste report'!J50,6),$AE$10:$AF$47,2,FALSE),"")</f>
        <v/>
      </c>
      <c r="X50" s="72">
        <f t="shared" si="6"/>
        <v>0</v>
      </c>
      <c r="Y50" s="75" t="str">
        <f>_xlfn.IFNA(VLOOKUP(LEFT('paste report'!K50,6),$AE$10:$AF$47,2,FALSE),"")</f>
        <v/>
      </c>
      <c r="Z50" s="77" t="str">
        <f>_xlfn.IFNA(VLOOKUP(RIGHT('paste report'!K50,6),$AE$10:$AF$47,2,FALSE),"")</f>
        <v/>
      </c>
      <c r="AA50" s="72">
        <f t="shared" si="7"/>
        <v>0</v>
      </c>
    </row>
    <row r="51" spans="2:27">
      <c r="B51" s="66" t="str">
        <f>'paste report'!A51</f>
        <v>303</v>
      </c>
      <c r="C51" s="66" t="str">
        <f>'paste report'!B51</f>
        <v>Rachel</v>
      </c>
      <c r="D51" s="67" t="str">
        <f>'paste report'!C51</f>
        <v>Seeto</v>
      </c>
      <c r="E51" s="68" t="str">
        <f>VLOOKUP(B51,Team!$B$4:$F$183,5,FALSE)</f>
        <v>PT</v>
      </c>
      <c r="F51" s="69">
        <f t="shared" si="0"/>
        <v>7.0000000000000089</v>
      </c>
      <c r="G51" s="75" t="str">
        <f>_xlfn.IFNA(VLOOKUP(LEFT('paste report'!E51,6),$AE$10:$AF$47,2,FALSE),"")</f>
        <v/>
      </c>
      <c r="H51" s="76" t="str">
        <f>_xlfn.IFNA(VLOOKUP(RIGHT('paste report'!E51,6),$AE$10:$AF$47,2,FALSE),"")</f>
        <v/>
      </c>
      <c r="I51" s="72">
        <f t="shared" si="1"/>
        <v>0</v>
      </c>
      <c r="J51" s="75" t="str">
        <f>_xlfn.IFNA(VLOOKUP(LEFT('paste report'!F51,6),$AE$10:$AF$47,2,FALSE),"")</f>
        <v/>
      </c>
      <c r="K51" s="77" t="str">
        <f>_xlfn.IFNA(VLOOKUP(RIGHT('paste report'!F51,6),$AE$10:$AF$47,2,FALSE),"")</f>
        <v/>
      </c>
      <c r="L51" s="72">
        <f t="shared" si="2"/>
        <v>0</v>
      </c>
      <c r="M51" s="75" t="str">
        <f>_xlfn.IFNA(VLOOKUP(LEFT('paste report'!G51,6),$AE$10:$AF$47,2,FALSE),"")</f>
        <v/>
      </c>
      <c r="N51" s="77" t="str">
        <f>_xlfn.IFNA(VLOOKUP(RIGHT('paste report'!G51,6),$AE$10:$AF$47,2,FALSE),"")</f>
        <v/>
      </c>
      <c r="O51" s="72">
        <f t="shared" si="3"/>
        <v>0</v>
      </c>
      <c r="P51" s="75" t="str">
        <f>_xlfn.IFNA(VLOOKUP(LEFT('paste report'!H51,6),$AE$10:$AF$47,2,FALSE),"")</f>
        <v/>
      </c>
      <c r="Q51" s="77" t="str">
        <f>_xlfn.IFNA(VLOOKUP(RIGHT('paste report'!H51,6),$AE$10:$AF$47,2,FALSE),"")</f>
        <v/>
      </c>
      <c r="R51" s="72">
        <f t="shared" si="4"/>
        <v>0</v>
      </c>
      <c r="S51" s="75">
        <f>_xlfn.IFNA(VLOOKUP(LEFT('paste report'!I51,6),$AE$10:$AF$47,2,FALSE),"")</f>
        <v>0.35416666666666602</v>
      </c>
      <c r="T51" s="77">
        <f>_xlfn.IFNA(VLOOKUP(RIGHT('paste report'!I51,6),$AE$10:$AF$47,2,FALSE),"")</f>
        <v>0.64583333333333304</v>
      </c>
      <c r="U51" s="72">
        <f t="shared" si="5"/>
        <v>7.0000000000000089</v>
      </c>
      <c r="V51" s="75" t="str">
        <f>_xlfn.IFNA(VLOOKUP(LEFT('paste report'!J51,6),$AE$10:$AF$47,2,FALSE),"")</f>
        <v/>
      </c>
      <c r="W51" s="77" t="str">
        <f>_xlfn.IFNA(VLOOKUP(RIGHT('paste report'!J51,6),$AE$10:$AF$47,2,FALSE),"")</f>
        <v/>
      </c>
      <c r="X51" s="72">
        <f t="shared" si="6"/>
        <v>0</v>
      </c>
      <c r="Y51" s="75" t="str">
        <f>_xlfn.IFNA(VLOOKUP(LEFT('paste report'!K51,6),$AE$10:$AF$47,2,FALSE),"")</f>
        <v/>
      </c>
      <c r="Z51" s="77" t="str">
        <f>_xlfn.IFNA(VLOOKUP(RIGHT('paste report'!K51,6),$AE$10:$AF$47,2,FALSE),"")</f>
        <v/>
      </c>
      <c r="AA51" s="72">
        <f t="shared" si="7"/>
        <v>0</v>
      </c>
    </row>
    <row r="52" spans="2:27">
      <c r="B52" s="66" t="str">
        <f>'paste report'!A52</f>
        <v>1142</v>
      </c>
      <c r="C52" s="66" t="str">
        <f>'paste report'!B52</f>
        <v>Ralph</v>
      </c>
      <c r="D52" s="67" t="str">
        <f>'paste report'!C52</f>
        <v>Deoferio</v>
      </c>
      <c r="E52" s="68" t="str">
        <f>VLOOKUP(B52,Team!$B$4:$F$183,5,FALSE)</f>
        <v>FT</v>
      </c>
      <c r="F52" s="69">
        <f t="shared" si="0"/>
        <v>0</v>
      </c>
      <c r="G52" s="75" t="str">
        <f>_xlfn.IFNA(VLOOKUP(LEFT('paste report'!E52,6),$AE$10:$AF$47,2,FALSE),"")</f>
        <v/>
      </c>
      <c r="H52" s="76" t="str">
        <f>_xlfn.IFNA(VLOOKUP(RIGHT('paste report'!E52,6),$AE$10:$AF$47,2,FALSE),"")</f>
        <v/>
      </c>
      <c r="I52" s="72">
        <f t="shared" si="1"/>
        <v>0</v>
      </c>
      <c r="J52" s="75" t="str">
        <f>_xlfn.IFNA(VLOOKUP(LEFT('paste report'!F52,6),$AE$10:$AF$47,2,FALSE),"")</f>
        <v/>
      </c>
      <c r="K52" s="77" t="str">
        <f>_xlfn.IFNA(VLOOKUP(RIGHT('paste report'!F52,6),$AE$10:$AF$47,2,FALSE),"")</f>
        <v/>
      </c>
      <c r="L52" s="72">
        <f t="shared" si="2"/>
        <v>0</v>
      </c>
      <c r="M52" s="75" t="str">
        <f>_xlfn.IFNA(VLOOKUP(LEFT('paste report'!G52,6),$AE$10:$AF$47,2,FALSE),"")</f>
        <v/>
      </c>
      <c r="N52" s="77" t="str">
        <f>_xlfn.IFNA(VLOOKUP(RIGHT('paste report'!G52,6),$AE$10:$AF$47,2,FALSE),"")</f>
        <v/>
      </c>
      <c r="O52" s="72">
        <f t="shared" si="3"/>
        <v>0</v>
      </c>
      <c r="P52" s="75" t="str">
        <f>_xlfn.IFNA(VLOOKUP(LEFT('paste report'!H52,6),$AE$10:$AF$47,2,FALSE),"")</f>
        <v/>
      </c>
      <c r="Q52" s="77" t="str">
        <f>_xlfn.IFNA(VLOOKUP(RIGHT('paste report'!H52,6),$AE$10:$AF$47,2,FALSE),"")</f>
        <v/>
      </c>
      <c r="R52" s="72">
        <f t="shared" si="4"/>
        <v>0</v>
      </c>
      <c r="S52" s="75" t="str">
        <f>_xlfn.IFNA(VLOOKUP(LEFT('paste report'!I52,6),$AE$10:$AF$47,2,FALSE),"")</f>
        <v/>
      </c>
      <c r="T52" s="77" t="str">
        <f>_xlfn.IFNA(VLOOKUP(RIGHT('paste report'!I52,6),$AE$10:$AF$47,2,FALSE),"")</f>
        <v/>
      </c>
      <c r="U52" s="72">
        <f t="shared" si="5"/>
        <v>0</v>
      </c>
      <c r="V52" s="75" t="str">
        <f>_xlfn.IFNA(VLOOKUP(LEFT('paste report'!J52,6),$AE$10:$AF$47,2,FALSE),"")</f>
        <v/>
      </c>
      <c r="W52" s="77" t="str">
        <f>_xlfn.IFNA(VLOOKUP(RIGHT('paste report'!J52,6),$AE$10:$AF$47,2,FALSE),"")</f>
        <v/>
      </c>
      <c r="X52" s="72">
        <f t="shared" si="6"/>
        <v>0</v>
      </c>
      <c r="Y52" s="75" t="str">
        <f>_xlfn.IFNA(VLOOKUP(LEFT('paste report'!K52,6),$AE$10:$AF$47,2,FALSE),"")</f>
        <v/>
      </c>
      <c r="Z52" s="77" t="str">
        <f>_xlfn.IFNA(VLOOKUP(RIGHT('paste report'!K52,6),$AE$10:$AF$47,2,FALSE),"")</f>
        <v/>
      </c>
      <c r="AA52" s="72">
        <f t="shared" si="7"/>
        <v>0</v>
      </c>
    </row>
    <row r="53" spans="2:27">
      <c r="B53" s="66" t="str">
        <f>'paste report'!A53</f>
        <v>01528</v>
      </c>
      <c r="C53" s="66" t="str">
        <f>'paste report'!B53</f>
        <v>Rena</v>
      </c>
      <c r="D53" s="67" t="str">
        <f>'paste report'!C53</f>
        <v>Chen</v>
      </c>
      <c r="E53" s="68" t="str">
        <f>VLOOKUP(B53,Team!$B$4:$F$183,5,FALSE)</f>
        <v>CAS</v>
      </c>
      <c r="F53" s="69">
        <f t="shared" si="0"/>
        <v>0</v>
      </c>
      <c r="G53" s="75" t="str">
        <f>_xlfn.IFNA(VLOOKUP(LEFT('paste report'!E53,6),$AE$10:$AF$47,2,FALSE),"")</f>
        <v/>
      </c>
      <c r="H53" s="76" t="str">
        <f>_xlfn.IFNA(VLOOKUP(RIGHT('paste report'!E53,6),$AE$10:$AF$47,2,FALSE),"")</f>
        <v/>
      </c>
      <c r="I53" s="72">
        <f t="shared" si="1"/>
        <v>0</v>
      </c>
      <c r="J53" s="75" t="str">
        <f>_xlfn.IFNA(VLOOKUP(LEFT('paste report'!F53,6),$AE$10:$AF$47,2,FALSE),"")</f>
        <v/>
      </c>
      <c r="K53" s="77" t="str">
        <f>_xlfn.IFNA(VLOOKUP(RIGHT('paste report'!F53,6),$AE$10:$AF$47,2,FALSE),"")</f>
        <v/>
      </c>
      <c r="L53" s="72">
        <f t="shared" si="2"/>
        <v>0</v>
      </c>
      <c r="M53" s="75" t="str">
        <f>_xlfn.IFNA(VLOOKUP(LEFT('paste report'!G53,6),$AE$10:$AF$47,2,FALSE),"")</f>
        <v/>
      </c>
      <c r="N53" s="77" t="str">
        <f>_xlfn.IFNA(VLOOKUP(RIGHT('paste report'!G53,6),$AE$10:$AF$47,2,FALSE),"")</f>
        <v/>
      </c>
      <c r="O53" s="72">
        <f t="shared" si="3"/>
        <v>0</v>
      </c>
      <c r="P53" s="75" t="str">
        <f>_xlfn.IFNA(VLOOKUP(LEFT('paste report'!H53,6),$AE$10:$AF$47,2,FALSE),"")</f>
        <v/>
      </c>
      <c r="Q53" s="77" t="str">
        <f>_xlfn.IFNA(VLOOKUP(RIGHT('paste report'!H53,6),$AE$10:$AF$47,2,FALSE),"")</f>
        <v/>
      </c>
      <c r="R53" s="72">
        <f t="shared" si="4"/>
        <v>0</v>
      </c>
      <c r="S53" s="75" t="str">
        <f>_xlfn.IFNA(VLOOKUP(LEFT('paste report'!I53,6),$AE$10:$AF$47,2,FALSE),"")</f>
        <v/>
      </c>
      <c r="T53" s="77" t="str">
        <f>_xlfn.IFNA(VLOOKUP(RIGHT('paste report'!I53,6),$AE$10:$AF$47,2,FALSE),"")</f>
        <v/>
      </c>
      <c r="U53" s="72">
        <f t="shared" si="5"/>
        <v>0</v>
      </c>
      <c r="V53" s="75" t="str">
        <f>_xlfn.IFNA(VLOOKUP(LEFT('paste report'!J53,6),$AE$10:$AF$47,2,FALSE),"")</f>
        <v/>
      </c>
      <c r="W53" s="77" t="str">
        <f>_xlfn.IFNA(VLOOKUP(RIGHT('paste report'!J53,6),$AE$10:$AF$47,2,FALSE),"")</f>
        <v/>
      </c>
      <c r="X53" s="72">
        <f t="shared" si="6"/>
        <v>0</v>
      </c>
      <c r="Y53" s="75" t="str">
        <f>_xlfn.IFNA(VLOOKUP(LEFT('paste report'!K53,6),$AE$10:$AF$47,2,FALSE),"")</f>
        <v/>
      </c>
      <c r="Z53" s="77" t="str">
        <f>_xlfn.IFNA(VLOOKUP(RIGHT('paste report'!K53,6),$AE$10:$AF$47,2,FALSE),"")</f>
        <v/>
      </c>
      <c r="AA53" s="72">
        <f t="shared" si="7"/>
        <v>0</v>
      </c>
    </row>
    <row r="54" spans="2:27">
      <c r="B54" s="66" t="str">
        <f>'paste report'!A54</f>
        <v>1237</v>
      </c>
      <c r="C54" s="66" t="str">
        <f>'paste report'!B54</f>
        <v>Rich</v>
      </c>
      <c r="D54" s="67" t="str">
        <f>'paste report'!C54</f>
        <v>Ma</v>
      </c>
      <c r="E54" s="68" t="str">
        <f>VLOOKUP(B54,Team!$B$4:$F$183,5,FALSE)</f>
        <v>PT</v>
      </c>
      <c r="F54" s="69">
        <f t="shared" si="0"/>
        <v>23.999999999999975</v>
      </c>
      <c r="G54" s="75" t="str">
        <f>_xlfn.IFNA(VLOOKUP(LEFT('paste report'!E54,6),$AE$10:$AF$47,2,FALSE),"")</f>
        <v/>
      </c>
      <c r="H54" s="76" t="str">
        <f>_xlfn.IFNA(VLOOKUP(RIGHT('paste report'!E54,6),$AE$10:$AF$47,2,FALSE),"")</f>
        <v/>
      </c>
      <c r="I54" s="72">
        <f t="shared" si="1"/>
        <v>0</v>
      </c>
      <c r="J54" s="75" t="str">
        <f>_xlfn.IFNA(VLOOKUP(LEFT('paste report'!F54,6),$AE$10:$AF$47,2,FALSE),"")</f>
        <v/>
      </c>
      <c r="K54" s="77" t="str">
        <f>_xlfn.IFNA(VLOOKUP(RIGHT('paste report'!F54,6),$AE$10:$AF$47,2,FALSE),"")</f>
        <v/>
      </c>
      <c r="L54" s="72">
        <f t="shared" si="2"/>
        <v>0</v>
      </c>
      <c r="M54" s="75" t="str">
        <f>_xlfn.IFNA(VLOOKUP(LEFT('paste report'!G54,6),$AE$10:$AF$47,2,FALSE),"")</f>
        <v/>
      </c>
      <c r="N54" s="77" t="str">
        <f>_xlfn.IFNA(VLOOKUP(RIGHT('paste report'!G54,6),$AE$10:$AF$47,2,FALSE),"")</f>
        <v/>
      </c>
      <c r="O54" s="72">
        <f t="shared" si="3"/>
        <v>0</v>
      </c>
      <c r="P54" s="75">
        <f>_xlfn.IFNA(VLOOKUP(LEFT('paste report'!H54,6),$AE$10:$AF$47,2,FALSE),"")</f>
        <v>0.45833333333333298</v>
      </c>
      <c r="Q54" s="77">
        <f>_xlfn.IFNA(VLOOKUP(RIGHT('paste report'!H54,6),$AE$10:$AF$47,2,FALSE),"")</f>
        <v>0.79166666666666596</v>
      </c>
      <c r="R54" s="72">
        <f t="shared" si="4"/>
        <v>7.9999999999999911</v>
      </c>
      <c r="S54" s="75">
        <f>_xlfn.IFNA(VLOOKUP(LEFT('paste report'!I54,6),$AE$10:$AF$47,2,FALSE),"")</f>
        <v>0.35416666666666602</v>
      </c>
      <c r="T54" s="77">
        <f>_xlfn.IFNA(VLOOKUP(RIGHT('paste report'!I54,6),$AE$10:$AF$47,2,FALSE),"")</f>
        <v>0.687499999999999</v>
      </c>
      <c r="U54" s="72">
        <f t="shared" si="5"/>
        <v>7.9999999999999911</v>
      </c>
      <c r="V54" s="75">
        <f>_xlfn.IFNA(VLOOKUP(LEFT('paste report'!J54,6),$AE$10:$AF$47,2,FALSE),"")</f>
        <v>0.375</v>
      </c>
      <c r="W54" s="77">
        <f>_xlfn.IFNA(VLOOKUP(RIGHT('paste report'!J54,6),$AE$10:$AF$47,2,FALSE),"")</f>
        <v>0.70833333333333304</v>
      </c>
      <c r="X54" s="72">
        <f t="shared" si="6"/>
        <v>7.9999999999999929</v>
      </c>
      <c r="Y54" s="75" t="str">
        <f>_xlfn.IFNA(VLOOKUP(LEFT('paste report'!K54,6),$AE$10:$AF$47,2,FALSE),"")</f>
        <v/>
      </c>
      <c r="Z54" s="77" t="str">
        <f>_xlfn.IFNA(VLOOKUP(RIGHT('paste report'!K54,6),$AE$10:$AF$47,2,FALSE),"")</f>
        <v/>
      </c>
      <c r="AA54" s="72">
        <f t="shared" si="7"/>
        <v>0</v>
      </c>
    </row>
    <row r="55" spans="2:27">
      <c r="B55" s="66" t="str">
        <f>'paste report'!A55</f>
        <v>1133</v>
      </c>
      <c r="C55" s="66" t="str">
        <f>'paste report'!B55</f>
        <v>Sarah</v>
      </c>
      <c r="D55" s="67" t="str">
        <f>'paste report'!C55</f>
        <v>Lee</v>
      </c>
      <c r="E55" s="68" t="str">
        <f>VLOOKUP(B55,Team!$B$4:$F$183,5,FALSE)</f>
        <v>CAS</v>
      </c>
      <c r="F55" s="69">
        <f t="shared" si="0"/>
        <v>0</v>
      </c>
      <c r="G55" s="75" t="str">
        <f>_xlfn.IFNA(VLOOKUP(LEFT('paste report'!E55,6),$AE$10:$AF$47,2,FALSE),"")</f>
        <v/>
      </c>
      <c r="H55" s="76" t="str">
        <f>_xlfn.IFNA(VLOOKUP(RIGHT('paste report'!E55,6),$AE$10:$AF$47,2,FALSE),"")</f>
        <v/>
      </c>
      <c r="I55" s="72">
        <f t="shared" si="1"/>
        <v>0</v>
      </c>
      <c r="J55" s="75" t="str">
        <f>_xlfn.IFNA(VLOOKUP(LEFT('paste report'!F55,6),$AE$10:$AF$47,2,FALSE),"")</f>
        <v/>
      </c>
      <c r="K55" s="77" t="str">
        <f>_xlfn.IFNA(VLOOKUP(RIGHT('paste report'!F55,6),$AE$10:$AF$47,2,FALSE),"")</f>
        <v/>
      </c>
      <c r="L55" s="72">
        <f t="shared" si="2"/>
        <v>0</v>
      </c>
      <c r="M55" s="75" t="str">
        <f>_xlfn.IFNA(VLOOKUP(LEFT('paste report'!G55,6),$AE$10:$AF$47,2,FALSE),"")</f>
        <v/>
      </c>
      <c r="N55" s="77" t="str">
        <f>_xlfn.IFNA(VLOOKUP(RIGHT('paste report'!G55,6),$AE$10:$AF$47,2,FALSE),"")</f>
        <v/>
      </c>
      <c r="O55" s="72">
        <f t="shared" si="3"/>
        <v>0</v>
      </c>
      <c r="P55" s="75" t="str">
        <f>_xlfn.IFNA(VLOOKUP(LEFT('paste report'!H55,6),$AE$10:$AF$47,2,FALSE),"")</f>
        <v/>
      </c>
      <c r="Q55" s="77" t="str">
        <f>_xlfn.IFNA(VLOOKUP(RIGHT('paste report'!H55,6),$AE$10:$AF$47,2,FALSE),"")</f>
        <v/>
      </c>
      <c r="R55" s="72">
        <f t="shared" si="4"/>
        <v>0</v>
      </c>
      <c r="S55" s="75" t="str">
        <f>_xlfn.IFNA(VLOOKUP(LEFT('paste report'!I55,6),$AE$10:$AF$47,2,FALSE),"")</f>
        <v/>
      </c>
      <c r="T55" s="77" t="str">
        <f>_xlfn.IFNA(VLOOKUP(RIGHT('paste report'!I55,6),$AE$10:$AF$47,2,FALSE),"")</f>
        <v/>
      </c>
      <c r="U55" s="72">
        <f t="shared" si="5"/>
        <v>0</v>
      </c>
      <c r="V55" s="75" t="str">
        <f>_xlfn.IFNA(VLOOKUP(LEFT('paste report'!J55,6),$AE$10:$AF$47,2,FALSE),"")</f>
        <v/>
      </c>
      <c r="W55" s="77" t="str">
        <f>_xlfn.IFNA(VLOOKUP(RIGHT('paste report'!J55,6),$AE$10:$AF$47,2,FALSE),"")</f>
        <v/>
      </c>
      <c r="X55" s="72">
        <f t="shared" si="6"/>
        <v>0</v>
      </c>
      <c r="Y55" s="75" t="str">
        <f>_xlfn.IFNA(VLOOKUP(LEFT('paste report'!K55,6),$AE$10:$AF$47,2,FALSE),"")</f>
        <v/>
      </c>
      <c r="Z55" s="77" t="str">
        <f>_xlfn.IFNA(VLOOKUP(RIGHT('paste report'!K55,6),$AE$10:$AF$47,2,FALSE),"")</f>
        <v/>
      </c>
      <c r="AA55" s="72">
        <f t="shared" si="7"/>
        <v>0</v>
      </c>
    </row>
    <row r="56" spans="2:27">
      <c r="B56" s="66" t="str">
        <f>'paste report'!A56</f>
        <v>891</v>
      </c>
      <c r="C56" s="66" t="str">
        <f>'paste report'!B56</f>
        <v>Sienna</v>
      </c>
      <c r="D56" s="67" t="str">
        <f>'paste report'!C56</f>
        <v>Lim</v>
      </c>
      <c r="E56" s="68" t="str">
        <f>VLOOKUP(B56,Team!$B$4:$F$183,5,FALSE)</f>
        <v>CAS</v>
      </c>
      <c r="F56" s="69">
        <f t="shared" si="0"/>
        <v>40.499999999999979</v>
      </c>
      <c r="G56" s="75">
        <f>_xlfn.IFNA(VLOOKUP(LEFT('paste report'!E56,6),$AE$10:$AF$47,2,FALSE),"")</f>
        <v>0.437499999999999</v>
      </c>
      <c r="H56" s="76">
        <f>_xlfn.IFNA(VLOOKUP(RIGHT('paste report'!E56,6),$AE$10:$AF$47,2,FALSE),"")</f>
        <v>0.79166666666666596</v>
      </c>
      <c r="I56" s="72">
        <f t="shared" si="1"/>
        <v>8.5000000000000071</v>
      </c>
      <c r="J56" s="75">
        <f>_xlfn.IFNA(VLOOKUP(LEFT('paste report'!F56,6),$AE$10:$AF$47,2,FALSE),"")</f>
        <v>0.45833333333333298</v>
      </c>
      <c r="K56" s="77">
        <f>_xlfn.IFNA(VLOOKUP(RIGHT('paste report'!F56,6),$AE$10:$AF$47,2,FALSE),"")</f>
        <v>0.79166666666666596</v>
      </c>
      <c r="L56" s="72">
        <f t="shared" si="2"/>
        <v>7.9999999999999911</v>
      </c>
      <c r="M56" s="75">
        <f>_xlfn.IFNA(VLOOKUP(LEFT('paste report'!G56,6),$AE$10:$AF$47,2,FALSE),"")</f>
        <v>0.45833333333333298</v>
      </c>
      <c r="N56" s="77">
        <f>_xlfn.IFNA(VLOOKUP(RIGHT('paste report'!G56,6),$AE$10:$AF$47,2,FALSE),"")</f>
        <v>0.79166666666666596</v>
      </c>
      <c r="O56" s="72">
        <f t="shared" si="3"/>
        <v>7.9999999999999911</v>
      </c>
      <c r="P56" s="75">
        <f>_xlfn.IFNA(VLOOKUP(LEFT('paste report'!H56,6),$AE$10:$AF$47,2,FALSE),"")</f>
        <v>0.58333333333333304</v>
      </c>
      <c r="Q56" s="77">
        <f>_xlfn.IFNA(VLOOKUP(RIGHT('paste report'!H56,6),$AE$10:$AF$47,2,FALSE),"")</f>
        <v>0.91666666666666596</v>
      </c>
      <c r="R56" s="72">
        <f t="shared" si="4"/>
        <v>7.9999999999999902</v>
      </c>
      <c r="S56" s="75" t="str">
        <f>_xlfn.IFNA(VLOOKUP(LEFT('paste report'!I56,6),$AE$10:$AF$47,2,FALSE),"")</f>
        <v/>
      </c>
      <c r="T56" s="77" t="str">
        <f>_xlfn.IFNA(VLOOKUP(RIGHT('paste report'!I56,6),$AE$10:$AF$47,2,FALSE),"")</f>
        <v/>
      </c>
      <c r="U56" s="72">
        <f t="shared" si="5"/>
        <v>0</v>
      </c>
      <c r="V56" s="75" t="str">
        <f>_xlfn.IFNA(VLOOKUP(LEFT('paste report'!J56,6),$AE$10:$AF$47,2,FALSE),"")</f>
        <v/>
      </c>
      <c r="W56" s="77" t="str">
        <f>_xlfn.IFNA(VLOOKUP(RIGHT('paste report'!J56,6),$AE$10:$AF$47,2,FALSE),"")</f>
        <v/>
      </c>
      <c r="X56" s="72">
        <f t="shared" si="6"/>
        <v>0</v>
      </c>
      <c r="Y56" s="75">
        <f>_xlfn.IFNA(VLOOKUP(LEFT('paste report'!K56,6),$AE$10:$AF$47,2,FALSE),"")</f>
        <v>0.375</v>
      </c>
      <c r="Z56" s="77">
        <f>_xlfn.IFNA(VLOOKUP(RIGHT('paste report'!K56,6),$AE$10:$AF$47,2,FALSE),"")</f>
        <v>0.70833333333333304</v>
      </c>
      <c r="AA56" s="72">
        <f t="shared" si="7"/>
        <v>7.9999999999999929</v>
      </c>
    </row>
    <row r="57" spans="2:27">
      <c r="B57" s="66" t="str">
        <f>'paste report'!A57</f>
        <v>1108</v>
      </c>
      <c r="C57" s="66" t="str">
        <f>'paste report'!B57</f>
        <v>Tara</v>
      </c>
      <c r="D57" s="67" t="str">
        <f>'paste report'!C57</f>
        <v>Turner</v>
      </c>
      <c r="E57" s="68" t="str">
        <f>VLOOKUP(B57,Team!$B$4:$F$183,5,FALSE)</f>
        <v>FT</v>
      </c>
      <c r="F57" s="69">
        <f t="shared" si="0"/>
        <v>40.499999999999979</v>
      </c>
      <c r="G57" s="75" t="str">
        <f>_xlfn.IFNA(VLOOKUP(LEFT('paste report'!E57,6),$AE$10:$AF$47,2,FALSE),"")</f>
        <v/>
      </c>
      <c r="H57" s="76" t="str">
        <f>_xlfn.IFNA(VLOOKUP(RIGHT('paste report'!E57,6),$AE$10:$AF$47,2,FALSE),"")</f>
        <v/>
      </c>
      <c r="I57" s="72">
        <f t="shared" si="1"/>
        <v>0</v>
      </c>
      <c r="J57" s="75">
        <f>_xlfn.IFNA(VLOOKUP(LEFT('paste report'!F57,6),$AE$10:$AF$47,2,FALSE),"")</f>
        <v>0.35416666666666602</v>
      </c>
      <c r="K57" s="77">
        <f>_xlfn.IFNA(VLOOKUP(RIGHT('paste report'!F57,6),$AE$10:$AF$47,2,FALSE),"")</f>
        <v>0.70833333333333304</v>
      </c>
      <c r="L57" s="72">
        <f t="shared" si="2"/>
        <v>8.5000000000000089</v>
      </c>
      <c r="M57" s="75">
        <f>_xlfn.IFNA(VLOOKUP(LEFT('paste report'!G57,6),$AE$10:$AF$47,2,FALSE),"")</f>
        <v>0.45833333333333298</v>
      </c>
      <c r="N57" s="77">
        <f>_xlfn.IFNA(VLOOKUP(RIGHT('paste report'!G57,6),$AE$10:$AF$47,2,FALSE),"")</f>
        <v>0.79166666666666596</v>
      </c>
      <c r="O57" s="72">
        <f t="shared" si="3"/>
        <v>7.9999999999999911</v>
      </c>
      <c r="P57" s="75">
        <f>_xlfn.IFNA(VLOOKUP(LEFT('paste report'!H57,6),$AE$10:$AF$47,2,FALSE),"")</f>
        <v>0.499999999999999</v>
      </c>
      <c r="Q57" s="77">
        <f>_xlfn.IFNA(VLOOKUP(RIGHT('paste report'!H57,6),$AE$10:$AF$47,2,FALSE),"")</f>
        <v>0.83333333333333204</v>
      </c>
      <c r="R57" s="72">
        <f t="shared" si="4"/>
        <v>7.9999999999999929</v>
      </c>
      <c r="S57" s="75">
        <f>_xlfn.IFNA(VLOOKUP(LEFT('paste report'!I57,6),$AE$10:$AF$47,2,FALSE),"")</f>
        <v>0.45833333333333298</v>
      </c>
      <c r="T57" s="77">
        <f>_xlfn.IFNA(VLOOKUP(RIGHT('paste report'!I57,6),$AE$10:$AF$47,2,FALSE),"")</f>
        <v>0.79166666666666596</v>
      </c>
      <c r="U57" s="72">
        <f t="shared" si="5"/>
        <v>7.9999999999999911</v>
      </c>
      <c r="V57" s="75">
        <f>_xlfn.IFNA(VLOOKUP(LEFT('paste report'!J57,6),$AE$10:$AF$47,2,FALSE),"")</f>
        <v>0.375</v>
      </c>
      <c r="W57" s="77">
        <f>_xlfn.IFNA(VLOOKUP(RIGHT('paste report'!J57,6),$AE$10:$AF$47,2,FALSE),"")</f>
        <v>0.70833333333333304</v>
      </c>
      <c r="X57" s="72">
        <f t="shared" si="6"/>
        <v>7.9999999999999929</v>
      </c>
      <c r="Y57" s="75" t="str">
        <f>_xlfn.IFNA(VLOOKUP(LEFT('paste report'!K57,6),$AE$10:$AF$47,2,FALSE),"")</f>
        <v/>
      </c>
      <c r="Z57" s="77" t="str">
        <f>_xlfn.IFNA(VLOOKUP(RIGHT('paste report'!K57,6),$AE$10:$AF$47,2,FALSE),"")</f>
        <v/>
      </c>
      <c r="AA57" s="72">
        <f t="shared" si="7"/>
        <v>0</v>
      </c>
    </row>
    <row r="58" spans="2:27">
      <c r="B58" s="66" t="str">
        <f>'paste report'!A58</f>
        <v>01521</v>
      </c>
      <c r="C58" s="66" t="str">
        <f>'paste report'!B58</f>
        <v>Tom</v>
      </c>
      <c r="D58" s="67" t="str">
        <f>'paste report'!C58</f>
        <v>Wu</v>
      </c>
      <c r="E58" s="68" t="str">
        <f>VLOOKUP(B58,Team!$B$4:$F$183,5,FALSE)</f>
        <v>CAS</v>
      </c>
      <c r="F58" s="69">
        <f t="shared" si="0"/>
        <v>0</v>
      </c>
      <c r="G58" s="75" t="str">
        <f>_xlfn.IFNA(VLOOKUP(LEFT('paste report'!E58,6),$AE$10:$AF$47,2,FALSE),"")</f>
        <v/>
      </c>
      <c r="H58" s="76" t="str">
        <f>_xlfn.IFNA(VLOOKUP(RIGHT('paste report'!E58,6),$AE$10:$AF$47,2,FALSE),"")</f>
        <v/>
      </c>
      <c r="I58" s="72">
        <f t="shared" si="1"/>
        <v>0</v>
      </c>
      <c r="J58" s="75" t="str">
        <f>_xlfn.IFNA(VLOOKUP(LEFT('paste report'!F58,6),$AE$10:$AF$47,2,FALSE),"")</f>
        <v/>
      </c>
      <c r="K58" s="77" t="str">
        <f>_xlfn.IFNA(VLOOKUP(RIGHT('paste report'!F58,6),$AE$10:$AF$47,2,FALSE),"")</f>
        <v/>
      </c>
      <c r="L58" s="72">
        <f t="shared" si="2"/>
        <v>0</v>
      </c>
      <c r="M58" s="75" t="str">
        <f>_xlfn.IFNA(VLOOKUP(LEFT('paste report'!G58,6),$AE$10:$AF$47,2,FALSE),"")</f>
        <v/>
      </c>
      <c r="N58" s="77" t="str">
        <f>_xlfn.IFNA(VLOOKUP(RIGHT('paste report'!G58,6),$AE$10:$AF$47,2,FALSE),"")</f>
        <v/>
      </c>
      <c r="O58" s="72">
        <f t="shared" si="3"/>
        <v>0</v>
      </c>
      <c r="P58" s="75" t="str">
        <f>_xlfn.IFNA(VLOOKUP(LEFT('paste report'!H58,6),$AE$10:$AF$47,2,FALSE),"")</f>
        <v/>
      </c>
      <c r="Q58" s="77" t="str">
        <f>_xlfn.IFNA(VLOOKUP(RIGHT('paste report'!H58,6),$AE$10:$AF$47,2,FALSE),"")</f>
        <v/>
      </c>
      <c r="R58" s="72">
        <f t="shared" si="4"/>
        <v>0</v>
      </c>
      <c r="S58" s="75" t="str">
        <f>_xlfn.IFNA(VLOOKUP(LEFT('paste report'!I58,6),$AE$10:$AF$47,2,FALSE),"")</f>
        <v/>
      </c>
      <c r="T58" s="77" t="str">
        <f>_xlfn.IFNA(VLOOKUP(RIGHT('paste report'!I58,6),$AE$10:$AF$47,2,FALSE),"")</f>
        <v/>
      </c>
      <c r="U58" s="72">
        <f t="shared" si="5"/>
        <v>0</v>
      </c>
      <c r="V58" s="75" t="str">
        <f>_xlfn.IFNA(VLOOKUP(LEFT('paste report'!J58,6),$AE$10:$AF$47,2,FALSE),"")</f>
        <v/>
      </c>
      <c r="W58" s="77" t="str">
        <f>_xlfn.IFNA(VLOOKUP(RIGHT('paste report'!J58,6),$AE$10:$AF$47,2,FALSE),"")</f>
        <v/>
      </c>
      <c r="X58" s="72">
        <f t="shared" si="6"/>
        <v>0</v>
      </c>
      <c r="Y58" s="75" t="str">
        <f>_xlfn.IFNA(VLOOKUP(LEFT('paste report'!K58,6),$AE$10:$AF$47,2,FALSE),"")</f>
        <v/>
      </c>
      <c r="Z58" s="77" t="str">
        <f>_xlfn.IFNA(VLOOKUP(RIGHT('paste report'!K58,6),$AE$10:$AF$47,2,FALSE),"")</f>
        <v/>
      </c>
      <c r="AA58" s="72">
        <f t="shared" si="7"/>
        <v>0</v>
      </c>
    </row>
    <row r="59" spans="2:27">
      <c r="B59" s="66" t="str">
        <f>'paste report'!A59</f>
        <v>1062</v>
      </c>
      <c r="C59" s="66" t="str">
        <f>'paste report'!B59</f>
        <v>Tomoko</v>
      </c>
      <c r="D59" s="67" t="str">
        <f>'paste report'!C59</f>
        <v>Shimada</v>
      </c>
      <c r="E59" s="68" t="str">
        <f>VLOOKUP(B59,Team!$B$4:$F$183,5,FALSE)</f>
        <v>CAS</v>
      </c>
      <c r="F59" s="69">
        <f t="shared" si="0"/>
        <v>23.999999999999975</v>
      </c>
      <c r="G59" s="75">
        <f>_xlfn.IFNA(VLOOKUP(LEFT('paste report'!E59,6),$AE$10:$AF$47,2,FALSE),"")</f>
        <v>0.35416666666666602</v>
      </c>
      <c r="H59" s="76">
        <f>_xlfn.IFNA(VLOOKUP(RIGHT('paste report'!E59,6),$AE$10:$AF$47,2,FALSE),"")</f>
        <v>0.687499999999999</v>
      </c>
      <c r="I59" s="72">
        <f t="shared" si="1"/>
        <v>7.9999999999999911</v>
      </c>
      <c r="J59" s="75" t="str">
        <f>_xlfn.IFNA(VLOOKUP(LEFT('paste report'!F59,6),$AE$10:$AF$47,2,FALSE),"")</f>
        <v/>
      </c>
      <c r="K59" s="77" t="str">
        <f>_xlfn.IFNA(VLOOKUP(RIGHT('paste report'!F59,6),$AE$10:$AF$47,2,FALSE),"")</f>
        <v/>
      </c>
      <c r="L59" s="72">
        <f t="shared" si="2"/>
        <v>0</v>
      </c>
      <c r="M59" s="75" t="str">
        <f>_xlfn.IFNA(VLOOKUP(LEFT('paste report'!G59,6),$AE$10:$AF$47,2,FALSE),"")</f>
        <v/>
      </c>
      <c r="N59" s="77" t="str">
        <f>_xlfn.IFNA(VLOOKUP(RIGHT('paste report'!G59,6),$AE$10:$AF$47,2,FALSE),"")</f>
        <v/>
      </c>
      <c r="O59" s="72">
        <f t="shared" si="3"/>
        <v>0</v>
      </c>
      <c r="P59" s="75" t="str">
        <f>_xlfn.IFNA(VLOOKUP(LEFT('paste report'!H59,6),$AE$10:$AF$47,2,FALSE),"")</f>
        <v/>
      </c>
      <c r="Q59" s="77" t="str">
        <f>_xlfn.IFNA(VLOOKUP(RIGHT('paste report'!H59,6),$AE$10:$AF$47,2,FALSE),"")</f>
        <v/>
      </c>
      <c r="R59" s="72">
        <f t="shared" si="4"/>
        <v>0</v>
      </c>
      <c r="S59" s="75">
        <f>_xlfn.IFNA(VLOOKUP(LEFT('paste report'!I59,6),$AE$10:$AF$47,2,FALSE),"")</f>
        <v>0.35416666666666602</v>
      </c>
      <c r="T59" s="77">
        <f>_xlfn.IFNA(VLOOKUP(RIGHT('paste report'!I59,6),$AE$10:$AF$47,2,FALSE),"")</f>
        <v>0.687499999999999</v>
      </c>
      <c r="U59" s="72">
        <f t="shared" si="5"/>
        <v>7.9999999999999911</v>
      </c>
      <c r="V59" s="75">
        <f>_xlfn.IFNA(VLOOKUP(LEFT('paste report'!J59,6),$AE$10:$AF$47,2,FALSE),"")</f>
        <v>0.499999999999999</v>
      </c>
      <c r="W59" s="77">
        <f>_xlfn.IFNA(VLOOKUP(RIGHT('paste report'!J59,6),$AE$10:$AF$47,2,FALSE),"")</f>
        <v>0.83333333333333204</v>
      </c>
      <c r="X59" s="72">
        <f t="shared" si="6"/>
        <v>7.9999999999999929</v>
      </c>
      <c r="Y59" s="75" t="str">
        <f>_xlfn.IFNA(VLOOKUP(LEFT('paste report'!K59,6),$AE$10:$AF$47,2,FALSE),"")</f>
        <v/>
      </c>
      <c r="Z59" s="77" t="str">
        <f>_xlfn.IFNA(VLOOKUP(RIGHT('paste report'!K59,6),$AE$10:$AF$47,2,FALSE),"")</f>
        <v/>
      </c>
      <c r="AA59" s="72">
        <f t="shared" si="7"/>
        <v>0</v>
      </c>
    </row>
    <row r="60" spans="2:27">
      <c r="B60" s="66" t="str">
        <f>'paste report'!A60</f>
        <v>1149</v>
      </c>
      <c r="C60" s="66" t="str">
        <f>'paste report'!B60</f>
        <v>Vera</v>
      </c>
      <c r="D60" s="67" t="str">
        <f>'paste report'!C60</f>
        <v>Kim</v>
      </c>
      <c r="E60" s="68" t="str">
        <f>VLOOKUP(B60,Team!$B$4:$F$183,5,FALSE)</f>
        <v>CAS</v>
      </c>
      <c r="F60" s="69">
        <f t="shared" si="0"/>
        <v>0</v>
      </c>
      <c r="G60" s="75" t="str">
        <f>_xlfn.IFNA(VLOOKUP(LEFT('paste report'!E60,6),$AE$10:$AF$47,2,FALSE),"")</f>
        <v/>
      </c>
      <c r="H60" s="76" t="str">
        <f>_xlfn.IFNA(VLOOKUP(RIGHT('paste report'!E60,6),$AE$10:$AF$47,2,FALSE),"")</f>
        <v/>
      </c>
      <c r="I60" s="72">
        <f t="shared" si="1"/>
        <v>0</v>
      </c>
      <c r="J60" s="75" t="str">
        <f>_xlfn.IFNA(VLOOKUP(LEFT('paste report'!F60,6),$AE$10:$AF$47,2,FALSE),"")</f>
        <v/>
      </c>
      <c r="K60" s="77" t="str">
        <f>_xlfn.IFNA(VLOOKUP(RIGHT('paste report'!F60,6),$AE$10:$AF$47,2,FALSE),"")</f>
        <v/>
      </c>
      <c r="L60" s="72">
        <f t="shared" si="2"/>
        <v>0</v>
      </c>
      <c r="M60" s="75" t="str">
        <f>_xlfn.IFNA(VLOOKUP(LEFT('paste report'!G60,6),$AE$10:$AF$47,2,FALSE),"")</f>
        <v/>
      </c>
      <c r="N60" s="77" t="str">
        <f>_xlfn.IFNA(VLOOKUP(RIGHT('paste report'!G60,6),$AE$10:$AF$47,2,FALSE),"")</f>
        <v/>
      </c>
      <c r="O60" s="72">
        <f t="shared" si="3"/>
        <v>0</v>
      </c>
      <c r="P60" s="75" t="str">
        <f>_xlfn.IFNA(VLOOKUP(LEFT('paste report'!H60,6),$AE$10:$AF$47,2,FALSE),"")</f>
        <v/>
      </c>
      <c r="Q60" s="77" t="str">
        <f>_xlfn.IFNA(VLOOKUP(RIGHT('paste report'!H60,6),$AE$10:$AF$47,2,FALSE),"")</f>
        <v/>
      </c>
      <c r="R60" s="72">
        <f t="shared" si="4"/>
        <v>0</v>
      </c>
      <c r="S60" s="75" t="str">
        <f>_xlfn.IFNA(VLOOKUP(LEFT('paste report'!I60,6),$AE$10:$AF$47,2,FALSE),"")</f>
        <v/>
      </c>
      <c r="T60" s="77" t="str">
        <f>_xlfn.IFNA(VLOOKUP(RIGHT('paste report'!I60,6),$AE$10:$AF$47,2,FALSE),"")</f>
        <v/>
      </c>
      <c r="U60" s="72">
        <f t="shared" si="5"/>
        <v>0</v>
      </c>
      <c r="V60" s="75" t="str">
        <f>_xlfn.IFNA(VLOOKUP(LEFT('paste report'!J60,6),$AE$10:$AF$47,2,FALSE),"")</f>
        <v/>
      </c>
      <c r="W60" s="77" t="str">
        <f>_xlfn.IFNA(VLOOKUP(RIGHT('paste report'!J60,6),$AE$10:$AF$47,2,FALSE),"")</f>
        <v/>
      </c>
      <c r="X60" s="72">
        <f t="shared" si="6"/>
        <v>0</v>
      </c>
      <c r="Y60" s="75" t="str">
        <f>_xlfn.IFNA(VLOOKUP(LEFT('paste report'!K60,6),$AE$10:$AF$47,2,FALSE),"")</f>
        <v/>
      </c>
      <c r="Z60" s="77" t="str">
        <f>_xlfn.IFNA(VLOOKUP(RIGHT('paste report'!K60,6),$AE$10:$AF$47,2,FALSE),"")</f>
        <v/>
      </c>
      <c r="AA60" s="72">
        <f t="shared" si="7"/>
        <v>0</v>
      </c>
    </row>
    <row r="61" spans="2:27">
      <c r="B61" s="66" t="str">
        <f>'paste report'!A61</f>
        <v>1160</v>
      </c>
      <c r="C61" s="66" t="str">
        <f>'paste report'!B61</f>
        <v>Yura</v>
      </c>
      <c r="D61" s="67" t="str">
        <f>'paste report'!C61</f>
        <v>Sin</v>
      </c>
      <c r="E61" s="68" t="str">
        <f>VLOOKUP(B61,Team!$B$4:$F$183,5,FALSE)</f>
        <v>FT</v>
      </c>
      <c r="F61" s="69">
        <f t="shared" si="0"/>
        <v>40.499999999999979</v>
      </c>
      <c r="G61" s="75">
        <f>_xlfn.IFNA(VLOOKUP(LEFT('paste report'!E61,6),$AE$10:$AF$47,2,FALSE),"")</f>
        <v>0.35416666666666602</v>
      </c>
      <c r="H61" s="76">
        <f>_xlfn.IFNA(VLOOKUP(RIGHT('paste report'!E61,6),$AE$10:$AF$47,2,FALSE),"")</f>
        <v>0.70833333333333304</v>
      </c>
      <c r="I61" s="72">
        <f t="shared" si="1"/>
        <v>8.5000000000000089</v>
      </c>
      <c r="J61" s="75">
        <f>_xlfn.IFNA(VLOOKUP(LEFT('paste report'!F61,6),$AE$10:$AF$47,2,FALSE),"")</f>
        <v>0.35416666666666602</v>
      </c>
      <c r="K61" s="77">
        <f>_xlfn.IFNA(VLOOKUP(RIGHT('paste report'!F61,6),$AE$10:$AF$47,2,FALSE),"")</f>
        <v>0.687499999999999</v>
      </c>
      <c r="L61" s="72">
        <f t="shared" si="2"/>
        <v>7.9999999999999911</v>
      </c>
      <c r="M61" s="75">
        <f>_xlfn.IFNA(VLOOKUP(LEFT('paste report'!G61,6),$AE$10:$AF$47,2,FALSE),"")</f>
        <v>0.35416666666666602</v>
      </c>
      <c r="N61" s="77">
        <f>_xlfn.IFNA(VLOOKUP(RIGHT('paste report'!G61,6),$AE$10:$AF$47,2,FALSE),"")</f>
        <v>0.687499999999999</v>
      </c>
      <c r="O61" s="72">
        <f t="shared" si="3"/>
        <v>7.9999999999999911</v>
      </c>
      <c r="P61" s="75">
        <f>_xlfn.IFNA(VLOOKUP(LEFT('paste report'!H61,6),$AE$10:$AF$47,2,FALSE),"")</f>
        <v>0.35416666666666602</v>
      </c>
      <c r="Q61" s="77">
        <f>_xlfn.IFNA(VLOOKUP(RIGHT('paste report'!H61,6),$AE$10:$AF$47,2,FALSE),"")</f>
        <v>0.687499999999999</v>
      </c>
      <c r="R61" s="72">
        <f t="shared" si="4"/>
        <v>7.9999999999999911</v>
      </c>
      <c r="S61" s="75">
        <f>_xlfn.IFNA(VLOOKUP(LEFT('paste report'!I61,6),$AE$10:$AF$47,2,FALSE),"")</f>
        <v>0.35416666666666602</v>
      </c>
      <c r="T61" s="77">
        <f>_xlfn.IFNA(VLOOKUP(RIGHT('paste report'!I61,6),$AE$10:$AF$47,2,FALSE),"")</f>
        <v>0.687499999999999</v>
      </c>
      <c r="U61" s="72">
        <f t="shared" si="5"/>
        <v>7.9999999999999911</v>
      </c>
      <c r="V61" s="75" t="str">
        <f>_xlfn.IFNA(VLOOKUP(LEFT('paste report'!J61,6),$AE$10:$AF$47,2,FALSE),"")</f>
        <v/>
      </c>
      <c r="W61" s="77" t="str">
        <f>_xlfn.IFNA(VLOOKUP(RIGHT('paste report'!J61,6),$AE$10:$AF$47,2,FALSE),"")</f>
        <v/>
      </c>
      <c r="X61" s="72">
        <f t="shared" si="6"/>
        <v>0</v>
      </c>
      <c r="Y61" s="75" t="str">
        <f>_xlfn.IFNA(VLOOKUP(LEFT('paste report'!K61,6),$AE$10:$AF$47,2,FALSE),"")</f>
        <v/>
      </c>
      <c r="Z61" s="77" t="str">
        <f>_xlfn.IFNA(VLOOKUP(RIGHT('paste report'!K61,6),$AE$10:$AF$47,2,FALSE),"")</f>
        <v/>
      </c>
      <c r="AA61" s="72">
        <f t="shared" si="7"/>
        <v>0</v>
      </c>
    </row>
    <row r="62" spans="2:27">
      <c r="B62" s="66">
        <f>'paste report'!A62</f>
        <v>0</v>
      </c>
      <c r="C62" s="66">
        <f>'paste report'!B62</f>
        <v>0</v>
      </c>
      <c r="D62" s="67">
        <f>'paste report'!C62</f>
        <v>0</v>
      </c>
      <c r="E62" s="68" t="e">
        <f>VLOOKUP(B62,Team!$B$4:$F$183,5,FALSE)</f>
        <v>#N/A</v>
      </c>
      <c r="F62" s="69">
        <f t="shared" si="0"/>
        <v>0</v>
      </c>
      <c r="G62" s="75" t="str">
        <f>_xlfn.IFNA(VLOOKUP(LEFT('paste report'!E62,6),$AE$10:$AF$47,2,FALSE),"")</f>
        <v/>
      </c>
      <c r="H62" s="76" t="str">
        <f>_xlfn.IFNA(VLOOKUP(RIGHT('paste report'!E62,6),$AE$10:$AF$47,2,FALSE),"")</f>
        <v/>
      </c>
      <c r="I62" s="72">
        <f t="shared" si="1"/>
        <v>0</v>
      </c>
      <c r="J62" s="75" t="str">
        <f>_xlfn.IFNA(VLOOKUP(LEFT('paste report'!F62,6),$AE$10:$AF$47,2,FALSE),"")</f>
        <v/>
      </c>
      <c r="K62" s="77" t="str">
        <f>_xlfn.IFNA(VLOOKUP(RIGHT('paste report'!F62,6),$AE$10:$AF$47,2,FALSE),"")</f>
        <v/>
      </c>
      <c r="L62" s="72">
        <f t="shared" si="2"/>
        <v>0</v>
      </c>
      <c r="M62" s="75" t="str">
        <f>_xlfn.IFNA(VLOOKUP(LEFT('paste report'!G62,6),$AE$10:$AF$47,2,FALSE),"")</f>
        <v/>
      </c>
      <c r="N62" s="77" t="str">
        <f>_xlfn.IFNA(VLOOKUP(RIGHT('paste report'!G62,6),$AE$10:$AF$47,2,FALSE),"")</f>
        <v/>
      </c>
      <c r="O62" s="72">
        <f t="shared" si="3"/>
        <v>0</v>
      </c>
      <c r="P62" s="75" t="str">
        <f>_xlfn.IFNA(VLOOKUP(LEFT('paste report'!H62,6),$AE$10:$AF$47,2,FALSE),"")</f>
        <v/>
      </c>
      <c r="Q62" s="77" t="str">
        <f>_xlfn.IFNA(VLOOKUP(RIGHT('paste report'!H62,6),$AE$10:$AF$47,2,FALSE),"")</f>
        <v/>
      </c>
      <c r="R62" s="72">
        <f t="shared" si="4"/>
        <v>0</v>
      </c>
      <c r="S62" s="75" t="str">
        <f>_xlfn.IFNA(VLOOKUP(LEFT('paste report'!I62,6),$AE$10:$AF$47,2,FALSE),"")</f>
        <v/>
      </c>
      <c r="T62" s="77" t="str">
        <f>_xlfn.IFNA(VLOOKUP(RIGHT('paste report'!I62,6),$AE$10:$AF$47,2,FALSE),"")</f>
        <v/>
      </c>
      <c r="U62" s="72">
        <f t="shared" si="5"/>
        <v>0</v>
      </c>
      <c r="V62" s="75" t="str">
        <f>_xlfn.IFNA(VLOOKUP(LEFT('paste report'!J62,6),$AE$10:$AF$47,2,FALSE),"")</f>
        <v/>
      </c>
      <c r="W62" s="77" t="str">
        <f>_xlfn.IFNA(VLOOKUP(RIGHT('paste report'!J62,6),$AE$10:$AF$47,2,FALSE),"")</f>
        <v/>
      </c>
      <c r="X62" s="72">
        <f t="shared" si="6"/>
        <v>0</v>
      </c>
      <c r="Y62" s="75" t="str">
        <f>_xlfn.IFNA(VLOOKUP(LEFT('paste report'!K62,6),$AE$10:$AF$47,2,FALSE),"")</f>
        <v/>
      </c>
      <c r="Z62" s="77" t="str">
        <f>_xlfn.IFNA(VLOOKUP(RIGHT('paste report'!K62,6),$AE$10:$AF$47,2,FALSE),"")</f>
        <v/>
      </c>
      <c r="AA62" s="72">
        <f t="shared" si="7"/>
        <v>0</v>
      </c>
    </row>
    <row r="63" spans="2:27">
      <c r="B63" s="66">
        <f>'paste report'!A63</f>
        <v>0</v>
      </c>
      <c r="C63" s="66">
        <f>'paste report'!B63</f>
        <v>0</v>
      </c>
      <c r="D63" s="67">
        <f>'paste report'!C63</f>
        <v>0</v>
      </c>
      <c r="E63" s="68" t="e">
        <f>VLOOKUP(B63,Team!$B$4:$F$183,5,FALSE)</f>
        <v>#N/A</v>
      </c>
      <c r="F63" s="69">
        <f t="shared" si="0"/>
        <v>0</v>
      </c>
      <c r="G63" s="75" t="str">
        <f>_xlfn.IFNA(VLOOKUP(LEFT('paste report'!E63,6),$AE$10:$AF$47,2,FALSE),"")</f>
        <v/>
      </c>
      <c r="H63" s="76" t="str">
        <f>_xlfn.IFNA(VLOOKUP(RIGHT('paste report'!E63,6),$AE$10:$AF$47,2,FALSE),"")</f>
        <v/>
      </c>
      <c r="I63" s="72">
        <f t="shared" si="1"/>
        <v>0</v>
      </c>
      <c r="J63" s="75" t="str">
        <f>_xlfn.IFNA(VLOOKUP(LEFT('paste report'!F63,6),$AE$10:$AF$47,2,FALSE),"")</f>
        <v/>
      </c>
      <c r="K63" s="77" t="str">
        <f>_xlfn.IFNA(VLOOKUP(RIGHT('paste report'!F63,6),$AE$10:$AF$47,2,FALSE),"")</f>
        <v/>
      </c>
      <c r="L63" s="72">
        <f t="shared" si="2"/>
        <v>0</v>
      </c>
      <c r="M63" s="75" t="str">
        <f>_xlfn.IFNA(VLOOKUP(LEFT('paste report'!G63,6),$AE$10:$AF$47,2,FALSE),"")</f>
        <v/>
      </c>
      <c r="N63" s="77" t="str">
        <f>_xlfn.IFNA(VLOOKUP(RIGHT('paste report'!G63,6),$AE$10:$AF$47,2,FALSE),"")</f>
        <v/>
      </c>
      <c r="O63" s="72">
        <f t="shared" si="3"/>
        <v>0</v>
      </c>
      <c r="P63" s="75" t="str">
        <f>_xlfn.IFNA(VLOOKUP(LEFT('paste report'!H63,6),$AE$10:$AF$47,2,FALSE),"")</f>
        <v/>
      </c>
      <c r="Q63" s="77" t="str">
        <f>_xlfn.IFNA(VLOOKUP(RIGHT('paste report'!H63,6),$AE$10:$AF$47,2,FALSE),"")</f>
        <v/>
      </c>
      <c r="R63" s="72">
        <f t="shared" si="4"/>
        <v>0</v>
      </c>
      <c r="S63" s="75" t="str">
        <f>_xlfn.IFNA(VLOOKUP(LEFT('paste report'!I63,6),$AE$10:$AF$47,2,FALSE),"")</f>
        <v/>
      </c>
      <c r="T63" s="77" t="str">
        <f>_xlfn.IFNA(VLOOKUP(RIGHT('paste report'!I63,6),$AE$10:$AF$47,2,FALSE),"")</f>
        <v/>
      </c>
      <c r="U63" s="72">
        <f t="shared" si="5"/>
        <v>0</v>
      </c>
      <c r="V63" s="75" t="str">
        <f>_xlfn.IFNA(VLOOKUP(LEFT('paste report'!J63,6),$AE$10:$AF$47,2,FALSE),"")</f>
        <v/>
      </c>
      <c r="W63" s="77" t="str">
        <f>_xlfn.IFNA(VLOOKUP(RIGHT('paste report'!J63,6),$AE$10:$AF$47,2,FALSE),"")</f>
        <v/>
      </c>
      <c r="X63" s="72">
        <f t="shared" si="6"/>
        <v>0</v>
      </c>
      <c r="Y63" s="75" t="str">
        <f>_xlfn.IFNA(VLOOKUP(LEFT('paste report'!K63,6),$AE$10:$AF$47,2,FALSE),"")</f>
        <v/>
      </c>
      <c r="Z63" s="77" t="str">
        <f>_xlfn.IFNA(VLOOKUP(RIGHT('paste report'!K63,6),$AE$10:$AF$47,2,FALSE),"")</f>
        <v/>
      </c>
      <c r="AA63" s="72">
        <f t="shared" si="7"/>
        <v>0</v>
      </c>
    </row>
    <row r="64" spans="2:27">
      <c r="B64" s="66">
        <f>'paste report'!A64</f>
        <v>0</v>
      </c>
      <c r="C64" s="66">
        <f>'paste report'!B64</f>
        <v>0</v>
      </c>
      <c r="D64" s="67">
        <f>'paste report'!C64</f>
        <v>0</v>
      </c>
      <c r="E64" s="68" t="e">
        <f>VLOOKUP(B64,Team!$B$4:$F$183,5,FALSE)</f>
        <v>#N/A</v>
      </c>
      <c r="F64" s="69">
        <f t="shared" si="0"/>
        <v>0</v>
      </c>
      <c r="G64" s="75" t="str">
        <f>_xlfn.IFNA(VLOOKUP(LEFT('paste report'!E64,6),$AE$10:$AF$47,2,FALSE),"")</f>
        <v/>
      </c>
      <c r="H64" s="76" t="str">
        <f>_xlfn.IFNA(VLOOKUP(RIGHT('paste report'!E64,6),$AE$10:$AF$47,2,FALSE),"")</f>
        <v/>
      </c>
      <c r="I64" s="72">
        <f t="shared" si="1"/>
        <v>0</v>
      </c>
      <c r="J64" s="75" t="str">
        <f>_xlfn.IFNA(VLOOKUP(LEFT('paste report'!F64,6),$AE$10:$AF$47,2,FALSE),"")</f>
        <v/>
      </c>
      <c r="K64" s="77" t="str">
        <f>_xlfn.IFNA(VLOOKUP(RIGHT('paste report'!F64,6),$AE$10:$AF$47,2,FALSE),"")</f>
        <v/>
      </c>
      <c r="L64" s="72">
        <f t="shared" si="2"/>
        <v>0</v>
      </c>
      <c r="M64" s="75" t="str">
        <f>_xlfn.IFNA(VLOOKUP(LEFT('paste report'!G64,6),$AE$10:$AF$47,2,FALSE),"")</f>
        <v/>
      </c>
      <c r="N64" s="77" t="str">
        <f>_xlfn.IFNA(VLOOKUP(RIGHT('paste report'!G64,6),$AE$10:$AF$47,2,FALSE),"")</f>
        <v/>
      </c>
      <c r="O64" s="72">
        <f t="shared" si="3"/>
        <v>0</v>
      </c>
      <c r="P64" s="75" t="str">
        <f>_xlfn.IFNA(VLOOKUP(LEFT('paste report'!H64,6),$AE$10:$AF$47,2,FALSE),"")</f>
        <v/>
      </c>
      <c r="Q64" s="77" t="str">
        <f>_xlfn.IFNA(VLOOKUP(RIGHT('paste report'!H64,6),$AE$10:$AF$47,2,FALSE),"")</f>
        <v/>
      </c>
      <c r="R64" s="72">
        <f t="shared" si="4"/>
        <v>0</v>
      </c>
      <c r="S64" s="75" t="str">
        <f>_xlfn.IFNA(VLOOKUP(LEFT('paste report'!I64,6),$AE$10:$AF$47,2,FALSE),"")</f>
        <v/>
      </c>
      <c r="T64" s="77" t="str">
        <f>_xlfn.IFNA(VLOOKUP(RIGHT('paste report'!I64,6),$AE$10:$AF$47,2,FALSE),"")</f>
        <v/>
      </c>
      <c r="U64" s="72">
        <f t="shared" si="5"/>
        <v>0</v>
      </c>
      <c r="V64" s="75" t="str">
        <f>_xlfn.IFNA(VLOOKUP(LEFT('paste report'!J64,6),$AE$10:$AF$47,2,FALSE),"")</f>
        <v/>
      </c>
      <c r="W64" s="77" t="str">
        <f>_xlfn.IFNA(VLOOKUP(RIGHT('paste report'!J64,6),$AE$10:$AF$47,2,FALSE),"")</f>
        <v/>
      </c>
      <c r="X64" s="72">
        <f t="shared" si="6"/>
        <v>0</v>
      </c>
      <c r="Y64" s="75" t="str">
        <f>_xlfn.IFNA(VLOOKUP(LEFT('paste report'!K64,6),$AE$10:$AF$47,2,FALSE),"")</f>
        <v/>
      </c>
      <c r="Z64" s="77" t="str">
        <f>_xlfn.IFNA(VLOOKUP(RIGHT('paste report'!K64,6),$AE$10:$AF$47,2,FALSE),"")</f>
        <v/>
      </c>
      <c r="AA64" s="72">
        <f t="shared" si="7"/>
        <v>0</v>
      </c>
    </row>
    <row r="65" spans="2:27">
      <c r="B65" s="66">
        <f>'paste report'!A65</f>
        <v>0</v>
      </c>
      <c r="C65" s="66">
        <f>'paste report'!B65</f>
        <v>0</v>
      </c>
      <c r="D65" s="67">
        <f>'paste report'!C65</f>
        <v>0</v>
      </c>
      <c r="E65" s="68" t="e">
        <f>VLOOKUP(B65,Team!$B$4:$F$183,5,FALSE)</f>
        <v>#N/A</v>
      </c>
      <c r="F65" s="69">
        <f t="shared" si="0"/>
        <v>0</v>
      </c>
      <c r="G65" s="75" t="str">
        <f>_xlfn.IFNA(VLOOKUP(LEFT('paste report'!E65,6),$AE$10:$AF$47,2,FALSE),"")</f>
        <v/>
      </c>
      <c r="H65" s="76" t="str">
        <f>_xlfn.IFNA(VLOOKUP(RIGHT('paste report'!E65,6),$AE$10:$AF$47,2,FALSE),"")</f>
        <v/>
      </c>
      <c r="I65" s="72">
        <f t="shared" si="1"/>
        <v>0</v>
      </c>
      <c r="J65" s="75" t="str">
        <f>_xlfn.IFNA(VLOOKUP(LEFT('paste report'!F65,6),$AE$10:$AF$47,2,FALSE),"")</f>
        <v/>
      </c>
      <c r="K65" s="77" t="str">
        <f>_xlfn.IFNA(VLOOKUP(RIGHT('paste report'!F65,6),$AE$10:$AF$47,2,FALSE),"")</f>
        <v/>
      </c>
      <c r="L65" s="72">
        <f t="shared" si="2"/>
        <v>0</v>
      </c>
      <c r="M65" s="75" t="str">
        <f>_xlfn.IFNA(VLOOKUP(LEFT('paste report'!G65,6),$AE$10:$AF$47,2,FALSE),"")</f>
        <v/>
      </c>
      <c r="N65" s="77" t="str">
        <f>_xlfn.IFNA(VLOOKUP(RIGHT('paste report'!G65,6),$AE$10:$AF$47,2,FALSE),"")</f>
        <v/>
      </c>
      <c r="O65" s="72">
        <f t="shared" si="3"/>
        <v>0</v>
      </c>
      <c r="P65" s="75" t="str">
        <f>_xlfn.IFNA(VLOOKUP(LEFT('paste report'!H65,6),$AE$10:$AF$47,2,FALSE),"")</f>
        <v/>
      </c>
      <c r="Q65" s="77" t="str">
        <f>_xlfn.IFNA(VLOOKUP(RIGHT('paste report'!H65,6),$AE$10:$AF$47,2,FALSE),"")</f>
        <v/>
      </c>
      <c r="R65" s="72">
        <f t="shared" si="4"/>
        <v>0</v>
      </c>
      <c r="S65" s="75" t="str">
        <f>_xlfn.IFNA(VLOOKUP(LEFT('paste report'!I65,6),$AE$10:$AF$47,2,FALSE),"")</f>
        <v/>
      </c>
      <c r="T65" s="77" t="str">
        <f>_xlfn.IFNA(VLOOKUP(RIGHT('paste report'!I65,6),$AE$10:$AF$47,2,FALSE),"")</f>
        <v/>
      </c>
      <c r="U65" s="72">
        <f t="shared" si="5"/>
        <v>0</v>
      </c>
      <c r="V65" s="75" t="str">
        <f>_xlfn.IFNA(VLOOKUP(LEFT('paste report'!J65,6),$AE$10:$AF$47,2,FALSE),"")</f>
        <v/>
      </c>
      <c r="W65" s="77" t="str">
        <f>_xlfn.IFNA(VLOOKUP(RIGHT('paste report'!J65,6),$AE$10:$AF$47,2,FALSE),"")</f>
        <v/>
      </c>
      <c r="X65" s="72">
        <f t="shared" si="6"/>
        <v>0</v>
      </c>
      <c r="Y65" s="75" t="str">
        <f>_xlfn.IFNA(VLOOKUP(LEFT('paste report'!K65,6),$AE$10:$AF$47,2,FALSE),"")</f>
        <v/>
      </c>
      <c r="Z65" s="77" t="str">
        <f>_xlfn.IFNA(VLOOKUP(RIGHT('paste report'!K65,6),$AE$10:$AF$47,2,FALSE),"")</f>
        <v/>
      </c>
      <c r="AA65" s="72">
        <f t="shared" si="7"/>
        <v>0</v>
      </c>
    </row>
    <row r="66" spans="2:27">
      <c r="B66" s="66">
        <f>'paste report'!A66</f>
        <v>0</v>
      </c>
      <c r="C66" s="66">
        <f>'paste report'!B66</f>
        <v>0</v>
      </c>
      <c r="D66" s="67">
        <f>'paste report'!C66</f>
        <v>0</v>
      </c>
      <c r="E66" s="68" t="e">
        <f>VLOOKUP(B66,Team!$B$4:$F$183,5,FALSE)</f>
        <v>#N/A</v>
      </c>
      <c r="F66" s="69">
        <f t="shared" si="0"/>
        <v>0</v>
      </c>
      <c r="G66" s="75" t="str">
        <f>_xlfn.IFNA(VLOOKUP(LEFT('paste report'!E66,6),$AE$10:$AF$47,2,FALSE),"")</f>
        <v/>
      </c>
      <c r="H66" s="76" t="str">
        <f>_xlfn.IFNA(VLOOKUP(RIGHT('paste report'!E66,6),$AE$10:$AF$47,2,FALSE),"")</f>
        <v/>
      </c>
      <c r="I66" s="72">
        <f t="shared" si="1"/>
        <v>0</v>
      </c>
      <c r="J66" s="75" t="str">
        <f>_xlfn.IFNA(VLOOKUP(LEFT('paste report'!F66,6),$AE$10:$AF$47,2,FALSE),"")</f>
        <v/>
      </c>
      <c r="K66" s="77" t="str">
        <f>_xlfn.IFNA(VLOOKUP(RIGHT('paste report'!F66,6),$AE$10:$AF$47,2,FALSE),"")</f>
        <v/>
      </c>
      <c r="L66" s="72">
        <f t="shared" si="2"/>
        <v>0</v>
      </c>
      <c r="M66" s="75" t="str">
        <f>_xlfn.IFNA(VLOOKUP(LEFT('paste report'!G66,6),$AE$10:$AF$47,2,FALSE),"")</f>
        <v/>
      </c>
      <c r="N66" s="77" t="str">
        <f>_xlfn.IFNA(VLOOKUP(RIGHT('paste report'!G66,6),$AE$10:$AF$47,2,FALSE),"")</f>
        <v/>
      </c>
      <c r="O66" s="72">
        <f t="shared" si="3"/>
        <v>0</v>
      </c>
      <c r="P66" s="75" t="str">
        <f>_xlfn.IFNA(VLOOKUP(LEFT('paste report'!H66,6),$AE$10:$AF$47,2,FALSE),"")</f>
        <v/>
      </c>
      <c r="Q66" s="77" t="str">
        <f>_xlfn.IFNA(VLOOKUP(RIGHT('paste report'!H66,6),$AE$10:$AF$47,2,FALSE),"")</f>
        <v/>
      </c>
      <c r="R66" s="72">
        <f t="shared" si="4"/>
        <v>0</v>
      </c>
      <c r="S66" s="75" t="str">
        <f>_xlfn.IFNA(VLOOKUP(LEFT('paste report'!I66,6),$AE$10:$AF$47,2,FALSE),"")</f>
        <v/>
      </c>
      <c r="T66" s="77" t="str">
        <f>_xlfn.IFNA(VLOOKUP(RIGHT('paste report'!I66,6),$AE$10:$AF$47,2,FALSE),"")</f>
        <v/>
      </c>
      <c r="U66" s="72">
        <f t="shared" si="5"/>
        <v>0</v>
      </c>
      <c r="V66" s="75" t="str">
        <f>_xlfn.IFNA(VLOOKUP(LEFT('paste report'!J66,6),$AE$10:$AF$47,2,FALSE),"")</f>
        <v/>
      </c>
      <c r="W66" s="77" t="str">
        <f>_xlfn.IFNA(VLOOKUP(RIGHT('paste report'!J66,6),$AE$10:$AF$47,2,FALSE),"")</f>
        <v/>
      </c>
      <c r="X66" s="72">
        <f t="shared" si="6"/>
        <v>0</v>
      </c>
      <c r="Y66" s="75" t="str">
        <f>_xlfn.IFNA(VLOOKUP(LEFT('paste report'!K66,6),$AE$10:$AF$47,2,FALSE),"")</f>
        <v/>
      </c>
      <c r="Z66" s="77" t="str">
        <f>_xlfn.IFNA(VLOOKUP(RIGHT('paste report'!K66,6),$AE$10:$AF$47,2,FALSE),"")</f>
        <v/>
      </c>
      <c r="AA66" s="72">
        <f t="shared" si="7"/>
        <v>0</v>
      </c>
    </row>
    <row r="67" spans="2:27">
      <c r="B67" s="66">
        <f>'paste report'!A67</f>
        <v>0</v>
      </c>
      <c r="C67" s="66">
        <f>'paste report'!B67</f>
        <v>0</v>
      </c>
      <c r="D67" s="67">
        <f>'paste report'!C67</f>
        <v>0</v>
      </c>
      <c r="E67" s="68" t="e">
        <f>VLOOKUP(B67,Team!$B$4:$F$183,5,FALSE)</f>
        <v>#N/A</v>
      </c>
      <c r="F67" s="69">
        <f t="shared" si="0"/>
        <v>0</v>
      </c>
      <c r="G67" s="75" t="str">
        <f>_xlfn.IFNA(VLOOKUP(LEFT('paste report'!E67,6),$AE$10:$AF$47,2,FALSE),"")</f>
        <v/>
      </c>
      <c r="H67" s="76" t="str">
        <f>_xlfn.IFNA(VLOOKUP(RIGHT('paste report'!E67,6),$AE$10:$AF$47,2,FALSE),"")</f>
        <v/>
      </c>
      <c r="I67" s="72">
        <f t="shared" si="1"/>
        <v>0</v>
      </c>
      <c r="J67" s="75" t="str">
        <f>_xlfn.IFNA(VLOOKUP(LEFT('paste report'!F67,6),$AE$10:$AF$47,2,FALSE),"")</f>
        <v/>
      </c>
      <c r="K67" s="77" t="str">
        <f>_xlfn.IFNA(VLOOKUP(RIGHT('paste report'!F67,6),$AE$10:$AF$47,2,FALSE),"")</f>
        <v/>
      </c>
      <c r="L67" s="72">
        <f t="shared" si="2"/>
        <v>0</v>
      </c>
      <c r="M67" s="75" t="str">
        <f>_xlfn.IFNA(VLOOKUP(LEFT('paste report'!G67,6),$AE$10:$AF$47,2,FALSE),"")</f>
        <v/>
      </c>
      <c r="N67" s="77" t="str">
        <f>_xlfn.IFNA(VLOOKUP(RIGHT('paste report'!G67,6),$AE$10:$AF$47,2,FALSE),"")</f>
        <v/>
      </c>
      <c r="O67" s="72">
        <f t="shared" si="3"/>
        <v>0</v>
      </c>
      <c r="P67" s="75" t="str">
        <f>_xlfn.IFNA(VLOOKUP(LEFT('paste report'!H67,6),$AE$10:$AF$47,2,FALSE),"")</f>
        <v/>
      </c>
      <c r="Q67" s="77" t="str">
        <f>_xlfn.IFNA(VLOOKUP(RIGHT('paste report'!H67,6),$AE$10:$AF$47,2,FALSE),"")</f>
        <v/>
      </c>
      <c r="R67" s="72">
        <f t="shared" si="4"/>
        <v>0</v>
      </c>
      <c r="S67" s="75" t="str">
        <f>_xlfn.IFNA(VLOOKUP(LEFT('paste report'!I67,6),$AE$10:$AF$47,2,FALSE),"")</f>
        <v/>
      </c>
      <c r="T67" s="77" t="str">
        <f>_xlfn.IFNA(VLOOKUP(RIGHT('paste report'!I67,6),$AE$10:$AF$47,2,FALSE),"")</f>
        <v/>
      </c>
      <c r="U67" s="72">
        <f t="shared" si="5"/>
        <v>0</v>
      </c>
      <c r="V67" s="75" t="str">
        <f>_xlfn.IFNA(VLOOKUP(LEFT('paste report'!J67,6),$AE$10:$AF$47,2,FALSE),"")</f>
        <v/>
      </c>
      <c r="W67" s="77" t="str">
        <f>_xlfn.IFNA(VLOOKUP(RIGHT('paste report'!J67,6),$AE$10:$AF$47,2,FALSE),"")</f>
        <v/>
      </c>
      <c r="X67" s="72">
        <f t="shared" si="6"/>
        <v>0</v>
      </c>
      <c r="Y67" s="75" t="str">
        <f>_xlfn.IFNA(VLOOKUP(LEFT('paste report'!K67,6),$AE$10:$AF$47,2,FALSE),"")</f>
        <v/>
      </c>
      <c r="Z67" s="77" t="str">
        <f>_xlfn.IFNA(VLOOKUP(RIGHT('paste report'!K67,6),$AE$10:$AF$47,2,FALSE),"")</f>
        <v/>
      </c>
      <c r="AA67" s="72">
        <f t="shared" si="7"/>
        <v>0</v>
      </c>
    </row>
    <row r="68" spans="2:27">
      <c r="B68" s="66">
        <f>'paste report'!A68</f>
        <v>0</v>
      </c>
      <c r="C68" s="66">
        <f>'paste report'!B68</f>
        <v>0</v>
      </c>
      <c r="D68" s="67">
        <f>'paste report'!C68</f>
        <v>0</v>
      </c>
      <c r="E68" s="68" t="e">
        <f>VLOOKUP(B68,Team!$B$4:$F$183,5,FALSE)</f>
        <v>#N/A</v>
      </c>
      <c r="F68" s="69">
        <f t="shared" si="0"/>
        <v>0</v>
      </c>
      <c r="G68" s="75" t="str">
        <f>_xlfn.IFNA(VLOOKUP(LEFT('paste report'!E68,6),$AE$10:$AF$47,2,FALSE),"")</f>
        <v/>
      </c>
      <c r="H68" s="76" t="str">
        <f>_xlfn.IFNA(VLOOKUP(RIGHT('paste report'!E68,6),$AE$10:$AF$47,2,FALSE),"")</f>
        <v/>
      </c>
      <c r="I68" s="72">
        <f t="shared" si="1"/>
        <v>0</v>
      </c>
      <c r="J68" s="75" t="str">
        <f>_xlfn.IFNA(VLOOKUP(LEFT('paste report'!F68,6),$AE$10:$AF$47,2,FALSE),"")</f>
        <v/>
      </c>
      <c r="K68" s="77" t="str">
        <f>_xlfn.IFNA(VLOOKUP(RIGHT('paste report'!F68,6),$AE$10:$AF$47,2,FALSE),"")</f>
        <v/>
      </c>
      <c r="L68" s="72">
        <f t="shared" si="2"/>
        <v>0</v>
      </c>
      <c r="M68" s="75" t="str">
        <f>_xlfn.IFNA(VLOOKUP(LEFT('paste report'!G68,6),$AE$10:$AF$47,2,FALSE),"")</f>
        <v/>
      </c>
      <c r="N68" s="77" t="str">
        <f>_xlfn.IFNA(VLOOKUP(RIGHT('paste report'!G68,6),$AE$10:$AF$47,2,FALSE),"")</f>
        <v/>
      </c>
      <c r="O68" s="72">
        <f t="shared" si="3"/>
        <v>0</v>
      </c>
      <c r="P68" s="75" t="str">
        <f>_xlfn.IFNA(VLOOKUP(LEFT('paste report'!H68,6),$AE$10:$AF$47,2,FALSE),"")</f>
        <v/>
      </c>
      <c r="Q68" s="77" t="str">
        <f>_xlfn.IFNA(VLOOKUP(RIGHT('paste report'!H68,6),$AE$10:$AF$47,2,FALSE),"")</f>
        <v/>
      </c>
      <c r="R68" s="72">
        <f t="shared" si="4"/>
        <v>0</v>
      </c>
      <c r="S68" s="75" t="str">
        <f>_xlfn.IFNA(VLOOKUP(LEFT('paste report'!I68,6),$AE$10:$AF$47,2,FALSE),"")</f>
        <v/>
      </c>
      <c r="T68" s="77" t="str">
        <f>_xlfn.IFNA(VLOOKUP(RIGHT('paste report'!I68,6),$AE$10:$AF$47,2,FALSE),"")</f>
        <v/>
      </c>
      <c r="U68" s="72">
        <f t="shared" si="5"/>
        <v>0</v>
      </c>
      <c r="V68" s="75" t="str">
        <f>_xlfn.IFNA(VLOOKUP(LEFT('paste report'!J68,6),$AE$10:$AF$47,2,FALSE),"")</f>
        <v/>
      </c>
      <c r="W68" s="77" t="str">
        <f>_xlfn.IFNA(VLOOKUP(RIGHT('paste report'!J68,6),$AE$10:$AF$47,2,FALSE),"")</f>
        <v/>
      </c>
      <c r="X68" s="72">
        <f t="shared" si="6"/>
        <v>0</v>
      </c>
      <c r="Y68" s="75" t="str">
        <f>_xlfn.IFNA(VLOOKUP(LEFT('paste report'!K68,6),$AE$10:$AF$47,2,FALSE),"")</f>
        <v/>
      </c>
      <c r="Z68" s="77" t="str">
        <f>_xlfn.IFNA(VLOOKUP(RIGHT('paste report'!K68,6),$AE$10:$AF$47,2,FALSE),"")</f>
        <v/>
      </c>
      <c r="AA68" s="72">
        <f t="shared" si="7"/>
        <v>0</v>
      </c>
    </row>
    <row r="69" spans="2:27">
      <c r="B69" s="66">
        <f>'paste report'!A69</f>
        <v>0</v>
      </c>
      <c r="C69" s="66">
        <f>'paste report'!B69</f>
        <v>0</v>
      </c>
      <c r="D69" s="67">
        <f>'paste report'!C69</f>
        <v>0</v>
      </c>
      <c r="E69" s="68" t="e">
        <f>VLOOKUP(B69,Team!$B$4:$F$183,5,FALSE)</f>
        <v>#N/A</v>
      </c>
      <c r="F69" s="69">
        <f t="shared" si="0"/>
        <v>0</v>
      </c>
      <c r="G69" s="75" t="str">
        <f>_xlfn.IFNA(VLOOKUP(LEFT('paste report'!E69,6),$AE$10:$AF$47,2,FALSE),"")</f>
        <v/>
      </c>
      <c r="H69" s="76" t="str">
        <f>_xlfn.IFNA(VLOOKUP(RIGHT('paste report'!E69,6),$AE$10:$AF$47,2,FALSE),"")</f>
        <v/>
      </c>
      <c r="I69" s="72">
        <f t="shared" si="1"/>
        <v>0</v>
      </c>
      <c r="J69" s="75" t="str">
        <f>_xlfn.IFNA(VLOOKUP(LEFT('paste report'!F69,6),$AE$10:$AF$47,2,FALSE),"")</f>
        <v/>
      </c>
      <c r="K69" s="77" t="str">
        <f>_xlfn.IFNA(VLOOKUP(RIGHT('paste report'!F69,6),$AE$10:$AF$47,2,FALSE),"")</f>
        <v/>
      </c>
      <c r="L69" s="72">
        <f t="shared" si="2"/>
        <v>0</v>
      </c>
      <c r="M69" s="75" t="str">
        <f>_xlfn.IFNA(VLOOKUP(LEFT('paste report'!G69,6),$AE$10:$AF$47,2,FALSE),"")</f>
        <v/>
      </c>
      <c r="N69" s="77" t="str">
        <f>_xlfn.IFNA(VLOOKUP(RIGHT('paste report'!G69,6),$AE$10:$AF$47,2,FALSE),"")</f>
        <v/>
      </c>
      <c r="O69" s="72">
        <f t="shared" si="3"/>
        <v>0</v>
      </c>
      <c r="P69" s="75" t="str">
        <f>_xlfn.IFNA(VLOOKUP(LEFT('paste report'!H69,6),$AE$10:$AF$47,2,FALSE),"")</f>
        <v/>
      </c>
      <c r="Q69" s="77" t="str">
        <f>_xlfn.IFNA(VLOOKUP(RIGHT('paste report'!H69,6),$AE$10:$AF$47,2,FALSE),"")</f>
        <v/>
      </c>
      <c r="R69" s="72">
        <f t="shared" si="4"/>
        <v>0</v>
      </c>
      <c r="S69" s="75" t="str">
        <f>_xlfn.IFNA(VLOOKUP(LEFT('paste report'!I69,6),$AE$10:$AF$47,2,FALSE),"")</f>
        <v/>
      </c>
      <c r="T69" s="77" t="str">
        <f>_xlfn.IFNA(VLOOKUP(RIGHT('paste report'!I69,6),$AE$10:$AF$47,2,FALSE),"")</f>
        <v/>
      </c>
      <c r="U69" s="72">
        <f t="shared" si="5"/>
        <v>0</v>
      </c>
      <c r="V69" s="75" t="str">
        <f>_xlfn.IFNA(VLOOKUP(LEFT('paste report'!J69,6),$AE$10:$AF$47,2,FALSE),"")</f>
        <v/>
      </c>
      <c r="W69" s="77" t="str">
        <f>_xlfn.IFNA(VLOOKUP(RIGHT('paste report'!J69,6),$AE$10:$AF$47,2,FALSE),"")</f>
        <v/>
      </c>
      <c r="X69" s="72">
        <f t="shared" si="6"/>
        <v>0</v>
      </c>
      <c r="Y69" s="75" t="str">
        <f>_xlfn.IFNA(VLOOKUP(LEFT('paste report'!K69,6),$AE$10:$AF$47,2,FALSE),"")</f>
        <v/>
      </c>
      <c r="Z69" s="77" t="str">
        <f>_xlfn.IFNA(VLOOKUP(RIGHT('paste report'!K69,6),$AE$10:$AF$47,2,FALSE),"")</f>
        <v/>
      </c>
      <c r="AA69" s="72">
        <f t="shared" si="7"/>
        <v>0</v>
      </c>
    </row>
    <row r="70" spans="2:27">
      <c r="B70" s="66">
        <f>'paste report'!A70</f>
        <v>0</v>
      </c>
      <c r="C70" s="66">
        <f>'paste report'!B70</f>
        <v>0</v>
      </c>
      <c r="D70" s="67">
        <f>'paste report'!C70</f>
        <v>0</v>
      </c>
      <c r="E70" s="68" t="e">
        <f>VLOOKUP(B70,Team!$B$4:$F$183,5,FALSE)</f>
        <v>#N/A</v>
      </c>
      <c r="F70" s="69">
        <f t="shared" si="0"/>
        <v>0</v>
      </c>
      <c r="G70" s="75" t="str">
        <f>_xlfn.IFNA(VLOOKUP(LEFT('paste report'!E70,6),$AE$10:$AF$47,2,FALSE),"")</f>
        <v/>
      </c>
      <c r="H70" s="76" t="str">
        <f>_xlfn.IFNA(VLOOKUP(RIGHT('paste report'!E70,6),$AE$10:$AF$47,2,FALSE),"")</f>
        <v/>
      </c>
      <c r="I70" s="72">
        <f t="shared" si="1"/>
        <v>0</v>
      </c>
      <c r="J70" s="75" t="str">
        <f>_xlfn.IFNA(VLOOKUP(LEFT('paste report'!F70,6),$AE$10:$AF$47,2,FALSE),"")</f>
        <v/>
      </c>
      <c r="K70" s="77" t="str">
        <f>_xlfn.IFNA(VLOOKUP(RIGHT('paste report'!F70,6),$AE$10:$AF$47,2,FALSE),"")</f>
        <v/>
      </c>
      <c r="L70" s="72">
        <f t="shared" si="2"/>
        <v>0</v>
      </c>
      <c r="M70" s="75" t="str">
        <f>_xlfn.IFNA(VLOOKUP(LEFT('paste report'!G70,6),$AE$10:$AF$47,2,FALSE),"")</f>
        <v/>
      </c>
      <c r="N70" s="77" t="str">
        <f>_xlfn.IFNA(VLOOKUP(RIGHT('paste report'!G70,6),$AE$10:$AF$47,2,FALSE),"")</f>
        <v/>
      </c>
      <c r="O70" s="72">
        <f t="shared" si="3"/>
        <v>0</v>
      </c>
      <c r="P70" s="75" t="str">
        <f>_xlfn.IFNA(VLOOKUP(LEFT('paste report'!H70,6),$AE$10:$AF$47,2,FALSE),"")</f>
        <v/>
      </c>
      <c r="Q70" s="77" t="str">
        <f>_xlfn.IFNA(VLOOKUP(RIGHT('paste report'!H70,6),$AE$10:$AF$47,2,FALSE),"")</f>
        <v/>
      </c>
      <c r="R70" s="72">
        <f t="shared" si="4"/>
        <v>0</v>
      </c>
      <c r="S70" s="75" t="str">
        <f>_xlfn.IFNA(VLOOKUP(LEFT('paste report'!I70,6),$AE$10:$AF$47,2,FALSE),"")</f>
        <v/>
      </c>
      <c r="T70" s="77" t="str">
        <f>_xlfn.IFNA(VLOOKUP(RIGHT('paste report'!I70,6),$AE$10:$AF$47,2,FALSE),"")</f>
        <v/>
      </c>
      <c r="U70" s="72">
        <f t="shared" si="5"/>
        <v>0</v>
      </c>
      <c r="V70" s="75" t="str">
        <f>_xlfn.IFNA(VLOOKUP(LEFT('paste report'!J70,6),$AE$10:$AF$47,2,FALSE),"")</f>
        <v/>
      </c>
      <c r="W70" s="77" t="str">
        <f>_xlfn.IFNA(VLOOKUP(RIGHT('paste report'!J70,6),$AE$10:$AF$47,2,FALSE),"")</f>
        <v/>
      </c>
      <c r="X70" s="72">
        <f t="shared" si="6"/>
        <v>0</v>
      </c>
      <c r="Y70" s="75" t="str">
        <f>_xlfn.IFNA(VLOOKUP(LEFT('paste report'!K70,6),$AE$10:$AF$47,2,FALSE),"")</f>
        <v/>
      </c>
      <c r="Z70" s="77" t="str">
        <f>_xlfn.IFNA(VLOOKUP(RIGHT('paste report'!K70,6),$AE$10:$AF$47,2,FALSE),"")</f>
        <v/>
      </c>
      <c r="AA70" s="72">
        <f t="shared" si="7"/>
        <v>0</v>
      </c>
    </row>
    <row r="71" spans="2:27">
      <c r="B71" s="66">
        <f>'paste report'!A71</f>
        <v>0</v>
      </c>
      <c r="C71" s="66">
        <f>'paste report'!B71</f>
        <v>0</v>
      </c>
      <c r="D71" s="67">
        <f>'paste report'!C71</f>
        <v>0</v>
      </c>
      <c r="E71" s="68" t="e">
        <f>VLOOKUP(B71,Team!$B$4:$F$183,5,FALSE)</f>
        <v>#N/A</v>
      </c>
      <c r="F71" s="69">
        <f t="shared" si="0"/>
        <v>0</v>
      </c>
      <c r="G71" s="75" t="str">
        <f>_xlfn.IFNA(VLOOKUP(LEFT('paste report'!E71,6),$AE$10:$AF$47,2,FALSE),"")</f>
        <v/>
      </c>
      <c r="H71" s="76" t="str">
        <f>_xlfn.IFNA(VLOOKUP(RIGHT('paste report'!E71,6),$AE$10:$AF$47,2,FALSE),"")</f>
        <v/>
      </c>
      <c r="I71" s="72">
        <f t="shared" si="1"/>
        <v>0</v>
      </c>
      <c r="J71" s="75" t="str">
        <f>_xlfn.IFNA(VLOOKUP(LEFT('paste report'!F71,6),$AE$10:$AF$47,2,FALSE),"")</f>
        <v/>
      </c>
      <c r="K71" s="77" t="str">
        <f>_xlfn.IFNA(VLOOKUP(RIGHT('paste report'!F71,6),$AE$10:$AF$47,2,FALSE),"")</f>
        <v/>
      </c>
      <c r="L71" s="72">
        <f t="shared" si="2"/>
        <v>0</v>
      </c>
      <c r="M71" s="75" t="str">
        <f>_xlfn.IFNA(VLOOKUP(LEFT('paste report'!G71,6),$AE$10:$AF$47,2,FALSE),"")</f>
        <v/>
      </c>
      <c r="N71" s="77" t="str">
        <f>_xlfn.IFNA(VLOOKUP(RIGHT('paste report'!G71,6),$AE$10:$AF$47,2,FALSE),"")</f>
        <v/>
      </c>
      <c r="O71" s="72">
        <f t="shared" si="3"/>
        <v>0</v>
      </c>
      <c r="P71" s="75" t="str">
        <f>_xlfn.IFNA(VLOOKUP(LEFT('paste report'!H71,6),$AE$10:$AF$47,2,FALSE),"")</f>
        <v/>
      </c>
      <c r="Q71" s="77" t="str">
        <f>_xlfn.IFNA(VLOOKUP(RIGHT('paste report'!H71,6),$AE$10:$AF$47,2,FALSE),"")</f>
        <v/>
      </c>
      <c r="R71" s="72">
        <f t="shared" si="4"/>
        <v>0</v>
      </c>
      <c r="S71" s="75" t="str">
        <f>_xlfn.IFNA(VLOOKUP(LEFT('paste report'!I71,6),$AE$10:$AF$47,2,FALSE),"")</f>
        <v/>
      </c>
      <c r="T71" s="77" t="str">
        <f>_xlfn.IFNA(VLOOKUP(RIGHT('paste report'!I71,6),$AE$10:$AF$47,2,FALSE),"")</f>
        <v/>
      </c>
      <c r="U71" s="72">
        <f t="shared" si="5"/>
        <v>0</v>
      </c>
      <c r="V71" s="75" t="str">
        <f>_xlfn.IFNA(VLOOKUP(LEFT('paste report'!J71,6),$AE$10:$AF$47,2,FALSE),"")</f>
        <v/>
      </c>
      <c r="W71" s="77" t="str">
        <f>_xlfn.IFNA(VLOOKUP(RIGHT('paste report'!J71,6),$AE$10:$AF$47,2,FALSE),"")</f>
        <v/>
      </c>
      <c r="X71" s="72">
        <f t="shared" si="6"/>
        <v>0</v>
      </c>
      <c r="Y71" s="75" t="str">
        <f>_xlfn.IFNA(VLOOKUP(LEFT('paste report'!K71,6),$AE$10:$AF$47,2,FALSE),"")</f>
        <v/>
      </c>
      <c r="Z71" s="77" t="str">
        <f>_xlfn.IFNA(VLOOKUP(RIGHT('paste report'!K71,6),$AE$10:$AF$47,2,FALSE),"")</f>
        <v/>
      </c>
      <c r="AA71" s="72">
        <f t="shared" si="7"/>
        <v>0</v>
      </c>
    </row>
    <row r="72" spans="2:27">
      <c r="B72" s="66">
        <f>'paste report'!A72</f>
        <v>0</v>
      </c>
      <c r="C72" s="66">
        <f>'paste report'!B72</f>
        <v>0</v>
      </c>
      <c r="D72" s="67">
        <f>'paste report'!C72</f>
        <v>0</v>
      </c>
      <c r="E72" s="68" t="e">
        <f>VLOOKUP(B72,Team!$B$4:$F$183,5,FALSE)</f>
        <v>#N/A</v>
      </c>
      <c r="F72" s="69">
        <f t="shared" si="0"/>
        <v>0</v>
      </c>
      <c r="G72" s="75" t="str">
        <f>_xlfn.IFNA(VLOOKUP(LEFT('paste report'!E72,6),$AE$10:$AF$47,2,FALSE),"")</f>
        <v/>
      </c>
      <c r="H72" s="76" t="str">
        <f>_xlfn.IFNA(VLOOKUP(RIGHT('paste report'!E72,6),$AE$10:$AF$47,2,FALSE),"")</f>
        <v/>
      </c>
      <c r="I72" s="72">
        <f t="shared" si="1"/>
        <v>0</v>
      </c>
      <c r="J72" s="75" t="str">
        <f>_xlfn.IFNA(VLOOKUP(LEFT('paste report'!F72,6),$AE$10:$AF$47,2,FALSE),"")</f>
        <v/>
      </c>
      <c r="K72" s="77" t="str">
        <f>_xlfn.IFNA(VLOOKUP(RIGHT('paste report'!F72,6),$AE$10:$AF$47,2,FALSE),"")</f>
        <v/>
      </c>
      <c r="L72" s="72">
        <f t="shared" si="2"/>
        <v>0</v>
      </c>
      <c r="M72" s="75" t="str">
        <f>_xlfn.IFNA(VLOOKUP(LEFT('paste report'!G72,6),$AE$10:$AF$47,2,FALSE),"")</f>
        <v/>
      </c>
      <c r="N72" s="77" t="str">
        <f>_xlfn.IFNA(VLOOKUP(RIGHT('paste report'!G72,6),$AE$10:$AF$47,2,FALSE),"")</f>
        <v/>
      </c>
      <c r="O72" s="72">
        <f t="shared" si="3"/>
        <v>0</v>
      </c>
      <c r="P72" s="75" t="str">
        <f>_xlfn.IFNA(VLOOKUP(LEFT('paste report'!H72,6),$AE$10:$AF$47,2,FALSE),"")</f>
        <v/>
      </c>
      <c r="Q72" s="77" t="str">
        <f>_xlfn.IFNA(VLOOKUP(RIGHT('paste report'!H72,6),$AE$10:$AF$47,2,FALSE),"")</f>
        <v/>
      </c>
      <c r="R72" s="72">
        <f t="shared" si="4"/>
        <v>0</v>
      </c>
      <c r="S72" s="75" t="str">
        <f>_xlfn.IFNA(VLOOKUP(LEFT('paste report'!I72,6),$AE$10:$AF$47,2,FALSE),"")</f>
        <v/>
      </c>
      <c r="T72" s="77" t="str">
        <f>_xlfn.IFNA(VLOOKUP(RIGHT('paste report'!I72,6),$AE$10:$AF$47,2,FALSE),"")</f>
        <v/>
      </c>
      <c r="U72" s="72">
        <f t="shared" si="5"/>
        <v>0</v>
      </c>
      <c r="V72" s="75" t="str">
        <f>_xlfn.IFNA(VLOOKUP(LEFT('paste report'!J72,6),$AE$10:$AF$47,2,FALSE),"")</f>
        <v/>
      </c>
      <c r="W72" s="77" t="str">
        <f>_xlfn.IFNA(VLOOKUP(RIGHT('paste report'!J72,6),$AE$10:$AF$47,2,FALSE),"")</f>
        <v/>
      </c>
      <c r="X72" s="72">
        <f t="shared" si="6"/>
        <v>0</v>
      </c>
      <c r="Y72" s="75" t="str">
        <f>_xlfn.IFNA(VLOOKUP(LEFT('paste report'!K72,6),$AE$10:$AF$47,2,FALSE),"")</f>
        <v/>
      </c>
      <c r="Z72" s="77" t="str">
        <f>_xlfn.IFNA(VLOOKUP(RIGHT('paste report'!K72,6),$AE$10:$AF$47,2,FALSE),"")</f>
        <v/>
      </c>
      <c r="AA72" s="72">
        <f t="shared" si="7"/>
        <v>0</v>
      </c>
    </row>
    <row r="73" spans="2:27">
      <c r="B73" s="66">
        <f>'paste report'!A73</f>
        <v>0</v>
      </c>
      <c r="C73" s="66">
        <f>'paste report'!B73</f>
        <v>0</v>
      </c>
      <c r="D73" s="67">
        <f>'paste report'!C73</f>
        <v>0</v>
      </c>
      <c r="E73" s="68" t="e">
        <f>VLOOKUP(B73,Team!$B$4:$F$183,5,FALSE)</f>
        <v>#N/A</v>
      </c>
      <c r="F73" s="69">
        <f t="shared" si="0"/>
        <v>0</v>
      </c>
      <c r="G73" s="75" t="str">
        <f>_xlfn.IFNA(VLOOKUP(LEFT('paste report'!E73,6),$AE$10:$AF$47,2,FALSE),"")</f>
        <v/>
      </c>
      <c r="H73" s="76" t="str">
        <f>_xlfn.IFNA(VLOOKUP(RIGHT('paste report'!E73,6),$AE$10:$AF$47,2,FALSE),"")</f>
        <v/>
      </c>
      <c r="I73" s="72">
        <f t="shared" si="1"/>
        <v>0</v>
      </c>
      <c r="J73" s="75" t="str">
        <f>_xlfn.IFNA(VLOOKUP(LEFT('paste report'!F73,6),$AE$10:$AF$47,2,FALSE),"")</f>
        <v/>
      </c>
      <c r="K73" s="77" t="str">
        <f>_xlfn.IFNA(VLOOKUP(RIGHT('paste report'!F73,6),$AE$10:$AF$47,2,FALSE),"")</f>
        <v/>
      </c>
      <c r="L73" s="72">
        <f t="shared" si="2"/>
        <v>0</v>
      </c>
      <c r="M73" s="75" t="str">
        <f>_xlfn.IFNA(VLOOKUP(LEFT('paste report'!G73,6),$AE$10:$AF$47,2,FALSE),"")</f>
        <v/>
      </c>
      <c r="N73" s="77" t="str">
        <f>_xlfn.IFNA(VLOOKUP(RIGHT('paste report'!G73,6),$AE$10:$AF$47,2,FALSE),"")</f>
        <v/>
      </c>
      <c r="O73" s="72">
        <f t="shared" si="3"/>
        <v>0</v>
      </c>
      <c r="P73" s="75" t="str">
        <f>_xlfn.IFNA(VLOOKUP(LEFT('paste report'!H73,6),$AE$10:$AF$47,2,FALSE),"")</f>
        <v/>
      </c>
      <c r="Q73" s="77" t="str">
        <f>_xlfn.IFNA(VLOOKUP(RIGHT('paste report'!H73,6),$AE$10:$AF$47,2,FALSE),"")</f>
        <v/>
      </c>
      <c r="R73" s="72">
        <f t="shared" si="4"/>
        <v>0</v>
      </c>
      <c r="S73" s="75" t="str">
        <f>_xlfn.IFNA(VLOOKUP(LEFT('paste report'!I73,6),$AE$10:$AF$47,2,FALSE),"")</f>
        <v/>
      </c>
      <c r="T73" s="77" t="str">
        <f>_xlfn.IFNA(VLOOKUP(RIGHT('paste report'!I73,6),$AE$10:$AF$47,2,FALSE),"")</f>
        <v/>
      </c>
      <c r="U73" s="72">
        <f t="shared" si="5"/>
        <v>0</v>
      </c>
      <c r="V73" s="75" t="str">
        <f>_xlfn.IFNA(VLOOKUP(LEFT('paste report'!J73,6),$AE$10:$AF$47,2,FALSE),"")</f>
        <v/>
      </c>
      <c r="W73" s="77" t="str">
        <f>_xlfn.IFNA(VLOOKUP(RIGHT('paste report'!J73,6),$AE$10:$AF$47,2,FALSE),"")</f>
        <v/>
      </c>
      <c r="X73" s="72">
        <f t="shared" si="6"/>
        <v>0</v>
      </c>
      <c r="Y73" s="75" t="str">
        <f>_xlfn.IFNA(VLOOKUP(LEFT('paste report'!K73,6),$AE$10:$AF$47,2,FALSE),"")</f>
        <v/>
      </c>
      <c r="Z73" s="77" t="str">
        <f>_xlfn.IFNA(VLOOKUP(RIGHT('paste report'!K73,6),$AE$10:$AF$47,2,FALSE),"")</f>
        <v/>
      </c>
      <c r="AA73" s="72">
        <f t="shared" si="7"/>
        <v>0</v>
      </c>
    </row>
    <row r="74" spans="2:27">
      <c r="B74" s="66">
        <f>'paste report'!A74</f>
        <v>0</v>
      </c>
      <c r="C74" s="66">
        <f>'paste report'!B74</f>
        <v>0</v>
      </c>
      <c r="D74" s="67">
        <f>'paste report'!C74</f>
        <v>0</v>
      </c>
      <c r="E74" s="68" t="e">
        <f>VLOOKUP(B74,Team!$B$4:$F$183,5,FALSE)</f>
        <v>#N/A</v>
      </c>
      <c r="F74" s="69">
        <f t="shared" si="0"/>
        <v>0</v>
      </c>
      <c r="G74" s="75" t="str">
        <f>_xlfn.IFNA(VLOOKUP(LEFT('paste report'!E74,6),$AE$10:$AF$47,2,FALSE),"")</f>
        <v/>
      </c>
      <c r="H74" s="76" t="str">
        <f>_xlfn.IFNA(VLOOKUP(RIGHT('paste report'!E74,6),$AE$10:$AF$47,2,FALSE),"")</f>
        <v/>
      </c>
      <c r="I74" s="72">
        <f t="shared" si="1"/>
        <v>0</v>
      </c>
      <c r="J74" s="75" t="str">
        <f>_xlfn.IFNA(VLOOKUP(LEFT('paste report'!F74,6),$AE$10:$AF$47,2,FALSE),"")</f>
        <v/>
      </c>
      <c r="K74" s="77" t="str">
        <f>_xlfn.IFNA(VLOOKUP(RIGHT('paste report'!F74,6),$AE$10:$AF$47,2,FALSE),"")</f>
        <v/>
      </c>
      <c r="L74" s="72">
        <f t="shared" si="2"/>
        <v>0</v>
      </c>
      <c r="M74" s="75" t="str">
        <f>_xlfn.IFNA(VLOOKUP(LEFT('paste report'!G74,6),$AE$10:$AF$47,2,FALSE),"")</f>
        <v/>
      </c>
      <c r="N74" s="77" t="str">
        <f>_xlfn.IFNA(VLOOKUP(RIGHT('paste report'!G74,6),$AE$10:$AF$47,2,FALSE),"")</f>
        <v/>
      </c>
      <c r="O74" s="72">
        <f t="shared" si="3"/>
        <v>0</v>
      </c>
      <c r="P74" s="75" t="str">
        <f>_xlfn.IFNA(VLOOKUP(LEFT('paste report'!H74,6),$AE$10:$AF$47,2,FALSE),"")</f>
        <v/>
      </c>
      <c r="Q74" s="77" t="str">
        <f>_xlfn.IFNA(VLOOKUP(RIGHT('paste report'!H74,6),$AE$10:$AF$47,2,FALSE),"")</f>
        <v/>
      </c>
      <c r="R74" s="72">
        <f t="shared" si="4"/>
        <v>0</v>
      </c>
      <c r="S74" s="75" t="str">
        <f>_xlfn.IFNA(VLOOKUP(LEFT('paste report'!I74,6),$AE$10:$AF$47,2,FALSE),"")</f>
        <v/>
      </c>
      <c r="T74" s="77" t="str">
        <f>_xlfn.IFNA(VLOOKUP(RIGHT('paste report'!I74,6),$AE$10:$AF$47,2,FALSE),"")</f>
        <v/>
      </c>
      <c r="U74" s="72">
        <f t="shared" si="5"/>
        <v>0</v>
      </c>
      <c r="V74" s="75" t="str">
        <f>_xlfn.IFNA(VLOOKUP(LEFT('paste report'!J74,6),$AE$10:$AF$47,2,FALSE),"")</f>
        <v/>
      </c>
      <c r="W74" s="77" t="str">
        <f>_xlfn.IFNA(VLOOKUP(RIGHT('paste report'!J74,6),$AE$10:$AF$47,2,FALSE),"")</f>
        <v/>
      </c>
      <c r="X74" s="72">
        <f t="shared" si="6"/>
        <v>0</v>
      </c>
      <c r="Y74" s="75" t="str">
        <f>_xlfn.IFNA(VLOOKUP(LEFT('paste report'!K74,6),$AE$10:$AF$47,2,FALSE),"")</f>
        <v/>
      </c>
      <c r="Z74" s="77" t="str">
        <f>_xlfn.IFNA(VLOOKUP(RIGHT('paste report'!K74,6),$AE$10:$AF$47,2,FALSE),"")</f>
        <v/>
      </c>
      <c r="AA74" s="72">
        <f t="shared" si="7"/>
        <v>0</v>
      </c>
    </row>
    <row r="75" spans="2:27">
      <c r="B75" s="66">
        <f>'paste report'!A75</f>
        <v>0</v>
      </c>
      <c r="C75" s="66">
        <f>'paste report'!B75</f>
        <v>0</v>
      </c>
      <c r="D75" s="67">
        <f>'paste report'!C75</f>
        <v>0</v>
      </c>
      <c r="E75" s="68" t="e">
        <f>VLOOKUP(B75,Team!$B$4:$F$183,5,FALSE)</f>
        <v>#N/A</v>
      </c>
      <c r="F75" s="69">
        <f t="shared" ref="F75:F97" si="8">I75+L75+O75+R75+U75+X75+AA75</f>
        <v>0</v>
      </c>
      <c r="G75" s="75" t="str">
        <f>_xlfn.IFNA(VLOOKUP(LEFT('paste report'!E75,6),$AE$10:$AF$47,2,FALSE),"")</f>
        <v/>
      </c>
      <c r="H75" s="76" t="str">
        <f>_xlfn.IFNA(VLOOKUP(RIGHT('paste report'!E75,6),$AE$10:$AF$47,2,FALSE),"")</f>
        <v/>
      </c>
      <c r="I75" s="72">
        <f t="shared" ref="I75:I97" si="9">IFERROR(24*IF(H75&gt;0,H75-G75,0),0)</f>
        <v>0</v>
      </c>
      <c r="J75" s="75" t="str">
        <f>_xlfn.IFNA(VLOOKUP(LEFT('paste report'!F75,6),$AE$10:$AF$47,2,FALSE),"")</f>
        <v/>
      </c>
      <c r="K75" s="77" t="str">
        <f>_xlfn.IFNA(VLOOKUP(RIGHT('paste report'!F75,6),$AE$10:$AF$47,2,FALSE),"")</f>
        <v/>
      </c>
      <c r="L75" s="72">
        <f t="shared" ref="L75:L97" si="10">IFERROR(24*IF(K75&gt;0,K75-J75,0),0)</f>
        <v>0</v>
      </c>
      <c r="M75" s="75" t="str">
        <f>_xlfn.IFNA(VLOOKUP(LEFT('paste report'!G75,6),$AE$10:$AF$47,2,FALSE),"")</f>
        <v/>
      </c>
      <c r="N75" s="77" t="str">
        <f>_xlfn.IFNA(VLOOKUP(RIGHT('paste report'!G75,6),$AE$10:$AF$47,2,FALSE),"")</f>
        <v/>
      </c>
      <c r="O75" s="72">
        <f t="shared" ref="O75:O97" si="11">IFERROR(24*IF(N75&gt;0,N75-M75,0),0)</f>
        <v>0</v>
      </c>
      <c r="P75" s="75" t="str">
        <f>_xlfn.IFNA(VLOOKUP(LEFT('paste report'!H75,6),$AE$10:$AF$47,2,FALSE),"")</f>
        <v/>
      </c>
      <c r="Q75" s="77" t="str">
        <f>_xlfn.IFNA(VLOOKUP(RIGHT('paste report'!H75,6),$AE$10:$AF$47,2,FALSE),"")</f>
        <v/>
      </c>
      <c r="R75" s="72">
        <f t="shared" ref="R75:R97" si="12">IFERROR(24*IF(Q75&gt;0,Q75-P75,0),0)</f>
        <v>0</v>
      </c>
      <c r="S75" s="75" t="str">
        <f>_xlfn.IFNA(VLOOKUP(LEFT('paste report'!I75,6),$AE$10:$AF$47,2,FALSE),"")</f>
        <v/>
      </c>
      <c r="T75" s="77" t="str">
        <f>_xlfn.IFNA(VLOOKUP(RIGHT('paste report'!I75,6),$AE$10:$AF$47,2,FALSE),"")</f>
        <v/>
      </c>
      <c r="U75" s="72">
        <f t="shared" ref="U75:U97" si="13">IFERROR(24*IF(T75&gt;0,T75-S75,0),0)</f>
        <v>0</v>
      </c>
      <c r="V75" s="75" t="str">
        <f>_xlfn.IFNA(VLOOKUP(LEFT('paste report'!J75,6),$AE$10:$AF$47,2,FALSE),"")</f>
        <v/>
      </c>
      <c r="W75" s="77" t="str">
        <f>_xlfn.IFNA(VLOOKUP(RIGHT('paste report'!J75,6),$AE$10:$AF$47,2,FALSE),"")</f>
        <v/>
      </c>
      <c r="X75" s="72">
        <f t="shared" ref="X75:X97" si="14">IFERROR(24*IF(W75&gt;0,W75-V75,0),0)</f>
        <v>0</v>
      </c>
      <c r="Y75" s="75" t="str">
        <f>_xlfn.IFNA(VLOOKUP(LEFT('paste report'!K75,6),$AE$10:$AF$47,2,FALSE),"")</f>
        <v/>
      </c>
      <c r="Z75" s="77" t="str">
        <f>_xlfn.IFNA(VLOOKUP(RIGHT('paste report'!K75,6),$AE$10:$AF$47,2,FALSE),"")</f>
        <v/>
      </c>
      <c r="AA75" s="72">
        <f t="shared" ref="AA75:AA97" si="15">IFERROR(24*IF(Z75&gt;0,Z75-Y75,0),0)</f>
        <v>0</v>
      </c>
    </row>
    <row r="76" spans="2:27">
      <c r="B76" s="66">
        <f>'paste report'!A76</f>
        <v>0</v>
      </c>
      <c r="C76" s="66">
        <f>'paste report'!B76</f>
        <v>0</v>
      </c>
      <c r="D76" s="67">
        <f>'paste report'!C76</f>
        <v>0</v>
      </c>
      <c r="E76" s="68" t="e">
        <f>VLOOKUP(B76,Team!$B$4:$F$183,5,FALSE)</f>
        <v>#N/A</v>
      </c>
      <c r="F76" s="69">
        <f t="shared" si="8"/>
        <v>0</v>
      </c>
      <c r="G76" s="75" t="str">
        <f>_xlfn.IFNA(VLOOKUP(LEFT('paste report'!E76,6),$AE$10:$AF$47,2,FALSE),"")</f>
        <v/>
      </c>
      <c r="H76" s="76" t="str">
        <f>_xlfn.IFNA(VLOOKUP(RIGHT('paste report'!E76,6),$AE$10:$AF$47,2,FALSE),"")</f>
        <v/>
      </c>
      <c r="I76" s="72">
        <f t="shared" si="9"/>
        <v>0</v>
      </c>
      <c r="J76" s="75" t="str">
        <f>_xlfn.IFNA(VLOOKUP(LEFT('paste report'!F76,6),$AE$10:$AF$47,2,FALSE),"")</f>
        <v/>
      </c>
      <c r="K76" s="77" t="str">
        <f>_xlfn.IFNA(VLOOKUP(RIGHT('paste report'!F76,6),$AE$10:$AF$47,2,FALSE),"")</f>
        <v/>
      </c>
      <c r="L76" s="72">
        <f t="shared" si="10"/>
        <v>0</v>
      </c>
      <c r="M76" s="75" t="str">
        <f>_xlfn.IFNA(VLOOKUP(LEFT('paste report'!G76,6),$AE$10:$AF$47,2,FALSE),"")</f>
        <v/>
      </c>
      <c r="N76" s="77" t="str">
        <f>_xlfn.IFNA(VLOOKUP(RIGHT('paste report'!G76,6),$AE$10:$AF$47,2,FALSE),"")</f>
        <v/>
      </c>
      <c r="O76" s="72">
        <f t="shared" si="11"/>
        <v>0</v>
      </c>
      <c r="P76" s="75" t="str">
        <f>_xlfn.IFNA(VLOOKUP(LEFT('paste report'!H76,6),$AE$10:$AF$47,2,FALSE),"")</f>
        <v/>
      </c>
      <c r="Q76" s="77" t="str">
        <f>_xlfn.IFNA(VLOOKUP(RIGHT('paste report'!H76,6),$AE$10:$AF$47,2,FALSE),"")</f>
        <v/>
      </c>
      <c r="R76" s="72">
        <f t="shared" si="12"/>
        <v>0</v>
      </c>
      <c r="S76" s="75" t="str">
        <f>_xlfn.IFNA(VLOOKUP(LEFT('paste report'!I76,6),$AE$10:$AF$47,2,FALSE),"")</f>
        <v/>
      </c>
      <c r="T76" s="77" t="str">
        <f>_xlfn.IFNA(VLOOKUP(RIGHT('paste report'!I76,6),$AE$10:$AF$47,2,FALSE),"")</f>
        <v/>
      </c>
      <c r="U76" s="72">
        <f t="shared" si="13"/>
        <v>0</v>
      </c>
      <c r="V76" s="75" t="str">
        <f>_xlfn.IFNA(VLOOKUP(LEFT('paste report'!J76,6),$AE$10:$AF$47,2,FALSE),"")</f>
        <v/>
      </c>
      <c r="W76" s="77" t="str">
        <f>_xlfn.IFNA(VLOOKUP(RIGHT('paste report'!J76,6),$AE$10:$AF$47,2,FALSE),"")</f>
        <v/>
      </c>
      <c r="X76" s="72">
        <f t="shared" si="14"/>
        <v>0</v>
      </c>
      <c r="Y76" s="75" t="str">
        <f>_xlfn.IFNA(VLOOKUP(LEFT('paste report'!K76,6),$AE$10:$AF$47,2,FALSE),"")</f>
        <v/>
      </c>
      <c r="Z76" s="77" t="str">
        <f>_xlfn.IFNA(VLOOKUP(RIGHT('paste report'!K76,6),$AE$10:$AF$47,2,FALSE),"")</f>
        <v/>
      </c>
      <c r="AA76" s="72">
        <f t="shared" si="15"/>
        <v>0</v>
      </c>
    </row>
    <row r="77" spans="2:27">
      <c r="B77" s="66">
        <f>'paste report'!A77</f>
        <v>0</v>
      </c>
      <c r="C77" s="66">
        <f>'paste report'!B77</f>
        <v>0</v>
      </c>
      <c r="D77" s="67">
        <f>'paste report'!C77</f>
        <v>0</v>
      </c>
      <c r="E77" s="68" t="e">
        <f>VLOOKUP(B77,Team!$B$4:$F$183,5,FALSE)</f>
        <v>#N/A</v>
      </c>
      <c r="F77" s="69">
        <f t="shared" si="8"/>
        <v>0</v>
      </c>
      <c r="G77" s="75" t="str">
        <f>_xlfn.IFNA(VLOOKUP(LEFT('paste report'!E77,6),$AE$10:$AF$47,2,FALSE),"")</f>
        <v/>
      </c>
      <c r="H77" s="76" t="str">
        <f>_xlfn.IFNA(VLOOKUP(RIGHT('paste report'!E77,6),$AE$10:$AF$47,2,FALSE),"")</f>
        <v/>
      </c>
      <c r="I77" s="72">
        <f t="shared" si="9"/>
        <v>0</v>
      </c>
      <c r="J77" s="75" t="str">
        <f>_xlfn.IFNA(VLOOKUP(LEFT('paste report'!F77,6),$AE$10:$AF$47,2,FALSE),"")</f>
        <v/>
      </c>
      <c r="K77" s="77" t="str">
        <f>_xlfn.IFNA(VLOOKUP(RIGHT('paste report'!F77,6),$AE$10:$AF$47,2,FALSE),"")</f>
        <v/>
      </c>
      <c r="L77" s="72">
        <f t="shared" si="10"/>
        <v>0</v>
      </c>
      <c r="M77" s="75" t="str">
        <f>_xlfn.IFNA(VLOOKUP(LEFT('paste report'!G77,6),$AE$10:$AF$47,2,FALSE),"")</f>
        <v/>
      </c>
      <c r="N77" s="77" t="str">
        <f>_xlfn.IFNA(VLOOKUP(RIGHT('paste report'!G77,6),$AE$10:$AF$47,2,FALSE),"")</f>
        <v/>
      </c>
      <c r="O77" s="72">
        <f t="shared" si="11"/>
        <v>0</v>
      </c>
      <c r="P77" s="75" t="str">
        <f>_xlfn.IFNA(VLOOKUP(LEFT('paste report'!H77,6),$AE$10:$AF$47,2,FALSE),"")</f>
        <v/>
      </c>
      <c r="Q77" s="77" t="str">
        <f>_xlfn.IFNA(VLOOKUP(RIGHT('paste report'!H77,6),$AE$10:$AF$47,2,FALSE),"")</f>
        <v/>
      </c>
      <c r="R77" s="72">
        <f t="shared" si="12"/>
        <v>0</v>
      </c>
      <c r="S77" s="75" t="str">
        <f>_xlfn.IFNA(VLOOKUP(LEFT('paste report'!I77,6),$AE$10:$AF$47,2,FALSE),"")</f>
        <v/>
      </c>
      <c r="T77" s="77" t="str">
        <f>_xlfn.IFNA(VLOOKUP(RIGHT('paste report'!I77,6),$AE$10:$AF$47,2,FALSE),"")</f>
        <v/>
      </c>
      <c r="U77" s="72">
        <f t="shared" si="13"/>
        <v>0</v>
      </c>
      <c r="V77" s="75" t="str">
        <f>_xlfn.IFNA(VLOOKUP(LEFT('paste report'!J77,6),$AE$10:$AF$47,2,FALSE),"")</f>
        <v/>
      </c>
      <c r="W77" s="77" t="str">
        <f>_xlfn.IFNA(VLOOKUP(RIGHT('paste report'!J77,6),$AE$10:$AF$47,2,FALSE),"")</f>
        <v/>
      </c>
      <c r="X77" s="72">
        <f t="shared" si="14"/>
        <v>0</v>
      </c>
      <c r="Y77" s="75" t="str">
        <f>_xlfn.IFNA(VLOOKUP(LEFT('paste report'!K77,6),$AE$10:$AF$47,2,FALSE),"")</f>
        <v/>
      </c>
      <c r="Z77" s="77" t="str">
        <f>_xlfn.IFNA(VLOOKUP(RIGHT('paste report'!K77,6),$AE$10:$AF$47,2,FALSE),"")</f>
        <v/>
      </c>
      <c r="AA77" s="72">
        <f t="shared" si="15"/>
        <v>0</v>
      </c>
    </row>
    <row r="78" spans="2:27">
      <c r="B78" s="66">
        <f>'paste report'!A78</f>
        <v>0</v>
      </c>
      <c r="C78" s="66">
        <f>'paste report'!B78</f>
        <v>0</v>
      </c>
      <c r="D78" s="67">
        <f>'paste report'!C78</f>
        <v>0</v>
      </c>
      <c r="E78" s="68" t="e">
        <f>VLOOKUP(B78,Team!$B$4:$F$183,5,FALSE)</f>
        <v>#N/A</v>
      </c>
      <c r="F78" s="69">
        <f t="shared" si="8"/>
        <v>0</v>
      </c>
      <c r="G78" s="75" t="str">
        <f>_xlfn.IFNA(VLOOKUP(LEFT('paste report'!E78,6),$AE$10:$AF$47,2,FALSE),"")</f>
        <v/>
      </c>
      <c r="H78" s="76" t="str">
        <f>_xlfn.IFNA(VLOOKUP(RIGHT('paste report'!E78,6),$AE$10:$AF$47,2,FALSE),"")</f>
        <v/>
      </c>
      <c r="I78" s="72">
        <f t="shared" si="9"/>
        <v>0</v>
      </c>
      <c r="J78" s="75" t="str">
        <f>_xlfn.IFNA(VLOOKUP(LEFT('paste report'!F78,6),$AE$10:$AF$47,2,FALSE),"")</f>
        <v/>
      </c>
      <c r="K78" s="77" t="str">
        <f>_xlfn.IFNA(VLOOKUP(RIGHT('paste report'!F78,6),$AE$10:$AF$47,2,FALSE),"")</f>
        <v/>
      </c>
      <c r="L78" s="72">
        <f t="shared" si="10"/>
        <v>0</v>
      </c>
      <c r="M78" s="75" t="str">
        <f>_xlfn.IFNA(VLOOKUP(LEFT('paste report'!G78,6),$AE$10:$AF$47,2,FALSE),"")</f>
        <v/>
      </c>
      <c r="N78" s="77" t="str">
        <f>_xlfn.IFNA(VLOOKUP(RIGHT('paste report'!G78,6),$AE$10:$AF$47,2,FALSE),"")</f>
        <v/>
      </c>
      <c r="O78" s="72">
        <f t="shared" si="11"/>
        <v>0</v>
      </c>
      <c r="P78" s="75" t="str">
        <f>_xlfn.IFNA(VLOOKUP(LEFT('paste report'!H78,6),$AE$10:$AF$47,2,FALSE),"")</f>
        <v/>
      </c>
      <c r="Q78" s="77" t="str">
        <f>_xlfn.IFNA(VLOOKUP(RIGHT('paste report'!H78,6),$AE$10:$AF$47,2,FALSE),"")</f>
        <v/>
      </c>
      <c r="R78" s="72">
        <f t="shared" si="12"/>
        <v>0</v>
      </c>
      <c r="S78" s="75" t="str">
        <f>_xlfn.IFNA(VLOOKUP(LEFT('paste report'!I78,6),$AE$10:$AF$47,2,FALSE),"")</f>
        <v/>
      </c>
      <c r="T78" s="77" t="str">
        <f>_xlfn.IFNA(VLOOKUP(RIGHT('paste report'!I78,6),$AE$10:$AF$47,2,FALSE),"")</f>
        <v/>
      </c>
      <c r="U78" s="72">
        <f t="shared" si="13"/>
        <v>0</v>
      </c>
      <c r="V78" s="75" t="str">
        <f>_xlfn.IFNA(VLOOKUP(LEFT('paste report'!J78,6),$AE$10:$AF$47,2,FALSE),"")</f>
        <v/>
      </c>
      <c r="W78" s="77" t="str">
        <f>_xlfn.IFNA(VLOOKUP(RIGHT('paste report'!J78,6),$AE$10:$AF$47,2,FALSE),"")</f>
        <v/>
      </c>
      <c r="X78" s="72">
        <f t="shared" si="14"/>
        <v>0</v>
      </c>
      <c r="Y78" s="75" t="str">
        <f>_xlfn.IFNA(VLOOKUP(LEFT('paste report'!K78,6),$AE$10:$AF$47,2,FALSE),"")</f>
        <v/>
      </c>
      <c r="Z78" s="77" t="str">
        <f>_xlfn.IFNA(VLOOKUP(RIGHT('paste report'!K78,6),$AE$10:$AF$47,2,FALSE),"")</f>
        <v/>
      </c>
      <c r="AA78" s="72">
        <f t="shared" si="15"/>
        <v>0</v>
      </c>
    </row>
    <row r="79" spans="2:27">
      <c r="B79" s="66">
        <f>'paste report'!A79</f>
        <v>0</v>
      </c>
      <c r="C79" s="66">
        <f>'paste report'!B79</f>
        <v>0</v>
      </c>
      <c r="D79" s="67">
        <f>'paste report'!C79</f>
        <v>0</v>
      </c>
      <c r="E79" s="68" t="e">
        <f>VLOOKUP(B79,Team!$B$4:$F$183,5,FALSE)</f>
        <v>#N/A</v>
      </c>
      <c r="F79" s="69">
        <f t="shared" si="8"/>
        <v>0</v>
      </c>
      <c r="G79" s="75" t="str">
        <f>_xlfn.IFNA(VLOOKUP(LEFT('paste report'!E79,6),$AE$10:$AF$47,2,FALSE),"")</f>
        <v/>
      </c>
      <c r="H79" s="76" t="str">
        <f>_xlfn.IFNA(VLOOKUP(RIGHT('paste report'!E79,6),$AE$10:$AF$47,2,FALSE),"")</f>
        <v/>
      </c>
      <c r="I79" s="72">
        <f t="shared" si="9"/>
        <v>0</v>
      </c>
      <c r="J79" s="75" t="str">
        <f>_xlfn.IFNA(VLOOKUP(LEFT('paste report'!F79,6),$AE$10:$AF$47,2,FALSE),"")</f>
        <v/>
      </c>
      <c r="K79" s="77" t="str">
        <f>_xlfn.IFNA(VLOOKUP(RIGHT('paste report'!F79,6),$AE$10:$AF$47,2,FALSE),"")</f>
        <v/>
      </c>
      <c r="L79" s="72">
        <f t="shared" si="10"/>
        <v>0</v>
      </c>
      <c r="M79" s="75" t="str">
        <f>_xlfn.IFNA(VLOOKUP(LEFT('paste report'!G79,6),$AE$10:$AF$47,2,FALSE),"")</f>
        <v/>
      </c>
      <c r="N79" s="77" t="str">
        <f>_xlfn.IFNA(VLOOKUP(RIGHT('paste report'!G79,6),$AE$10:$AF$47,2,FALSE),"")</f>
        <v/>
      </c>
      <c r="O79" s="72">
        <f t="shared" si="11"/>
        <v>0</v>
      </c>
      <c r="P79" s="75" t="str">
        <f>_xlfn.IFNA(VLOOKUP(LEFT('paste report'!H79,6),$AE$10:$AF$47,2,FALSE),"")</f>
        <v/>
      </c>
      <c r="Q79" s="77" t="str">
        <f>_xlfn.IFNA(VLOOKUP(RIGHT('paste report'!H79,6),$AE$10:$AF$47,2,FALSE),"")</f>
        <v/>
      </c>
      <c r="R79" s="72">
        <f t="shared" si="12"/>
        <v>0</v>
      </c>
      <c r="S79" s="75" t="str">
        <f>_xlfn.IFNA(VLOOKUP(LEFT('paste report'!I79,6),$AE$10:$AF$47,2,FALSE),"")</f>
        <v/>
      </c>
      <c r="T79" s="77" t="str">
        <f>_xlfn.IFNA(VLOOKUP(RIGHT('paste report'!I79,6),$AE$10:$AF$47,2,FALSE),"")</f>
        <v/>
      </c>
      <c r="U79" s="72">
        <f t="shared" si="13"/>
        <v>0</v>
      </c>
      <c r="V79" s="75" t="str">
        <f>_xlfn.IFNA(VLOOKUP(LEFT('paste report'!J79,6),$AE$10:$AF$47,2,FALSE),"")</f>
        <v/>
      </c>
      <c r="W79" s="77" t="str">
        <f>_xlfn.IFNA(VLOOKUP(RIGHT('paste report'!J79,6),$AE$10:$AF$47,2,FALSE),"")</f>
        <v/>
      </c>
      <c r="X79" s="72">
        <f t="shared" si="14"/>
        <v>0</v>
      </c>
      <c r="Y79" s="75" t="str">
        <f>_xlfn.IFNA(VLOOKUP(LEFT('paste report'!K79,6),$AE$10:$AF$47,2,FALSE),"")</f>
        <v/>
      </c>
      <c r="Z79" s="77" t="str">
        <f>_xlfn.IFNA(VLOOKUP(RIGHT('paste report'!K79,6),$AE$10:$AF$47,2,FALSE),"")</f>
        <v/>
      </c>
      <c r="AA79" s="72">
        <f t="shared" si="15"/>
        <v>0</v>
      </c>
    </row>
    <row r="80" spans="2:27">
      <c r="B80" s="66">
        <f>'paste report'!A80</f>
        <v>0</v>
      </c>
      <c r="C80" s="66">
        <f>'paste report'!B80</f>
        <v>0</v>
      </c>
      <c r="D80" s="67">
        <f>'paste report'!C80</f>
        <v>0</v>
      </c>
      <c r="E80" s="68" t="e">
        <f>VLOOKUP(B80,Team!$B$4:$F$183,5,FALSE)</f>
        <v>#N/A</v>
      </c>
      <c r="F80" s="69">
        <f t="shared" si="8"/>
        <v>0</v>
      </c>
      <c r="G80" s="75" t="str">
        <f>_xlfn.IFNA(VLOOKUP(LEFT('paste report'!E80,6),$AE$10:$AF$47,2,FALSE),"")</f>
        <v/>
      </c>
      <c r="H80" s="76" t="str">
        <f>_xlfn.IFNA(VLOOKUP(RIGHT('paste report'!E80,6),$AE$10:$AF$47,2,FALSE),"")</f>
        <v/>
      </c>
      <c r="I80" s="72">
        <f t="shared" si="9"/>
        <v>0</v>
      </c>
      <c r="J80" s="75" t="str">
        <f>_xlfn.IFNA(VLOOKUP(LEFT('paste report'!F80,6),$AE$10:$AF$47,2,FALSE),"")</f>
        <v/>
      </c>
      <c r="K80" s="77" t="str">
        <f>_xlfn.IFNA(VLOOKUP(RIGHT('paste report'!F80,6),$AE$10:$AF$47,2,FALSE),"")</f>
        <v/>
      </c>
      <c r="L80" s="72">
        <f t="shared" si="10"/>
        <v>0</v>
      </c>
      <c r="M80" s="75" t="str">
        <f>_xlfn.IFNA(VLOOKUP(LEFT('paste report'!G80,6),$AE$10:$AF$47,2,FALSE),"")</f>
        <v/>
      </c>
      <c r="N80" s="77" t="str">
        <f>_xlfn.IFNA(VLOOKUP(RIGHT('paste report'!G80,6),$AE$10:$AF$47,2,FALSE),"")</f>
        <v/>
      </c>
      <c r="O80" s="72">
        <f t="shared" si="11"/>
        <v>0</v>
      </c>
      <c r="P80" s="75" t="str">
        <f>_xlfn.IFNA(VLOOKUP(LEFT('paste report'!H80,6),$AE$10:$AF$47,2,FALSE),"")</f>
        <v/>
      </c>
      <c r="Q80" s="77" t="str">
        <f>_xlfn.IFNA(VLOOKUP(RIGHT('paste report'!H80,6),$AE$10:$AF$47,2,FALSE),"")</f>
        <v/>
      </c>
      <c r="R80" s="72">
        <f t="shared" si="12"/>
        <v>0</v>
      </c>
      <c r="S80" s="75" t="str">
        <f>_xlfn.IFNA(VLOOKUP(LEFT('paste report'!I80,6),$AE$10:$AF$47,2,FALSE),"")</f>
        <v/>
      </c>
      <c r="T80" s="77" t="str">
        <f>_xlfn.IFNA(VLOOKUP(RIGHT('paste report'!I80,6),$AE$10:$AF$47,2,FALSE),"")</f>
        <v/>
      </c>
      <c r="U80" s="72">
        <f t="shared" si="13"/>
        <v>0</v>
      </c>
      <c r="V80" s="75" t="str">
        <f>_xlfn.IFNA(VLOOKUP(LEFT('paste report'!J80,6),$AE$10:$AF$47,2,FALSE),"")</f>
        <v/>
      </c>
      <c r="W80" s="77" t="str">
        <f>_xlfn.IFNA(VLOOKUP(RIGHT('paste report'!J80,6),$AE$10:$AF$47,2,FALSE),"")</f>
        <v/>
      </c>
      <c r="X80" s="72">
        <f t="shared" si="14"/>
        <v>0</v>
      </c>
      <c r="Y80" s="75" t="str">
        <f>_xlfn.IFNA(VLOOKUP(LEFT('paste report'!K80,6),$AE$10:$AF$47,2,FALSE),"")</f>
        <v/>
      </c>
      <c r="Z80" s="77" t="str">
        <f>_xlfn.IFNA(VLOOKUP(RIGHT('paste report'!K80,6),$AE$10:$AF$47,2,FALSE),"")</f>
        <v/>
      </c>
      <c r="AA80" s="72">
        <f t="shared" si="15"/>
        <v>0</v>
      </c>
    </row>
    <row r="81" spans="2:27">
      <c r="B81" s="66">
        <f>'paste report'!A81</f>
        <v>0</v>
      </c>
      <c r="C81" s="66">
        <f>'paste report'!B81</f>
        <v>0</v>
      </c>
      <c r="D81" s="67">
        <f>'paste report'!C81</f>
        <v>0</v>
      </c>
      <c r="E81" s="68" t="e">
        <f>VLOOKUP(B81,Team!$B$4:$F$183,5,FALSE)</f>
        <v>#N/A</v>
      </c>
      <c r="F81" s="69">
        <f t="shared" si="8"/>
        <v>0</v>
      </c>
      <c r="G81" s="75" t="str">
        <f>_xlfn.IFNA(VLOOKUP(LEFT('paste report'!E81,6),$AE$10:$AF$47,2,FALSE),"")</f>
        <v/>
      </c>
      <c r="H81" s="76" t="str">
        <f>_xlfn.IFNA(VLOOKUP(RIGHT('paste report'!E81,6),$AE$10:$AF$47,2,FALSE),"")</f>
        <v/>
      </c>
      <c r="I81" s="72">
        <f t="shared" si="9"/>
        <v>0</v>
      </c>
      <c r="J81" s="75" t="str">
        <f>_xlfn.IFNA(VLOOKUP(LEFT('paste report'!F81,6),$AE$10:$AF$47,2,FALSE),"")</f>
        <v/>
      </c>
      <c r="K81" s="77" t="str">
        <f>_xlfn.IFNA(VLOOKUP(RIGHT('paste report'!F81,6),$AE$10:$AF$47,2,FALSE),"")</f>
        <v/>
      </c>
      <c r="L81" s="72">
        <f t="shared" si="10"/>
        <v>0</v>
      </c>
      <c r="M81" s="75" t="str">
        <f>_xlfn.IFNA(VLOOKUP(LEFT('paste report'!G81,6),$AE$10:$AF$47,2,FALSE),"")</f>
        <v/>
      </c>
      <c r="N81" s="77" t="str">
        <f>_xlfn.IFNA(VLOOKUP(RIGHT('paste report'!G81,6),$AE$10:$AF$47,2,FALSE),"")</f>
        <v/>
      </c>
      <c r="O81" s="72">
        <f t="shared" si="11"/>
        <v>0</v>
      </c>
      <c r="P81" s="75" t="str">
        <f>_xlfn.IFNA(VLOOKUP(LEFT('paste report'!H81,6),$AE$10:$AF$47,2,FALSE),"")</f>
        <v/>
      </c>
      <c r="Q81" s="77" t="str">
        <f>_xlfn.IFNA(VLOOKUP(RIGHT('paste report'!H81,6),$AE$10:$AF$47,2,FALSE),"")</f>
        <v/>
      </c>
      <c r="R81" s="72">
        <f t="shared" si="12"/>
        <v>0</v>
      </c>
      <c r="S81" s="75" t="str">
        <f>_xlfn.IFNA(VLOOKUP(LEFT('paste report'!I81,6),$AE$10:$AF$47,2,FALSE),"")</f>
        <v/>
      </c>
      <c r="T81" s="77" t="str">
        <f>_xlfn.IFNA(VLOOKUP(RIGHT('paste report'!I81,6),$AE$10:$AF$47,2,FALSE),"")</f>
        <v/>
      </c>
      <c r="U81" s="72">
        <f t="shared" si="13"/>
        <v>0</v>
      </c>
      <c r="V81" s="75" t="str">
        <f>_xlfn.IFNA(VLOOKUP(LEFT('paste report'!J81,6),$AE$10:$AF$47,2,FALSE),"")</f>
        <v/>
      </c>
      <c r="W81" s="77" t="str">
        <f>_xlfn.IFNA(VLOOKUP(RIGHT('paste report'!J81,6),$AE$10:$AF$47,2,FALSE),"")</f>
        <v/>
      </c>
      <c r="X81" s="72">
        <f t="shared" si="14"/>
        <v>0</v>
      </c>
      <c r="Y81" s="75" t="str">
        <f>_xlfn.IFNA(VLOOKUP(LEFT('paste report'!K81,6),$AE$10:$AF$47,2,FALSE),"")</f>
        <v/>
      </c>
      <c r="Z81" s="77" t="str">
        <f>_xlfn.IFNA(VLOOKUP(RIGHT('paste report'!K81,6),$AE$10:$AF$47,2,FALSE),"")</f>
        <v/>
      </c>
      <c r="AA81" s="72">
        <f t="shared" si="15"/>
        <v>0</v>
      </c>
    </row>
    <row r="82" spans="2:27">
      <c r="B82" s="66">
        <f>'paste report'!A82</f>
        <v>0</v>
      </c>
      <c r="C82" s="66">
        <f>'paste report'!B82</f>
        <v>0</v>
      </c>
      <c r="D82" s="67">
        <f>'paste report'!C82</f>
        <v>0</v>
      </c>
      <c r="E82" s="68" t="e">
        <f>VLOOKUP(B82,Team!$B$4:$F$183,5,FALSE)</f>
        <v>#N/A</v>
      </c>
      <c r="F82" s="69">
        <f t="shared" si="8"/>
        <v>0</v>
      </c>
      <c r="G82" s="75" t="str">
        <f>_xlfn.IFNA(VLOOKUP(LEFT('paste report'!E82,6),$AE$10:$AF$47,2,FALSE),"")</f>
        <v/>
      </c>
      <c r="H82" s="76" t="str">
        <f>_xlfn.IFNA(VLOOKUP(RIGHT('paste report'!E82,6),$AE$10:$AF$47,2,FALSE),"")</f>
        <v/>
      </c>
      <c r="I82" s="72">
        <f t="shared" si="9"/>
        <v>0</v>
      </c>
      <c r="J82" s="75" t="str">
        <f>_xlfn.IFNA(VLOOKUP(LEFT('paste report'!F82,6),$AE$10:$AF$47,2,FALSE),"")</f>
        <v/>
      </c>
      <c r="K82" s="77" t="str">
        <f>_xlfn.IFNA(VLOOKUP(RIGHT('paste report'!F82,6),$AE$10:$AF$47,2,FALSE),"")</f>
        <v/>
      </c>
      <c r="L82" s="72">
        <f t="shared" si="10"/>
        <v>0</v>
      </c>
      <c r="M82" s="75" t="str">
        <f>_xlfn.IFNA(VLOOKUP(LEFT('paste report'!G82,6),$AE$10:$AF$47,2,FALSE),"")</f>
        <v/>
      </c>
      <c r="N82" s="77" t="str">
        <f>_xlfn.IFNA(VLOOKUP(RIGHT('paste report'!G82,6),$AE$10:$AF$47,2,FALSE),"")</f>
        <v/>
      </c>
      <c r="O82" s="72">
        <f t="shared" si="11"/>
        <v>0</v>
      </c>
      <c r="P82" s="75" t="str">
        <f>_xlfn.IFNA(VLOOKUP(LEFT('paste report'!H82,6),$AE$10:$AF$47,2,FALSE),"")</f>
        <v/>
      </c>
      <c r="Q82" s="77" t="str">
        <f>_xlfn.IFNA(VLOOKUP(RIGHT('paste report'!H82,6),$AE$10:$AF$47,2,FALSE),"")</f>
        <v/>
      </c>
      <c r="R82" s="72">
        <f t="shared" si="12"/>
        <v>0</v>
      </c>
      <c r="S82" s="75" t="str">
        <f>_xlfn.IFNA(VLOOKUP(LEFT('paste report'!I82,6),$AE$10:$AF$47,2,FALSE),"")</f>
        <v/>
      </c>
      <c r="T82" s="77" t="str">
        <f>_xlfn.IFNA(VLOOKUP(RIGHT('paste report'!I82,6),$AE$10:$AF$47,2,FALSE),"")</f>
        <v/>
      </c>
      <c r="U82" s="72">
        <f t="shared" si="13"/>
        <v>0</v>
      </c>
      <c r="V82" s="75" t="str">
        <f>_xlfn.IFNA(VLOOKUP(LEFT('paste report'!J82,6),$AE$10:$AF$47,2,FALSE),"")</f>
        <v/>
      </c>
      <c r="W82" s="77" t="str">
        <f>_xlfn.IFNA(VLOOKUP(RIGHT('paste report'!J82,6),$AE$10:$AF$47,2,FALSE),"")</f>
        <v/>
      </c>
      <c r="X82" s="72">
        <f t="shared" si="14"/>
        <v>0</v>
      </c>
      <c r="Y82" s="75" t="str">
        <f>_xlfn.IFNA(VLOOKUP(LEFT('paste report'!K82,6),$AE$10:$AF$47,2,FALSE),"")</f>
        <v/>
      </c>
      <c r="Z82" s="77" t="str">
        <f>_xlfn.IFNA(VLOOKUP(RIGHT('paste report'!K82,6),$AE$10:$AF$47,2,FALSE),"")</f>
        <v/>
      </c>
      <c r="AA82" s="72">
        <f t="shared" si="15"/>
        <v>0</v>
      </c>
    </row>
    <row r="83" spans="2:27">
      <c r="B83" s="66">
        <f>'paste report'!A83</f>
        <v>0</v>
      </c>
      <c r="C83" s="66">
        <f>'paste report'!B83</f>
        <v>0</v>
      </c>
      <c r="D83" s="67">
        <f>'paste report'!C83</f>
        <v>0</v>
      </c>
      <c r="E83" s="68" t="e">
        <f>VLOOKUP(B83,Team!$B$4:$F$183,5,FALSE)</f>
        <v>#N/A</v>
      </c>
      <c r="F83" s="69">
        <f t="shared" si="8"/>
        <v>0</v>
      </c>
      <c r="G83" s="75" t="str">
        <f>_xlfn.IFNA(VLOOKUP(LEFT('paste report'!E83,6),$AE$10:$AF$47,2,FALSE),"")</f>
        <v/>
      </c>
      <c r="H83" s="76" t="str">
        <f>_xlfn.IFNA(VLOOKUP(RIGHT('paste report'!E83,6),$AE$10:$AF$47,2,FALSE),"")</f>
        <v/>
      </c>
      <c r="I83" s="72">
        <f t="shared" si="9"/>
        <v>0</v>
      </c>
      <c r="J83" s="75" t="str">
        <f>_xlfn.IFNA(VLOOKUP(LEFT('paste report'!F83,6),$AE$10:$AF$47,2,FALSE),"")</f>
        <v/>
      </c>
      <c r="K83" s="77" t="str">
        <f>_xlfn.IFNA(VLOOKUP(RIGHT('paste report'!F83,6),$AE$10:$AF$47,2,FALSE),"")</f>
        <v/>
      </c>
      <c r="L83" s="72">
        <f t="shared" si="10"/>
        <v>0</v>
      </c>
      <c r="M83" s="75" t="str">
        <f>_xlfn.IFNA(VLOOKUP(LEFT('paste report'!G83,6),$AE$10:$AF$47,2,FALSE),"")</f>
        <v/>
      </c>
      <c r="N83" s="77" t="str">
        <f>_xlfn.IFNA(VLOOKUP(RIGHT('paste report'!G83,6),$AE$10:$AF$47,2,FALSE),"")</f>
        <v/>
      </c>
      <c r="O83" s="72">
        <f t="shared" si="11"/>
        <v>0</v>
      </c>
      <c r="P83" s="75" t="str">
        <f>_xlfn.IFNA(VLOOKUP(LEFT('paste report'!H83,6),$AE$10:$AF$47,2,FALSE),"")</f>
        <v/>
      </c>
      <c r="Q83" s="77" t="str">
        <f>_xlfn.IFNA(VLOOKUP(RIGHT('paste report'!H83,6),$AE$10:$AF$47,2,FALSE),"")</f>
        <v/>
      </c>
      <c r="R83" s="72">
        <f t="shared" si="12"/>
        <v>0</v>
      </c>
      <c r="S83" s="75" t="str">
        <f>_xlfn.IFNA(VLOOKUP(LEFT('paste report'!I83,6),$AE$10:$AF$47,2,FALSE),"")</f>
        <v/>
      </c>
      <c r="T83" s="77" t="str">
        <f>_xlfn.IFNA(VLOOKUP(RIGHT('paste report'!I83,6),$AE$10:$AF$47,2,FALSE),"")</f>
        <v/>
      </c>
      <c r="U83" s="72">
        <f t="shared" si="13"/>
        <v>0</v>
      </c>
      <c r="V83" s="75" t="str">
        <f>_xlfn.IFNA(VLOOKUP(LEFT('paste report'!J83,6),$AE$10:$AF$47,2,FALSE),"")</f>
        <v/>
      </c>
      <c r="W83" s="77" t="str">
        <f>_xlfn.IFNA(VLOOKUP(RIGHT('paste report'!J83,6),$AE$10:$AF$47,2,FALSE),"")</f>
        <v/>
      </c>
      <c r="X83" s="72">
        <f t="shared" si="14"/>
        <v>0</v>
      </c>
      <c r="Y83" s="75" t="str">
        <f>_xlfn.IFNA(VLOOKUP(LEFT('paste report'!K83,6),$AE$10:$AF$47,2,FALSE),"")</f>
        <v/>
      </c>
      <c r="Z83" s="77" t="str">
        <f>_xlfn.IFNA(VLOOKUP(RIGHT('paste report'!K83,6),$AE$10:$AF$47,2,FALSE),"")</f>
        <v/>
      </c>
      <c r="AA83" s="72">
        <f t="shared" si="15"/>
        <v>0</v>
      </c>
    </row>
    <row r="84" spans="2:27">
      <c r="B84" s="66">
        <f>'paste report'!A84</f>
        <v>0</v>
      </c>
      <c r="C84" s="66">
        <f>'paste report'!B84</f>
        <v>0</v>
      </c>
      <c r="D84" s="67">
        <f>'paste report'!C84</f>
        <v>0</v>
      </c>
      <c r="E84" s="68" t="e">
        <f>VLOOKUP(B84,Team!$B$4:$F$183,5,FALSE)</f>
        <v>#N/A</v>
      </c>
      <c r="F84" s="69">
        <f t="shared" si="8"/>
        <v>0</v>
      </c>
      <c r="G84" s="75" t="str">
        <f>_xlfn.IFNA(VLOOKUP(LEFT('paste report'!E84,6),$AE$10:$AF$47,2,FALSE),"")</f>
        <v/>
      </c>
      <c r="H84" s="76" t="str">
        <f>_xlfn.IFNA(VLOOKUP(RIGHT('paste report'!E84,6),$AE$10:$AF$47,2,FALSE),"")</f>
        <v/>
      </c>
      <c r="I84" s="72">
        <f t="shared" si="9"/>
        <v>0</v>
      </c>
      <c r="J84" s="75" t="str">
        <f>_xlfn.IFNA(VLOOKUP(LEFT('paste report'!F84,6),$AE$10:$AF$47,2,FALSE),"")</f>
        <v/>
      </c>
      <c r="K84" s="77" t="str">
        <f>_xlfn.IFNA(VLOOKUP(RIGHT('paste report'!F84,6),$AE$10:$AF$47,2,FALSE),"")</f>
        <v/>
      </c>
      <c r="L84" s="72">
        <f t="shared" si="10"/>
        <v>0</v>
      </c>
      <c r="M84" s="75" t="str">
        <f>_xlfn.IFNA(VLOOKUP(LEFT('paste report'!G84,6),$AE$10:$AF$47,2,FALSE),"")</f>
        <v/>
      </c>
      <c r="N84" s="77" t="str">
        <f>_xlfn.IFNA(VLOOKUP(RIGHT('paste report'!G84,6),$AE$10:$AF$47,2,FALSE),"")</f>
        <v/>
      </c>
      <c r="O84" s="72">
        <f t="shared" si="11"/>
        <v>0</v>
      </c>
      <c r="P84" s="75" t="str">
        <f>_xlfn.IFNA(VLOOKUP(LEFT('paste report'!H84,6),$AE$10:$AF$47,2,FALSE),"")</f>
        <v/>
      </c>
      <c r="Q84" s="77" t="str">
        <f>_xlfn.IFNA(VLOOKUP(RIGHT('paste report'!H84,6),$AE$10:$AF$47,2,FALSE),"")</f>
        <v/>
      </c>
      <c r="R84" s="72">
        <f t="shared" si="12"/>
        <v>0</v>
      </c>
      <c r="S84" s="75" t="str">
        <f>_xlfn.IFNA(VLOOKUP(LEFT('paste report'!I84,6),$AE$10:$AF$47,2,FALSE),"")</f>
        <v/>
      </c>
      <c r="T84" s="77" t="str">
        <f>_xlfn.IFNA(VLOOKUP(RIGHT('paste report'!I84,6),$AE$10:$AF$47,2,FALSE),"")</f>
        <v/>
      </c>
      <c r="U84" s="72">
        <f t="shared" si="13"/>
        <v>0</v>
      </c>
      <c r="V84" s="75" t="str">
        <f>_xlfn.IFNA(VLOOKUP(LEFT('paste report'!J84,6),$AE$10:$AF$47,2,FALSE),"")</f>
        <v/>
      </c>
      <c r="W84" s="77" t="str">
        <f>_xlfn.IFNA(VLOOKUP(RIGHT('paste report'!J84,6),$AE$10:$AF$47,2,FALSE),"")</f>
        <v/>
      </c>
      <c r="X84" s="72">
        <f t="shared" si="14"/>
        <v>0</v>
      </c>
      <c r="Y84" s="75" t="str">
        <f>_xlfn.IFNA(VLOOKUP(LEFT('paste report'!K84,6),$AE$10:$AF$47,2,FALSE),"")</f>
        <v/>
      </c>
      <c r="Z84" s="77" t="str">
        <f>_xlfn.IFNA(VLOOKUP(RIGHT('paste report'!K84,6),$AE$10:$AF$47,2,FALSE),"")</f>
        <v/>
      </c>
      <c r="AA84" s="72">
        <f t="shared" si="15"/>
        <v>0</v>
      </c>
    </row>
    <row r="85" spans="2:27">
      <c r="B85" s="66">
        <f>'paste report'!A85</f>
        <v>0</v>
      </c>
      <c r="C85" s="66">
        <f>'paste report'!B85</f>
        <v>0</v>
      </c>
      <c r="D85" s="67">
        <f>'paste report'!C85</f>
        <v>0</v>
      </c>
      <c r="E85" s="68" t="e">
        <f>VLOOKUP(B85,Team!$B$4:$F$183,5,FALSE)</f>
        <v>#N/A</v>
      </c>
      <c r="F85" s="69">
        <f t="shared" si="8"/>
        <v>0</v>
      </c>
      <c r="G85" s="75" t="str">
        <f>_xlfn.IFNA(VLOOKUP(LEFT('paste report'!E85,6),$AE$10:$AF$47,2,FALSE),"")</f>
        <v/>
      </c>
      <c r="H85" s="76" t="str">
        <f>_xlfn.IFNA(VLOOKUP(RIGHT('paste report'!E85,6),$AE$10:$AF$47,2,FALSE),"")</f>
        <v/>
      </c>
      <c r="I85" s="72">
        <f t="shared" si="9"/>
        <v>0</v>
      </c>
      <c r="J85" s="75" t="str">
        <f>_xlfn.IFNA(VLOOKUP(LEFT('paste report'!F85,6),$AE$10:$AF$47,2,FALSE),"")</f>
        <v/>
      </c>
      <c r="K85" s="77" t="str">
        <f>_xlfn.IFNA(VLOOKUP(RIGHT('paste report'!F85,6),$AE$10:$AF$47,2,FALSE),"")</f>
        <v/>
      </c>
      <c r="L85" s="72">
        <f t="shared" si="10"/>
        <v>0</v>
      </c>
      <c r="M85" s="75" t="str">
        <f>_xlfn.IFNA(VLOOKUP(LEFT('paste report'!G85,6),$AE$10:$AF$47,2,FALSE),"")</f>
        <v/>
      </c>
      <c r="N85" s="77" t="str">
        <f>_xlfn.IFNA(VLOOKUP(RIGHT('paste report'!G85,6),$AE$10:$AF$47,2,FALSE),"")</f>
        <v/>
      </c>
      <c r="O85" s="72">
        <f t="shared" si="11"/>
        <v>0</v>
      </c>
      <c r="P85" s="75" t="str">
        <f>_xlfn.IFNA(VLOOKUP(LEFT('paste report'!H85,6),$AE$10:$AF$47,2,FALSE),"")</f>
        <v/>
      </c>
      <c r="Q85" s="77" t="str">
        <f>_xlfn.IFNA(VLOOKUP(RIGHT('paste report'!H85,6),$AE$10:$AF$47,2,FALSE),"")</f>
        <v/>
      </c>
      <c r="R85" s="72">
        <f t="shared" si="12"/>
        <v>0</v>
      </c>
      <c r="S85" s="75" t="str">
        <f>_xlfn.IFNA(VLOOKUP(LEFT('paste report'!I85,6),$AE$10:$AF$47,2,FALSE),"")</f>
        <v/>
      </c>
      <c r="T85" s="77" t="str">
        <f>_xlfn.IFNA(VLOOKUP(RIGHT('paste report'!I85,6),$AE$10:$AF$47,2,FALSE),"")</f>
        <v/>
      </c>
      <c r="U85" s="72">
        <f t="shared" si="13"/>
        <v>0</v>
      </c>
      <c r="V85" s="75" t="str">
        <f>_xlfn.IFNA(VLOOKUP(LEFT('paste report'!J85,6),$AE$10:$AF$47,2,FALSE),"")</f>
        <v/>
      </c>
      <c r="W85" s="77" t="str">
        <f>_xlfn.IFNA(VLOOKUP(RIGHT('paste report'!J85,6),$AE$10:$AF$47,2,FALSE),"")</f>
        <v/>
      </c>
      <c r="X85" s="72">
        <f t="shared" si="14"/>
        <v>0</v>
      </c>
      <c r="Y85" s="75" t="str">
        <f>_xlfn.IFNA(VLOOKUP(LEFT('paste report'!K85,6),$AE$10:$AF$47,2,FALSE),"")</f>
        <v/>
      </c>
      <c r="Z85" s="77" t="str">
        <f>_xlfn.IFNA(VLOOKUP(RIGHT('paste report'!K85,6),$AE$10:$AF$47,2,FALSE),"")</f>
        <v/>
      </c>
      <c r="AA85" s="72">
        <f t="shared" si="15"/>
        <v>0</v>
      </c>
    </row>
    <row r="86" spans="2:27">
      <c r="B86" s="66">
        <f>'paste report'!A86</f>
        <v>0</v>
      </c>
      <c r="C86" s="66">
        <f>'paste report'!B86</f>
        <v>0</v>
      </c>
      <c r="D86" s="67">
        <f>'paste report'!C86</f>
        <v>0</v>
      </c>
      <c r="E86" s="68" t="e">
        <f>VLOOKUP(B86,Team!$B$4:$F$183,5,FALSE)</f>
        <v>#N/A</v>
      </c>
      <c r="F86" s="69">
        <f t="shared" si="8"/>
        <v>0</v>
      </c>
      <c r="G86" s="75" t="str">
        <f>_xlfn.IFNA(VLOOKUP(LEFT('paste report'!E86,6),$AE$10:$AF$47,2,FALSE),"")</f>
        <v/>
      </c>
      <c r="H86" s="76" t="str">
        <f>_xlfn.IFNA(VLOOKUP(RIGHT('paste report'!E86,6),$AE$10:$AF$47,2,FALSE),"")</f>
        <v/>
      </c>
      <c r="I86" s="72">
        <f t="shared" si="9"/>
        <v>0</v>
      </c>
      <c r="J86" s="75" t="str">
        <f>_xlfn.IFNA(VLOOKUP(LEFT('paste report'!F86,6),$AE$10:$AF$47,2,FALSE),"")</f>
        <v/>
      </c>
      <c r="K86" s="77" t="str">
        <f>_xlfn.IFNA(VLOOKUP(RIGHT('paste report'!F86,6),$AE$10:$AF$47,2,FALSE),"")</f>
        <v/>
      </c>
      <c r="L86" s="72">
        <f t="shared" si="10"/>
        <v>0</v>
      </c>
      <c r="M86" s="75" t="str">
        <f>_xlfn.IFNA(VLOOKUP(LEFT('paste report'!G86,6),$AE$10:$AF$47,2,FALSE),"")</f>
        <v/>
      </c>
      <c r="N86" s="77" t="str">
        <f>_xlfn.IFNA(VLOOKUP(RIGHT('paste report'!G86,6),$AE$10:$AF$47,2,FALSE),"")</f>
        <v/>
      </c>
      <c r="O86" s="72">
        <f t="shared" si="11"/>
        <v>0</v>
      </c>
      <c r="P86" s="75" t="str">
        <f>_xlfn.IFNA(VLOOKUP(LEFT('paste report'!H86,6),$AE$10:$AF$47,2,FALSE),"")</f>
        <v/>
      </c>
      <c r="Q86" s="77" t="str">
        <f>_xlfn.IFNA(VLOOKUP(RIGHT('paste report'!H86,6),$AE$10:$AF$47,2,FALSE),"")</f>
        <v/>
      </c>
      <c r="R86" s="72">
        <f t="shared" si="12"/>
        <v>0</v>
      </c>
      <c r="S86" s="75" t="str">
        <f>_xlfn.IFNA(VLOOKUP(LEFT('paste report'!I86,6),$AE$10:$AF$47,2,FALSE),"")</f>
        <v/>
      </c>
      <c r="T86" s="77" t="str">
        <f>_xlfn.IFNA(VLOOKUP(RIGHT('paste report'!I86,6),$AE$10:$AF$47,2,FALSE),"")</f>
        <v/>
      </c>
      <c r="U86" s="72">
        <f t="shared" si="13"/>
        <v>0</v>
      </c>
      <c r="V86" s="75" t="str">
        <f>_xlfn.IFNA(VLOOKUP(LEFT('paste report'!J86,6),$AE$10:$AF$47,2,FALSE),"")</f>
        <v/>
      </c>
      <c r="W86" s="77" t="str">
        <f>_xlfn.IFNA(VLOOKUP(RIGHT('paste report'!J86,6),$AE$10:$AF$47,2,FALSE),"")</f>
        <v/>
      </c>
      <c r="X86" s="72">
        <f t="shared" si="14"/>
        <v>0</v>
      </c>
      <c r="Y86" s="75" t="str">
        <f>_xlfn.IFNA(VLOOKUP(LEFT('paste report'!K86,6),$AE$10:$AF$47,2,FALSE),"")</f>
        <v/>
      </c>
      <c r="Z86" s="77" t="str">
        <f>_xlfn.IFNA(VLOOKUP(RIGHT('paste report'!K86,6),$AE$10:$AF$47,2,FALSE),"")</f>
        <v/>
      </c>
      <c r="AA86" s="72">
        <f t="shared" si="15"/>
        <v>0</v>
      </c>
    </row>
    <row r="87" spans="2:27">
      <c r="B87" s="66">
        <f>'paste report'!A87</f>
        <v>0</v>
      </c>
      <c r="C87" s="66">
        <f>'paste report'!B87</f>
        <v>0</v>
      </c>
      <c r="D87" s="67">
        <f>'paste report'!C87</f>
        <v>0</v>
      </c>
      <c r="E87" s="68" t="e">
        <f>VLOOKUP(B87,Team!$B$4:$F$183,5,FALSE)</f>
        <v>#N/A</v>
      </c>
      <c r="F87" s="69">
        <f t="shared" si="8"/>
        <v>0</v>
      </c>
      <c r="G87" s="75" t="str">
        <f>_xlfn.IFNA(VLOOKUP(LEFT('paste report'!E87,6),$AE$10:$AF$47,2,FALSE),"")</f>
        <v/>
      </c>
      <c r="H87" s="76" t="str">
        <f>_xlfn.IFNA(VLOOKUP(RIGHT('paste report'!E87,6),$AE$10:$AF$47,2,FALSE),"")</f>
        <v/>
      </c>
      <c r="I87" s="72">
        <f t="shared" si="9"/>
        <v>0</v>
      </c>
      <c r="J87" s="75" t="str">
        <f>_xlfn.IFNA(VLOOKUP(LEFT('paste report'!F87,6),$AE$10:$AF$47,2,FALSE),"")</f>
        <v/>
      </c>
      <c r="K87" s="77" t="str">
        <f>_xlfn.IFNA(VLOOKUP(RIGHT('paste report'!F87,6),$AE$10:$AF$47,2,FALSE),"")</f>
        <v/>
      </c>
      <c r="L87" s="72">
        <f t="shared" si="10"/>
        <v>0</v>
      </c>
      <c r="M87" s="75" t="str">
        <f>_xlfn.IFNA(VLOOKUP(LEFT('paste report'!G87,6),$AE$10:$AF$47,2,FALSE),"")</f>
        <v/>
      </c>
      <c r="N87" s="77" t="str">
        <f>_xlfn.IFNA(VLOOKUP(RIGHT('paste report'!G87,6),$AE$10:$AF$47,2,FALSE),"")</f>
        <v/>
      </c>
      <c r="O87" s="72">
        <f t="shared" si="11"/>
        <v>0</v>
      </c>
      <c r="P87" s="75" t="str">
        <f>_xlfn.IFNA(VLOOKUP(LEFT('paste report'!H87,6),$AE$10:$AF$47,2,FALSE),"")</f>
        <v/>
      </c>
      <c r="Q87" s="77" t="str">
        <f>_xlfn.IFNA(VLOOKUP(RIGHT('paste report'!H87,6),$AE$10:$AF$47,2,FALSE),"")</f>
        <v/>
      </c>
      <c r="R87" s="72">
        <f t="shared" si="12"/>
        <v>0</v>
      </c>
      <c r="S87" s="75" t="str">
        <f>_xlfn.IFNA(VLOOKUP(LEFT('paste report'!I87,6),$AE$10:$AF$47,2,FALSE),"")</f>
        <v/>
      </c>
      <c r="T87" s="77" t="str">
        <f>_xlfn.IFNA(VLOOKUP(RIGHT('paste report'!I87,6),$AE$10:$AF$47,2,FALSE),"")</f>
        <v/>
      </c>
      <c r="U87" s="72">
        <f t="shared" si="13"/>
        <v>0</v>
      </c>
      <c r="V87" s="75" t="str">
        <f>_xlfn.IFNA(VLOOKUP(LEFT('paste report'!J87,6),$AE$10:$AF$47,2,FALSE),"")</f>
        <v/>
      </c>
      <c r="W87" s="77" t="str">
        <f>_xlfn.IFNA(VLOOKUP(RIGHT('paste report'!J87,6),$AE$10:$AF$47,2,FALSE),"")</f>
        <v/>
      </c>
      <c r="X87" s="72">
        <f t="shared" si="14"/>
        <v>0</v>
      </c>
      <c r="Y87" s="75" t="str">
        <f>_xlfn.IFNA(VLOOKUP(LEFT('paste report'!K87,6),$AE$10:$AF$47,2,FALSE),"")</f>
        <v/>
      </c>
      <c r="Z87" s="77" t="str">
        <f>_xlfn.IFNA(VLOOKUP(RIGHT('paste report'!K87,6),$AE$10:$AF$47,2,FALSE),"")</f>
        <v/>
      </c>
      <c r="AA87" s="72">
        <f t="shared" si="15"/>
        <v>0</v>
      </c>
    </row>
    <row r="88" spans="2:27">
      <c r="B88" s="66">
        <f>'paste report'!A88</f>
        <v>0</v>
      </c>
      <c r="C88" s="66">
        <f>'paste report'!B88</f>
        <v>0</v>
      </c>
      <c r="D88" s="67">
        <f>'paste report'!C88</f>
        <v>0</v>
      </c>
      <c r="E88" s="68" t="e">
        <f>VLOOKUP(B88,Team!$B$4:$F$183,5,FALSE)</f>
        <v>#N/A</v>
      </c>
      <c r="F88" s="69">
        <f t="shared" si="8"/>
        <v>0</v>
      </c>
      <c r="G88" s="75" t="str">
        <f>_xlfn.IFNA(VLOOKUP(LEFT('paste report'!E88,6),$AE$10:$AF$47,2,FALSE),"")</f>
        <v/>
      </c>
      <c r="H88" s="76" t="str">
        <f>_xlfn.IFNA(VLOOKUP(RIGHT('paste report'!E88,6),$AE$10:$AF$47,2,FALSE),"")</f>
        <v/>
      </c>
      <c r="I88" s="72">
        <f t="shared" si="9"/>
        <v>0</v>
      </c>
      <c r="J88" s="75" t="str">
        <f>_xlfn.IFNA(VLOOKUP(LEFT('paste report'!F88,6),$AE$10:$AF$47,2,FALSE),"")</f>
        <v/>
      </c>
      <c r="K88" s="77" t="str">
        <f>_xlfn.IFNA(VLOOKUP(RIGHT('paste report'!F88,6),$AE$10:$AF$47,2,FALSE),"")</f>
        <v/>
      </c>
      <c r="L88" s="72">
        <f t="shared" si="10"/>
        <v>0</v>
      </c>
      <c r="M88" s="75" t="str">
        <f>_xlfn.IFNA(VLOOKUP(LEFT('paste report'!G88,6),$AE$10:$AF$47,2,FALSE),"")</f>
        <v/>
      </c>
      <c r="N88" s="77" t="str">
        <f>_xlfn.IFNA(VLOOKUP(RIGHT('paste report'!G88,6),$AE$10:$AF$47,2,FALSE),"")</f>
        <v/>
      </c>
      <c r="O88" s="72">
        <f t="shared" si="11"/>
        <v>0</v>
      </c>
      <c r="P88" s="75" t="str">
        <f>_xlfn.IFNA(VLOOKUP(LEFT('paste report'!H88,6),$AE$10:$AF$47,2,FALSE),"")</f>
        <v/>
      </c>
      <c r="Q88" s="77" t="str">
        <f>_xlfn.IFNA(VLOOKUP(RIGHT('paste report'!H88,6),$AE$10:$AF$47,2,FALSE),"")</f>
        <v/>
      </c>
      <c r="R88" s="72">
        <f t="shared" si="12"/>
        <v>0</v>
      </c>
      <c r="S88" s="75" t="str">
        <f>_xlfn.IFNA(VLOOKUP(LEFT('paste report'!I88,6),$AE$10:$AF$47,2,FALSE),"")</f>
        <v/>
      </c>
      <c r="T88" s="77" t="str">
        <f>_xlfn.IFNA(VLOOKUP(RIGHT('paste report'!I88,6),$AE$10:$AF$47,2,FALSE),"")</f>
        <v/>
      </c>
      <c r="U88" s="72">
        <f t="shared" si="13"/>
        <v>0</v>
      </c>
      <c r="V88" s="75" t="str">
        <f>_xlfn.IFNA(VLOOKUP(LEFT('paste report'!J88,6),$AE$10:$AF$47,2,FALSE),"")</f>
        <v/>
      </c>
      <c r="W88" s="77" t="str">
        <f>_xlfn.IFNA(VLOOKUP(RIGHT('paste report'!J88,6),$AE$10:$AF$47,2,FALSE),"")</f>
        <v/>
      </c>
      <c r="X88" s="72">
        <f t="shared" si="14"/>
        <v>0</v>
      </c>
      <c r="Y88" s="75" t="str">
        <f>_xlfn.IFNA(VLOOKUP(LEFT('paste report'!K88,6),$AE$10:$AF$47,2,FALSE),"")</f>
        <v/>
      </c>
      <c r="Z88" s="77" t="str">
        <f>_xlfn.IFNA(VLOOKUP(RIGHT('paste report'!K88,6),$AE$10:$AF$47,2,FALSE),"")</f>
        <v/>
      </c>
      <c r="AA88" s="72">
        <f t="shared" si="15"/>
        <v>0</v>
      </c>
    </row>
    <row r="89" spans="2:27">
      <c r="B89" s="66">
        <f>'paste report'!A89</f>
        <v>0</v>
      </c>
      <c r="C89" s="66">
        <f>'paste report'!B89</f>
        <v>0</v>
      </c>
      <c r="D89" s="67">
        <f>'paste report'!C89</f>
        <v>0</v>
      </c>
      <c r="E89" s="68" t="e">
        <f>VLOOKUP(B89,Team!$B$4:$F$183,5,FALSE)</f>
        <v>#N/A</v>
      </c>
      <c r="F89" s="69">
        <f t="shared" si="8"/>
        <v>0</v>
      </c>
      <c r="G89" s="75" t="str">
        <f>_xlfn.IFNA(VLOOKUP(LEFT('paste report'!E89,6),$AE$10:$AF$47,2,FALSE),"")</f>
        <v/>
      </c>
      <c r="H89" s="76" t="str">
        <f>_xlfn.IFNA(VLOOKUP(RIGHT('paste report'!E89,6),$AE$10:$AF$47,2,FALSE),"")</f>
        <v/>
      </c>
      <c r="I89" s="72">
        <f t="shared" si="9"/>
        <v>0</v>
      </c>
      <c r="J89" s="75" t="str">
        <f>_xlfn.IFNA(VLOOKUP(LEFT('paste report'!F89,6),$AE$10:$AF$47,2,FALSE),"")</f>
        <v/>
      </c>
      <c r="K89" s="77" t="str">
        <f>_xlfn.IFNA(VLOOKUP(RIGHT('paste report'!F89,6),$AE$10:$AF$47,2,FALSE),"")</f>
        <v/>
      </c>
      <c r="L89" s="72">
        <f t="shared" si="10"/>
        <v>0</v>
      </c>
      <c r="M89" s="75" t="str">
        <f>_xlfn.IFNA(VLOOKUP(LEFT('paste report'!G89,6),$AE$10:$AF$47,2,FALSE),"")</f>
        <v/>
      </c>
      <c r="N89" s="77" t="str">
        <f>_xlfn.IFNA(VLOOKUP(RIGHT('paste report'!G89,6),$AE$10:$AF$47,2,FALSE),"")</f>
        <v/>
      </c>
      <c r="O89" s="72">
        <f t="shared" si="11"/>
        <v>0</v>
      </c>
      <c r="P89" s="75" t="str">
        <f>_xlfn.IFNA(VLOOKUP(LEFT('paste report'!H89,6),$AE$10:$AF$47,2,FALSE),"")</f>
        <v/>
      </c>
      <c r="Q89" s="77" t="str">
        <f>_xlfn.IFNA(VLOOKUP(RIGHT('paste report'!H89,6),$AE$10:$AF$47,2,FALSE),"")</f>
        <v/>
      </c>
      <c r="R89" s="72">
        <f t="shared" si="12"/>
        <v>0</v>
      </c>
      <c r="S89" s="75" t="str">
        <f>_xlfn.IFNA(VLOOKUP(LEFT('paste report'!I89,6),$AE$10:$AF$47,2,FALSE),"")</f>
        <v/>
      </c>
      <c r="T89" s="77" t="str">
        <f>_xlfn.IFNA(VLOOKUP(RIGHT('paste report'!I89,6),$AE$10:$AF$47,2,FALSE),"")</f>
        <v/>
      </c>
      <c r="U89" s="72">
        <f t="shared" si="13"/>
        <v>0</v>
      </c>
      <c r="V89" s="75" t="str">
        <f>_xlfn.IFNA(VLOOKUP(LEFT('paste report'!J89,6),$AE$10:$AF$47,2,FALSE),"")</f>
        <v/>
      </c>
      <c r="W89" s="77" t="str">
        <f>_xlfn.IFNA(VLOOKUP(RIGHT('paste report'!J89,6),$AE$10:$AF$47,2,FALSE),"")</f>
        <v/>
      </c>
      <c r="X89" s="72">
        <f t="shared" si="14"/>
        <v>0</v>
      </c>
      <c r="Y89" s="75" t="str">
        <f>_xlfn.IFNA(VLOOKUP(LEFT('paste report'!K89,6),$AE$10:$AF$47,2,FALSE),"")</f>
        <v/>
      </c>
      <c r="Z89" s="77" t="str">
        <f>_xlfn.IFNA(VLOOKUP(RIGHT('paste report'!K89,6),$AE$10:$AF$47,2,FALSE),"")</f>
        <v/>
      </c>
      <c r="AA89" s="72">
        <f t="shared" si="15"/>
        <v>0</v>
      </c>
    </row>
    <row r="90" spans="2:27">
      <c r="B90" s="66">
        <f>'paste report'!A90</f>
        <v>0</v>
      </c>
      <c r="C90" s="66">
        <f>'paste report'!B90</f>
        <v>0</v>
      </c>
      <c r="D90" s="67">
        <f>'paste report'!C90</f>
        <v>0</v>
      </c>
      <c r="E90" s="68" t="e">
        <f>VLOOKUP(B90,Team!$B$4:$F$183,5,FALSE)</f>
        <v>#N/A</v>
      </c>
      <c r="F90" s="69">
        <f t="shared" si="8"/>
        <v>0</v>
      </c>
      <c r="G90" s="75" t="str">
        <f>_xlfn.IFNA(VLOOKUP(LEFT('paste report'!E90,6),$AE$10:$AF$47,2,FALSE),"")</f>
        <v/>
      </c>
      <c r="H90" s="76" t="str">
        <f>_xlfn.IFNA(VLOOKUP(RIGHT('paste report'!E90,6),$AE$10:$AF$47,2,FALSE),"")</f>
        <v/>
      </c>
      <c r="I90" s="72">
        <f t="shared" si="9"/>
        <v>0</v>
      </c>
      <c r="J90" s="75" t="str">
        <f>_xlfn.IFNA(VLOOKUP(LEFT('paste report'!F90,6),$AE$10:$AF$47,2,FALSE),"")</f>
        <v/>
      </c>
      <c r="K90" s="77" t="str">
        <f>_xlfn.IFNA(VLOOKUP(RIGHT('paste report'!F90,6),$AE$10:$AF$47,2,FALSE),"")</f>
        <v/>
      </c>
      <c r="L90" s="72">
        <f t="shared" si="10"/>
        <v>0</v>
      </c>
      <c r="M90" s="75" t="str">
        <f>_xlfn.IFNA(VLOOKUP(LEFT('paste report'!G90,6),$AE$10:$AF$47,2,FALSE),"")</f>
        <v/>
      </c>
      <c r="N90" s="77" t="str">
        <f>_xlfn.IFNA(VLOOKUP(RIGHT('paste report'!G90,6),$AE$10:$AF$47,2,FALSE),"")</f>
        <v/>
      </c>
      <c r="O90" s="72">
        <f t="shared" si="11"/>
        <v>0</v>
      </c>
      <c r="P90" s="75" t="str">
        <f>_xlfn.IFNA(VLOOKUP(LEFT('paste report'!H90,6),$AE$10:$AF$47,2,FALSE),"")</f>
        <v/>
      </c>
      <c r="Q90" s="77" t="str">
        <f>_xlfn.IFNA(VLOOKUP(RIGHT('paste report'!H90,6),$AE$10:$AF$47,2,FALSE),"")</f>
        <v/>
      </c>
      <c r="R90" s="72">
        <f t="shared" si="12"/>
        <v>0</v>
      </c>
      <c r="S90" s="75" t="str">
        <f>_xlfn.IFNA(VLOOKUP(LEFT('paste report'!I90,6),$AE$10:$AF$47,2,FALSE),"")</f>
        <v/>
      </c>
      <c r="T90" s="77" t="str">
        <f>_xlfn.IFNA(VLOOKUP(RIGHT('paste report'!I90,6),$AE$10:$AF$47,2,FALSE),"")</f>
        <v/>
      </c>
      <c r="U90" s="72">
        <f t="shared" si="13"/>
        <v>0</v>
      </c>
      <c r="V90" s="75" t="str">
        <f>_xlfn.IFNA(VLOOKUP(LEFT('paste report'!J90,6),$AE$10:$AF$47,2,FALSE),"")</f>
        <v/>
      </c>
      <c r="W90" s="77" t="str">
        <f>_xlfn.IFNA(VLOOKUP(RIGHT('paste report'!J90,6),$AE$10:$AF$47,2,FALSE),"")</f>
        <v/>
      </c>
      <c r="X90" s="72">
        <f t="shared" si="14"/>
        <v>0</v>
      </c>
      <c r="Y90" s="75" t="str">
        <f>_xlfn.IFNA(VLOOKUP(LEFT('paste report'!K90,6),$AE$10:$AF$47,2,FALSE),"")</f>
        <v/>
      </c>
      <c r="Z90" s="77" t="str">
        <f>_xlfn.IFNA(VLOOKUP(RIGHT('paste report'!K90,6),$AE$10:$AF$47,2,FALSE),"")</f>
        <v/>
      </c>
      <c r="AA90" s="72">
        <f t="shared" si="15"/>
        <v>0</v>
      </c>
    </row>
    <row r="91" spans="2:27">
      <c r="B91" s="66">
        <f>'paste report'!A91</f>
        <v>0</v>
      </c>
      <c r="C91" s="66">
        <f>'paste report'!B91</f>
        <v>0</v>
      </c>
      <c r="D91" s="67">
        <f>'paste report'!C91</f>
        <v>0</v>
      </c>
      <c r="E91" s="68" t="e">
        <f>VLOOKUP(B91,Team!$B$4:$F$183,5,FALSE)</f>
        <v>#N/A</v>
      </c>
      <c r="F91" s="69">
        <f t="shared" si="8"/>
        <v>0</v>
      </c>
      <c r="G91" s="75" t="str">
        <f>_xlfn.IFNA(VLOOKUP(LEFT('paste report'!E91,6),$AE$10:$AF$47,2,FALSE),"")</f>
        <v/>
      </c>
      <c r="H91" s="76" t="str">
        <f>_xlfn.IFNA(VLOOKUP(RIGHT('paste report'!E91,6),$AE$10:$AF$47,2,FALSE),"")</f>
        <v/>
      </c>
      <c r="I91" s="72">
        <f t="shared" si="9"/>
        <v>0</v>
      </c>
      <c r="J91" s="75" t="str">
        <f>_xlfn.IFNA(VLOOKUP(LEFT('paste report'!F91,6),$AE$10:$AF$47,2,FALSE),"")</f>
        <v/>
      </c>
      <c r="K91" s="77" t="str">
        <f>_xlfn.IFNA(VLOOKUP(RIGHT('paste report'!F91,6),$AE$10:$AF$47,2,FALSE),"")</f>
        <v/>
      </c>
      <c r="L91" s="72">
        <f t="shared" si="10"/>
        <v>0</v>
      </c>
      <c r="M91" s="75" t="str">
        <f>_xlfn.IFNA(VLOOKUP(LEFT('paste report'!G91,6),$AE$10:$AF$47,2,FALSE),"")</f>
        <v/>
      </c>
      <c r="N91" s="77" t="str">
        <f>_xlfn.IFNA(VLOOKUP(RIGHT('paste report'!G91,6),$AE$10:$AF$47,2,FALSE),"")</f>
        <v/>
      </c>
      <c r="O91" s="72">
        <f t="shared" si="11"/>
        <v>0</v>
      </c>
      <c r="P91" s="75" t="str">
        <f>_xlfn.IFNA(VLOOKUP(LEFT('paste report'!H91,6),$AE$10:$AF$47,2,FALSE),"")</f>
        <v/>
      </c>
      <c r="Q91" s="77" t="str">
        <f>_xlfn.IFNA(VLOOKUP(RIGHT('paste report'!H91,6),$AE$10:$AF$47,2,FALSE),"")</f>
        <v/>
      </c>
      <c r="R91" s="72">
        <f t="shared" si="12"/>
        <v>0</v>
      </c>
      <c r="S91" s="75" t="str">
        <f>_xlfn.IFNA(VLOOKUP(LEFT('paste report'!I91,6),$AE$10:$AF$47,2,FALSE),"")</f>
        <v/>
      </c>
      <c r="T91" s="77" t="str">
        <f>_xlfn.IFNA(VLOOKUP(RIGHT('paste report'!I91,6),$AE$10:$AF$47,2,FALSE),"")</f>
        <v/>
      </c>
      <c r="U91" s="72">
        <f t="shared" si="13"/>
        <v>0</v>
      </c>
      <c r="V91" s="75" t="str">
        <f>_xlfn.IFNA(VLOOKUP(LEFT('paste report'!J91,6),$AE$10:$AF$47,2,FALSE),"")</f>
        <v/>
      </c>
      <c r="W91" s="77" t="str">
        <f>_xlfn.IFNA(VLOOKUP(RIGHT('paste report'!J91,6),$AE$10:$AF$47,2,FALSE),"")</f>
        <v/>
      </c>
      <c r="X91" s="72">
        <f t="shared" si="14"/>
        <v>0</v>
      </c>
      <c r="Y91" s="75" t="str">
        <f>_xlfn.IFNA(VLOOKUP(LEFT('paste report'!K91,6),$AE$10:$AF$47,2,FALSE),"")</f>
        <v/>
      </c>
      <c r="Z91" s="77" t="str">
        <f>_xlfn.IFNA(VLOOKUP(RIGHT('paste report'!K91,6),$AE$10:$AF$47,2,FALSE),"")</f>
        <v/>
      </c>
      <c r="AA91" s="72">
        <f t="shared" si="15"/>
        <v>0</v>
      </c>
    </row>
    <row r="92" spans="2:27">
      <c r="B92" s="66">
        <f>'paste report'!A92</f>
        <v>0</v>
      </c>
      <c r="C92" s="66">
        <f>'paste report'!B92</f>
        <v>0</v>
      </c>
      <c r="D92" s="67">
        <f>'paste report'!C92</f>
        <v>0</v>
      </c>
      <c r="E92" s="68" t="e">
        <f>VLOOKUP(B92,Team!$B$4:$F$183,5,FALSE)</f>
        <v>#N/A</v>
      </c>
      <c r="F92" s="69">
        <f t="shared" si="8"/>
        <v>0</v>
      </c>
      <c r="G92" s="75" t="str">
        <f>_xlfn.IFNA(VLOOKUP(LEFT('paste report'!E92,6),$AE$10:$AF$47,2,FALSE),"")</f>
        <v/>
      </c>
      <c r="H92" s="76" t="str">
        <f>_xlfn.IFNA(VLOOKUP(RIGHT('paste report'!E92,6),$AE$10:$AF$47,2,FALSE),"")</f>
        <v/>
      </c>
      <c r="I92" s="72">
        <f t="shared" si="9"/>
        <v>0</v>
      </c>
      <c r="J92" s="75" t="str">
        <f>_xlfn.IFNA(VLOOKUP(LEFT('paste report'!F92,6),$AE$10:$AF$47,2,FALSE),"")</f>
        <v/>
      </c>
      <c r="K92" s="77" t="str">
        <f>_xlfn.IFNA(VLOOKUP(RIGHT('paste report'!F92,6),$AE$10:$AF$47,2,FALSE),"")</f>
        <v/>
      </c>
      <c r="L92" s="72">
        <f t="shared" si="10"/>
        <v>0</v>
      </c>
      <c r="M92" s="75" t="str">
        <f>_xlfn.IFNA(VLOOKUP(LEFT('paste report'!G92,6),$AE$10:$AF$47,2,FALSE),"")</f>
        <v/>
      </c>
      <c r="N92" s="77" t="str">
        <f>_xlfn.IFNA(VLOOKUP(RIGHT('paste report'!G92,6),$AE$10:$AF$47,2,FALSE),"")</f>
        <v/>
      </c>
      <c r="O92" s="72">
        <f t="shared" si="11"/>
        <v>0</v>
      </c>
      <c r="P92" s="75" t="str">
        <f>_xlfn.IFNA(VLOOKUP(LEFT('paste report'!H92,6),$AE$10:$AF$47,2,FALSE),"")</f>
        <v/>
      </c>
      <c r="Q92" s="77" t="str">
        <f>_xlfn.IFNA(VLOOKUP(RIGHT('paste report'!H92,6),$AE$10:$AF$47,2,FALSE),"")</f>
        <v/>
      </c>
      <c r="R92" s="72">
        <f t="shared" si="12"/>
        <v>0</v>
      </c>
      <c r="S92" s="75" t="str">
        <f>_xlfn.IFNA(VLOOKUP(LEFT('paste report'!I92,6),$AE$10:$AF$47,2,FALSE),"")</f>
        <v/>
      </c>
      <c r="T92" s="77" t="str">
        <f>_xlfn.IFNA(VLOOKUP(RIGHT('paste report'!I92,6),$AE$10:$AF$47,2,FALSE),"")</f>
        <v/>
      </c>
      <c r="U92" s="72">
        <f t="shared" si="13"/>
        <v>0</v>
      </c>
      <c r="V92" s="75" t="str">
        <f>_xlfn.IFNA(VLOOKUP(LEFT('paste report'!J92,6),$AE$10:$AF$47,2,FALSE),"")</f>
        <v/>
      </c>
      <c r="W92" s="77" t="str">
        <f>_xlfn.IFNA(VLOOKUP(RIGHT('paste report'!J92,6),$AE$10:$AF$47,2,FALSE),"")</f>
        <v/>
      </c>
      <c r="X92" s="72">
        <f t="shared" si="14"/>
        <v>0</v>
      </c>
      <c r="Y92" s="75" t="str">
        <f>_xlfn.IFNA(VLOOKUP(LEFT('paste report'!K92,6),$AE$10:$AF$47,2,FALSE),"")</f>
        <v/>
      </c>
      <c r="Z92" s="77" t="str">
        <f>_xlfn.IFNA(VLOOKUP(RIGHT('paste report'!K92,6),$AE$10:$AF$47,2,FALSE),"")</f>
        <v/>
      </c>
      <c r="AA92" s="72">
        <f t="shared" si="15"/>
        <v>0</v>
      </c>
    </row>
    <row r="93" spans="2:27">
      <c r="B93" s="66">
        <f>'paste report'!A93</f>
        <v>0</v>
      </c>
      <c r="C93" s="66">
        <f>'paste report'!B93</f>
        <v>0</v>
      </c>
      <c r="D93" s="67">
        <f>'paste report'!C93</f>
        <v>0</v>
      </c>
      <c r="E93" s="68" t="e">
        <f>VLOOKUP(B93,Team!$B$4:$F$183,5,FALSE)</f>
        <v>#N/A</v>
      </c>
      <c r="F93" s="69">
        <f t="shared" si="8"/>
        <v>0</v>
      </c>
      <c r="G93" s="75" t="str">
        <f>_xlfn.IFNA(VLOOKUP(LEFT('paste report'!E93,6),$AE$10:$AF$47,2,FALSE),"")</f>
        <v/>
      </c>
      <c r="H93" s="76" t="str">
        <f>_xlfn.IFNA(VLOOKUP(RIGHT('paste report'!E93,6),$AE$10:$AF$47,2,FALSE),"")</f>
        <v/>
      </c>
      <c r="I93" s="72">
        <f t="shared" si="9"/>
        <v>0</v>
      </c>
      <c r="J93" s="75" t="str">
        <f>_xlfn.IFNA(VLOOKUP(LEFT('paste report'!F93,6),$AE$10:$AF$47,2,FALSE),"")</f>
        <v/>
      </c>
      <c r="K93" s="77" t="str">
        <f>_xlfn.IFNA(VLOOKUP(RIGHT('paste report'!F93,6),$AE$10:$AF$47,2,FALSE),"")</f>
        <v/>
      </c>
      <c r="L93" s="72">
        <f t="shared" si="10"/>
        <v>0</v>
      </c>
      <c r="M93" s="75" t="str">
        <f>_xlfn.IFNA(VLOOKUP(LEFT('paste report'!G93,6),$AE$10:$AF$47,2,FALSE),"")</f>
        <v/>
      </c>
      <c r="N93" s="77" t="str">
        <f>_xlfn.IFNA(VLOOKUP(RIGHT('paste report'!G93,6),$AE$10:$AF$47,2,FALSE),"")</f>
        <v/>
      </c>
      <c r="O93" s="72">
        <f t="shared" si="11"/>
        <v>0</v>
      </c>
      <c r="P93" s="75" t="str">
        <f>_xlfn.IFNA(VLOOKUP(LEFT('paste report'!H93,6),$AE$10:$AF$47,2,FALSE),"")</f>
        <v/>
      </c>
      <c r="Q93" s="77" t="str">
        <f>_xlfn.IFNA(VLOOKUP(RIGHT('paste report'!H93,6),$AE$10:$AF$47,2,FALSE),"")</f>
        <v/>
      </c>
      <c r="R93" s="72">
        <f t="shared" si="12"/>
        <v>0</v>
      </c>
      <c r="S93" s="75" t="str">
        <f>_xlfn.IFNA(VLOOKUP(LEFT('paste report'!I93,6),$AE$10:$AF$47,2,FALSE),"")</f>
        <v/>
      </c>
      <c r="T93" s="77" t="str">
        <f>_xlfn.IFNA(VLOOKUP(RIGHT('paste report'!I93,6),$AE$10:$AF$47,2,FALSE),"")</f>
        <v/>
      </c>
      <c r="U93" s="72">
        <f t="shared" si="13"/>
        <v>0</v>
      </c>
      <c r="V93" s="75" t="str">
        <f>_xlfn.IFNA(VLOOKUP(LEFT('paste report'!J93,6),$AE$10:$AF$47,2,FALSE),"")</f>
        <v/>
      </c>
      <c r="W93" s="77" t="str">
        <f>_xlfn.IFNA(VLOOKUP(RIGHT('paste report'!J93,6),$AE$10:$AF$47,2,FALSE),"")</f>
        <v/>
      </c>
      <c r="X93" s="72">
        <f t="shared" si="14"/>
        <v>0</v>
      </c>
      <c r="Y93" s="75" t="str">
        <f>_xlfn.IFNA(VLOOKUP(LEFT('paste report'!K93,6),$AE$10:$AF$47,2,FALSE),"")</f>
        <v/>
      </c>
      <c r="Z93" s="77" t="str">
        <f>_xlfn.IFNA(VLOOKUP(RIGHT('paste report'!K93,6),$AE$10:$AF$47,2,FALSE),"")</f>
        <v/>
      </c>
      <c r="AA93" s="72">
        <f t="shared" si="15"/>
        <v>0</v>
      </c>
    </row>
    <row r="94" spans="2:27">
      <c r="B94" s="66">
        <f>'paste report'!A94</f>
        <v>0</v>
      </c>
      <c r="C94" s="66">
        <f>'paste report'!B94</f>
        <v>0</v>
      </c>
      <c r="D94" s="67">
        <f>'paste report'!C94</f>
        <v>0</v>
      </c>
      <c r="E94" s="68" t="e">
        <f>VLOOKUP(B94,Team!$B$4:$F$183,5,FALSE)</f>
        <v>#N/A</v>
      </c>
      <c r="F94" s="69">
        <f t="shared" si="8"/>
        <v>0</v>
      </c>
      <c r="G94" s="75" t="str">
        <f>_xlfn.IFNA(VLOOKUP(LEFT('paste report'!E94,6),$AE$10:$AF$47,2,FALSE),"")</f>
        <v/>
      </c>
      <c r="H94" s="76" t="str">
        <f>_xlfn.IFNA(VLOOKUP(RIGHT('paste report'!E94,6),$AE$10:$AF$47,2,FALSE),"")</f>
        <v/>
      </c>
      <c r="I94" s="72">
        <f t="shared" si="9"/>
        <v>0</v>
      </c>
      <c r="J94" s="75" t="str">
        <f>_xlfn.IFNA(VLOOKUP(LEFT('paste report'!F94,6),$AE$10:$AF$47,2,FALSE),"")</f>
        <v/>
      </c>
      <c r="K94" s="77" t="str">
        <f>_xlfn.IFNA(VLOOKUP(RIGHT('paste report'!F94,6),$AE$10:$AF$47,2,FALSE),"")</f>
        <v/>
      </c>
      <c r="L94" s="72">
        <f t="shared" si="10"/>
        <v>0</v>
      </c>
      <c r="M94" s="75" t="str">
        <f>_xlfn.IFNA(VLOOKUP(LEFT('paste report'!G94,6),$AE$10:$AF$47,2,FALSE),"")</f>
        <v/>
      </c>
      <c r="N94" s="77" t="str">
        <f>_xlfn.IFNA(VLOOKUP(RIGHT('paste report'!G94,6),$AE$10:$AF$47,2,FALSE),"")</f>
        <v/>
      </c>
      <c r="O94" s="72">
        <f t="shared" si="11"/>
        <v>0</v>
      </c>
      <c r="P94" s="75" t="str">
        <f>_xlfn.IFNA(VLOOKUP(LEFT('paste report'!H94,6),$AE$10:$AF$47,2,FALSE),"")</f>
        <v/>
      </c>
      <c r="Q94" s="77" t="str">
        <f>_xlfn.IFNA(VLOOKUP(RIGHT('paste report'!H94,6),$AE$10:$AF$47,2,FALSE),"")</f>
        <v/>
      </c>
      <c r="R94" s="72">
        <f t="shared" si="12"/>
        <v>0</v>
      </c>
      <c r="S94" s="75" t="str">
        <f>_xlfn.IFNA(VLOOKUP(LEFT('paste report'!I94,6),$AE$10:$AF$47,2,FALSE),"")</f>
        <v/>
      </c>
      <c r="T94" s="77" t="str">
        <f>_xlfn.IFNA(VLOOKUP(RIGHT('paste report'!I94,6),$AE$10:$AF$47,2,FALSE),"")</f>
        <v/>
      </c>
      <c r="U94" s="72">
        <f t="shared" si="13"/>
        <v>0</v>
      </c>
      <c r="V94" s="75" t="str">
        <f>_xlfn.IFNA(VLOOKUP(LEFT('paste report'!J94,6),$AE$10:$AF$47,2,FALSE),"")</f>
        <v/>
      </c>
      <c r="W94" s="77" t="str">
        <f>_xlfn.IFNA(VLOOKUP(RIGHT('paste report'!J94,6),$AE$10:$AF$47,2,FALSE),"")</f>
        <v/>
      </c>
      <c r="X94" s="72">
        <f t="shared" si="14"/>
        <v>0</v>
      </c>
      <c r="Y94" s="75" t="str">
        <f>_xlfn.IFNA(VLOOKUP(LEFT('paste report'!K94,6),$AE$10:$AF$47,2,FALSE),"")</f>
        <v/>
      </c>
      <c r="Z94" s="77" t="str">
        <f>_xlfn.IFNA(VLOOKUP(RIGHT('paste report'!K94,6),$AE$10:$AF$47,2,FALSE),"")</f>
        <v/>
      </c>
      <c r="AA94" s="72">
        <f t="shared" si="15"/>
        <v>0</v>
      </c>
    </row>
    <row r="95" spans="2:27">
      <c r="B95" s="66">
        <f>'paste report'!A95</f>
        <v>0</v>
      </c>
      <c r="C95" s="66">
        <f>'paste report'!B95</f>
        <v>0</v>
      </c>
      <c r="D95" s="67">
        <f>'paste report'!C95</f>
        <v>0</v>
      </c>
      <c r="E95" s="68" t="e">
        <f>VLOOKUP(B95,Team!$B$4:$F$183,5,FALSE)</f>
        <v>#N/A</v>
      </c>
      <c r="F95" s="69">
        <f t="shared" si="8"/>
        <v>0</v>
      </c>
      <c r="G95" s="75" t="str">
        <f>_xlfn.IFNA(VLOOKUP(LEFT('paste report'!E95,6),$AE$10:$AF$47,2,FALSE),"")</f>
        <v/>
      </c>
      <c r="H95" s="76" t="str">
        <f>_xlfn.IFNA(VLOOKUP(RIGHT('paste report'!E95,6),$AE$10:$AF$47,2,FALSE),"")</f>
        <v/>
      </c>
      <c r="I95" s="72">
        <f t="shared" si="9"/>
        <v>0</v>
      </c>
      <c r="J95" s="75" t="str">
        <f>_xlfn.IFNA(VLOOKUP(LEFT('paste report'!F95,6),$AE$10:$AF$47,2,FALSE),"")</f>
        <v/>
      </c>
      <c r="K95" s="77" t="str">
        <f>_xlfn.IFNA(VLOOKUP(RIGHT('paste report'!F95,6),$AE$10:$AF$47,2,FALSE),"")</f>
        <v/>
      </c>
      <c r="L95" s="72">
        <f t="shared" si="10"/>
        <v>0</v>
      </c>
      <c r="M95" s="75" t="str">
        <f>_xlfn.IFNA(VLOOKUP(LEFT('paste report'!G95,6),$AE$10:$AF$47,2,FALSE),"")</f>
        <v/>
      </c>
      <c r="N95" s="77" t="str">
        <f>_xlfn.IFNA(VLOOKUP(RIGHT('paste report'!G95,6),$AE$10:$AF$47,2,FALSE),"")</f>
        <v/>
      </c>
      <c r="O95" s="72">
        <f t="shared" si="11"/>
        <v>0</v>
      </c>
      <c r="P95" s="75" t="str">
        <f>_xlfn.IFNA(VLOOKUP(LEFT('paste report'!H95,6),$AE$10:$AF$47,2,FALSE),"")</f>
        <v/>
      </c>
      <c r="Q95" s="77" t="str">
        <f>_xlfn.IFNA(VLOOKUP(RIGHT('paste report'!H95,6),$AE$10:$AF$47,2,FALSE),"")</f>
        <v/>
      </c>
      <c r="R95" s="72">
        <f t="shared" si="12"/>
        <v>0</v>
      </c>
      <c r="S95" s="75" t="str">
        <f>_xlfn.IFNA(VLOOKUP(LEFT('paste report'!I95,6),$AE$10:$AF$47,2,FALSE),"")</f>
        <v/>
      </c>
      <c r="T95" s="77" t="str">
        <f>_xlfn.IFNA(VLOOKUP(RIGHT('paste report'!I95,6),$AE$10:$AF$47,2,FALSE),"")</f>
        <v/>
      </c>
      <c r="U95" s="72">
        <f t="shared" si="13"/>
        <v>0</v>
      </c>
      <c r="V95" s="75" t="str">
        <f>_xlfn.IFNA(VLOOKUP(LEFT('paste report'!J95,6),$AE$10:$AF$47,2,FALSE),"")</f>
        <v/>
      </c>
      <c r="W95" s="77" t="str">
        <f>_xlfn.IFNA(VLOOKUP(RIGHT('paste report'!J95,6),$AE$10:$AF$47,2,FALSE),"")</f>
        <v/>
      </c>
      <c r="X95" s="72">
        <f t="shared" si="14"/>
        <v>0</v>
      </c>
      <c r="Y95" s="75" t="str">
        <f>_xlfn.IFNA(VLOOKUP(LEFT('paste report'!K95,6),$AE$10:$AF$47,2,FALSE),"")</f>
        <v/>
      </c>
      <c r="Z95" s="77" t="str">
        <f>_xlfn.IFNA(VLOOKUP(RIGHT('paste report'!K95,6),$AE$10:$AF$47,2,FALSE),"")</f>
        <v/>
      </c>
      <c r="AA95" s="72">
        <f t="shared" si="15"/>
        <v>0</v>
      </c>
    </row>
    <row r="96" spans="2:27">
      <c r="B96" s="66">
        <f>'paste report'!A96</f>
        <v>0</v>
      </c>
      <c r="C96" s="66">
        <f>'paste report'!B96</f>
        <v>0</v>
      </c>
      <c r="D96" s="67">
        <f>'paste report'!C96</f>
        <v>0</v>
      </c>
      <c r="E96" s="68" t="e">
        <f>VLOOKUP(B96,Team!$B$4:$F$183,5,FALSE)</f>
        <v>#N/A</v>
      </c>
      <c r="F96" s="69">
        <f t="shared" si="8"/>
        <v>0</v>
      </c>
      <c r="G96" s="75" t="str">
        <f>_xlfn.IFNA(VLOOKUP(LEFT('paste report'!E96,6),$AE$10:$AF$47,2,FALSE),"")</f>
        <v/>
      </c>
      <c r="H96" s="76" t="str">
        <f>_xlfn.IFNA(VLOOKUP(RIGHT('paste report'!E96,6),$AE$10:$AF$47,2,FALSE),"")</f>
        <v/>
      </c>
      <c r="I96" s="72">
        <f t="shared" si="9"/>
        <v>0</v>
      </c>
      <c r="J96" s="75" t="str">
        <f>_xlfn.IFNA(VLOOKUP(LEFT('paste report'!F96,6),$AE$10:$AF$47,2,FALSE),"")</f>
        <v/>
      </c>
      <c r="K96" s="77" t="str">
        <f>_xlfn.IFNA(VLOOKUP(RIGHT('paste report'!F96,6),$AE$10:$AF$47,2,FALSE),"")</f>
        <v/>
      </c>
      <c r="L96" s="72">
        <f t="shared" si="10"/>
        <v>0</v>
      </c>
      <c r="M96" s="75" t="str">
        <f>_xlfn.IFNA(VLOOKUP(LEFT('paste report'!G96,6),$AE$10:$AF$47,2,FALSE),"")</f>
        <v/>
      </c>
      <c r="N96" s="77" t="str">
        <f>_xlfn.IFNA(VLOOKUP(RIGHT('paste report'!G96,6),$AE$10:$AF$47,2,FALSE),"")</f>
        <v/>
      </c>
      <c r="O96" s="72">
        <f t="shared" si="11"/>
        <v>0</v>
      </c>
      <c r="P96" s="75" t="str">
        <f>_xlfn.IFNA(VLOOKUP(LEFT('paste report'!H96,6),$AE$10:$AF$47,2,FALSE),"")</f>
        <v/>
      </c>
      <c r="Q96" s="77" t="str">
        <f>_xlfn.IFNA(VLOOKUP(RIGHT('paste report'!H96,6),$AE$10:$AF$47,2,FALSE),"")</f>
        <v/>
      </c>
      <c r="R96" s="72">
        <f t="shared" si="12"/>
        <v>0</v>
      </c>
      <c r="S96" s="75" t="str">
        <f>_xlfn.IFNA(VLOOKUP(LEFT('paste report'!I96,6),$AE$10:$AF$47,2,FALSE),"")</f>
        <v/>
      </c>
      <c r="T96" s="77" t="str">
        <f>_xlfn.IFNA(VLOOKUP(RIGHT('paste report'!I96,6),$AE$10:$AF$47,2,FALSE),"")</f>
        <v/>
      </c>
      <c r="U96" s="72">
        <f t="shared" si="13"/>
        <v>0</v>
      </c>
      <c r="V96" s="75" t="str">
        <f>_xlfn.IFNA(VLOOKUP(LEFT('paste report'!J96,6),$AE$10:$AF$47,2,FALSE),"")</f>
        <v/>
      </c>
      <c r="W96" s="77" t="str">
        <f>_xlfn.IFNA(VLOOKUP(RIGHT('paste report'!J96,6),$AE$10:$AF$47,2,FALSE),"")</f>
        <v/>
      </c>
      <c r="X96" s="72">
        <f t="shared" si="14"/>
        <v>0</v>
      </c>
      <c r="Y96" s="75" t="str">
        <f>_xlfn.IFNA(VLOOKUP(LEFT('paste report'!K96,6),$AE$10:$AF$47,2,FALSE),"")</f>
        <v/>
      </c>
      <c r="Z96" s="77" t="str">
        <f>_xlfn.IFNA(VLOOKUP(RIGHT('paste report'!K96,6),$AE$10:$AF$47,2,FALSE),"")</f>
        <v/>
      </c>
      <c r="AA96" s="72">
        <f t="shared" si="15"/>
        <v>0</v>
      </c>
    </row>
    <row r="97" spans="2:27">
      <c r="B97" s="66">
        <f>'paste report'!A97</f>
        <v>0</v>
      </c>
      <c r="C97" s="66">
        <f>'paste report'!B97</f>
        <v>0</v>
      </c>
      <c r="D97" s="67">
        <f>'paste report'!C97</f>
        <v>0</v>
      </c>
      <c r="E97" s="68" t="e">
        <f>VLOOKUP(B97,Team!$B$4:$F$183,5,FALSE)</f>
        <v>#N/A</v>
      </c>
      <c r="F97" s="69">
        <f t="shared" si="8"/>
        <v>0</v>
      </c>
      <c r="G97" s="75" t="str">
        <f>_xlfn.IFNA(VLOOKUP(LEFT('paste report'!E97,6),$AE$10:$AF$47,2,FALSE),"")</f>
        <v/>
      </c>
      <c r="H97" s="76" t="str">
        <f>_xlfn.IFNA(VLOOKUP(RIGHT('paste report'!E97,6),$AE$10:$AF$47,2,FALSE),"")</f>
        <v/>
      </c>
      <c r="I97" s="72">
        <f t="shared" si="9"/>
        <v>0</v>
      </c>
      <c r="J97" s="75" t="str">
        <f>_xlfn.IFNA(VLOOKUP(LEFT('paste report'!F97,6),$AE$10:$AF$47,2,FALSE),"")</f>
        <v/>
      </c>
      <c r="K97" s="77" t="str">
        <f>_xlfn.IFNA(VLOOKUP(RIGHT('paste report'!F97,6),$AE$10:$AF$47,2,FALSE),"")</f>
        <v/>
      </c>
      <c r="L97" s="72">
        <f t="shared" si="10"/>
        <v>0</v>
      </c>
      <c r="M97" s="75" t="str">
        <f>_xlfn.IFNA(VLOOKUP(LEFT('paste report'!G97,6),$AE$10:$AF$47,2,FALSE),"")</f>
        <v/>
      </c>
      <c r="N97" s="77" t="str">
        <f>_xlfn.IFNA(VLOOKUP(RIGHT('paste report'!G97,6),$AE$10:$AF$47,2,FALSE),"")</f>
        <v/>
      </c>
      <c r="O97" s="72">
        <f t="shared" si="11"/>
        <v>0</v>
      </c>
      <c r="P97" s="75" t="str">
        <f>_xlfn.IFNA(VLOOKUP(LEFT('paste report'!H97,6),$AE$10:$AF$47,2,FALSE),"")</f>
        <v/>
      </c>
      <c r="Q97" s="77" t="str">
        <f>_xlfn.IFNA(VLOOKUP(RIGHT('paste report'!H97,6),$AE$10:$AF$47,2,FALSE),"")</f>
        <v/>
      </c>
      <c r="R97" s="72">
        <f t="shared" si="12"/>
        <v>0</v>
      </c>
      <c r="S97" s="75" t="str">
        <f>_xlfn.IFNA(VLOOKUP(LEFT('paste report'!I97,6),$AE$10:$AF$47,2,FALSE),"")</f>
        <v/>
      </c>
      <c r="T97" s="77" t="str">
        <f>_xlfn.IFNA(VLOOKUP(RIGHT('paste report'!I97,6),$AE$10:$AF$47,2,FALSE),"")</f>
        <v/>
      </c>
      <c r="U97" s="72">
        <f t="shared" si="13"/>
        <v>0</v>
      </c>
      <c r="V97" s="75" t="str">
        <f>_xlfn.IFNA(VLOOKUP(LEFT('paste report'!J97,6),$AE$10:$AF$47,2,FALSE),"")</f>
        <v/>
      </c>
      <c r="W97" s="77" t="str">
        <f>_xlfn.IFNA(VLOOKUP(RIGHT('paste report'!J97,6),$AE$10:$AF$47,2,FALSE),"")</f>
        <v/>
      </c>
      <c r="X97" s="72">
        <f t="shared" si="14"/>
        <v>0</v>
      </c>
      <c r="Y97" s="75" t="str">
        <f>_xlfn.IFNA(VLOOKUP(LEFT('paste report'!K97,6),$AE$10:$AF$47,2,FALSE),"")</f>
        <v/>
      </c>
      <c r="Z97" s="77" t="str">
        <f>_xlfn.IFNA(VLOOKUP(RIGHT('paste report'!K97,6),$AE$10:$AF$47,2,FALSE),"")</f>
        <v/>
      </c>
      <c r="AA97" s="72">
        <f t="shared" si="15"/>
        <v>0</v>
      </c>
    </row>
  </sheetData>
  <sheetProtection algorithmName="SHA-512" hashValue="2cxq9oCM7aLc1z2rGwgozxpAR2+d9yK274mQQH6i67uLc4K0GbQMOaZPSzPPAPNnrxS4U95Ag2JLRNhRgbsPPA==" saltValue="D9NOgSDwz0EgziKE3nXsjA==" spinCount="100000" sheet="1" sort="0" autoFilter="0"/>
  <mergeCells count="42">
    <mergeCell ref="S7:T7"/>
    <mergeCell ref="V7:W7"/>
    <mergeCell ref="Y7:Z7"/>
    <mergeCell ref="J3:L3"/>
    <mergeCell ref="M3:O3"/>
    <mergeCell ref="P3:R3"/>
    <mergeCell ref="S3:U3"/>
    <mergeCell ref="V3:X3"/>
    <mergeCell ref="Y3:AA3"/>
    <mergeCell ref="P4:Q4"/>
    <mergeCell ref="J4:K4"/>
    <mergeCell ref="J5:K5"/>
    <mergeCell ref="J6:K6"/>
    <mergeCell ref="M4:N4"/>
    <mergeCell ref="M5:N5"/>
    <mergeCell ref="M6:N6"/>
    <mergeCell ref="G7:H7"/>
    <mergeCell ref="J2:L2"/>
    <mergeCell ref="J7:K7"/>
    <mergeCell ref="M7:N7"/>
    <mergeCell ref="P7:Q7"/>
    <mergeCell ref="M2:O2"/>
    <mergeCell ref="P2:R2"/>
    <mergeCell ref="P5:Q5"/>
    <mergeCell ref="P6:Q6"/>
    <mergeCell ref="G2:I2"/>
    <mergeCell ref="G4:H4"/>
    <mergeCell ref="G5:H5"/>
    <mergeCell ref="G6:H6"/>
    <mergeCell ref="G3:I3"/>
    <mergeCell ref="S2:U2"/>
    <mergeCell ref="V2:X2"/>
    <mergeCell ref="Y4:Z4"/>
    <mergeCell ref="Y5:Z5"/>
    <mergeCell ref="Y6:Z6"/>
    <mergeCell ref="Y2:AA2"/>
    <mergeCell ref="S4:T4"/>
    <mergeCell ref="S5:T5"/>
    <mergeCell ref="S6:T6"/>
    <mergeCell ref="V4:W4"/>
    <mergeCell ref="V5:W5"/>
    <mergeCell ref="V6:W6"/>
  </mergeCells>
  <conditionalFormatting sqref="G9:Z97">
    <cfRule type="containsBlanks" dxfId="1066" priority="10" stopIfTrue="1">
      <formula>LEN(TRIM(G9))=0</formula>
    </cfRule>
  </conditionalFormatting>
  <conditionalFormatting sqref="I9:I97">
    <cfRule type="cellIs" dxfId="1065" priority="7" stopIfTrue="1" operator="equal">
      <formula>0</formula>
    </cfRule>
  </conditionalFormatting>
  <conditionalFormatting sqref="L9:L97">
    <cfRule type="cellIs" dxfId="1064" priority="8" stopIfTrue="1" operator="equal">
      <formula>0</formula>
    </cfRule>
  </conditionalFormatting>
  <conditionalFormatting sqref="O9:O97">
    <cfRule type="cellIs" dxfId="1063" priority="6" stopIfTrue="1" operator="equal">
      <formula>0</formula>
    </cfRule>
  </conditionalFormatting>
  <conditionalFormatting sqref="R9:R97">
    <cfRule type="cellIs" dxfId="1062" priority="5" stopIfTrue="1" operator="equal">
      <formula>0</formula>
    </cfRule>
  </conditionalFormatting>
  <conditionalFormatting sqref="U9:U97">
    <cfRule type="cellIs" dxfId="1061" priority="4" stopIfTrue="1" operator="equal">
      <formula>0</formula>
    </cfRule>
  </conditionalFormatting>
  <conditionalFormatting sqref="X9:X97">
    <cfRule type="cellIs" dxfId="1060" priority="3" stopIfTrue="1" operator="equal">
      <formula>0</formula>
    </cfRule>
  </conditionalFormatting>
  <conditionalFormatting sqref="AA9:AA97">
    <cfRule type="cellIs" dxfId="1059" priority="1" stopIfTrue="1" operator="equal">
      <formula>0</formula>
    </cfRule>
    <cfRule type="containsBlanks" dxfId="1058" priority="2" stopIfTrue="1">
      <formula>LEN(TRIM(AA9))=0</formula>
    </cfRule>
  </conditionalFormatting>
  <printOptions horizontalCentered="1" verticalCentered="1"/>
  <pageMargins left="0.7" right="0.7" top="0.75" bottom="0.75" header="0.3" footer="0.3"/>
  <pageSetup paperSize="9" scale="3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79998168889431442"/>
    <pageSetUpPr fitToPage="1"/>
  </sheetPr>
  <dimension ref="B1:BU396"/>
  <sheetViews>
    <sheetView tabSelected="1" zoomScale="70" zoomScaleNormal="70" workbookViewId="0">
      <selection activeCell="Q43" sqref="Q43"/>
    </sheetView>
  </sheetViews>
  <sheetFormatPr defaultRowHeight="12.6" outlineLevelCol="1"/>
  <cols>
    <col min="1" max="1" width="1.5703125" customWidth="1"/>
    <col min="2" max="2" width="5" customWidth="1"/>
    <col min="3" max="3" width="17.42578125" customWidth="1"/>
    <col min="4" max="4" width="0.140625" hidden="1" customWidth="1"/>
    <col min="5" max="5" width="6.140625" customWidth="1"/>
    <col min="6" max="7" width="8" customWidth="1"/>
    <col min="8" max="11" width="3.85546875" style="1" hidden="1" customWidth="1" outlineLevel="1"/>
    <col min="12" max="12" width="3.85546875" style="1" hidden="1" customWidth="1" collapsed="1"/>
    <col min="13" max="13" width="3.85546875" style="1" hidden="1" customWidth="1"/>
    <col min="14" max="55" width="3.85546875" style="1" customWidth="1"/>
    <col min="56" max="57" width="3.85546875" style="1" hidden="1" customWidth="1"/>
    <col min="58" max="59" width="3.85546875" style="1" hidden="1" customWidth="1" outlineLevel="1"/>
    <col min="60" max="71" width="3.85546875" hidden="1" customWidth="1" outlineLevel="1"/>
    <col min="72" max="72" width="4.85546875" hidden="1" customWidth="1" outlineLevel="1"/>
    <col min="73" max="73" width="8.85546875" collapsed="1"/>
  </cols>
  <sheetData>
    <row r="1" spans="2:72" ht="5.45" customHeight="1"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2:72">
      <c r="T2" s="138" t="s">
        <v>327</v>
      </c>
      <c r="U2" s="138"/>
      <c r="V2" s="138"/>
      <c r="W2" s="138"/>
      <c r="X2" s="138"/>
      <c r="Y2" s="138" t="s">
        <v>229</v>
      </c>
      <c r="Z2" s="138"/>
      <c r="AA2" s="138"/>
      <c r="AB2" s="138"/>
      <c r="AC2" s="138"/>
      <c r="AD2" s="47" t="s">
        <v>231</v>
      </c>
      <c r="AE2" s="138" t="s">
        <v>328</v>
      </c>
      <c r="AF2" s="138"/>
      <c r="AG2" s="138"/>
      <c r="AH2" s="138" t="s">
        <v>329</v>
      </c>
      <c r="AI2" s="138"/>
      <c r="AJ2" s="138"/>
      <c r="AK2" s="138"/>
      <c r="AL2" s="138" t="s">
        <v>330</v>
      </c>
      <c r="AM2" s="138"/>
      <c r="AN2" s="138" t="s">
        <v>248</v>
      </c>
      <c r="AO2" s="138"/>
      <c r="AP2" s="138"/>
      <c r="AQ2" s="138"/>
      <c r="AR2" s="138"/>
      <c r="AS2" s="138"/>
      <c r="AT2" s="138" t="s">
        <v>331</v>
      </c>
      <c r="AU2" s="138"/>
      <c r="AV2" s="138"/>
      <c r="AW2" s="138"/>
      <c r="AX2" s="2"/>
      <c r="AY2" s="2"/>
      <c r="AZ2" s="2"/>
      <c r="BA2" s="2"/>
      <c r="BB2" s="2"/>
    </row>
    <row r="3" spans="2:72">
      <c r="T3" s="16" t="s">
        <v>210</v>
      </c>
      <c r="U3" s="17" t="s">
        <v>212</v>
      </c>
      <c r="V3" s="18" t="s">
        <v>214</v>
      </c>
      <c r="W3" s="20" t="s">
        <v>216</v>
      </c>
      <c r="X3" s="19" t="s">
        <v>218</v>
      </c>
      <c r="Y3" s="11" t="s">
        <v>220</v>
      </c>
      <c r="Z3" s="12" t="s">
        <v>222</v>
      </c>
      <c r="AA3" s="14" t="s">
        <v>224</v>
      </c>
      <c r="AB3" s="15" t="s">
        <v>226</v>
      </c>
      <c r="AC3" s="13" t="s">
        <v>228</v>
      </c>
      <c r="AD3" s="42" t="s">
        <v>230</v>
      </c>
      <c r="AE3" s="46">
        <v>40</v>
      </c>
      <c r="AF3" s="46">
        <v>15</v>
      </c>
      <c r="AG3" s="46">
        <v>10</v>
      </c>
      <c r="AH3" s="40" t="s">
        <v>235</v>
      </c>
      <c r="AI3" s="41" t="s">
        <v>237</v>
      </c>
      <c r="AJ3" s="45" t="s">
        <v>239</v>
      </c>
      <c r="AK3" s="21" t="s">
        <v>241</v>
      </c>
      <c r="AL3" s="43" t="s">
        <v>243</v>
      </c>
      <c r="AM3" s="44" t="s">
        <v>245</v>
      </c>
      <c r="AN3" s="39" t="s">
        <v>247</v>
      </c>
      <c r="AO3" s="39" t="s">
        <v>249</v>
      </c>
      <c r="AP3" s="39" t="s">
        <v>251</v>
      </c>
      <c r="AQ3" s="39" t="s">
        <v>253</v>
      </c>
      <c r="AR3" s="39" t="s">
        <v>255</v>
      </c>
      <c r="AS3" s="39" t="s">
        <v>257</v>
      </c>
      <c r="AT3" s="10" t="s">
        <v>259</v>
      </c>
      <c r="AU3" s="10" t="s">
        <v>261</v>
      </c>
      <c r="AV3" s="10" t="s">
        <v>263</v>
      </c>
      <c r="AW3" s="10" t="s">
        <v>265</v>
      </c>
      <c r="AX3" s="2"/>
      <c r="AY3" s="2"/>
      <c r="AZ3" s="2"/>
      <c r="BA3" s="2"/>
      <c r="BB3" s="2"/>
    </row>
    <row r="4" spans="2:72" ht="6" customHeight="1"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2:72" ht="10.35" customHeight="1">
      <c r="C5" s="8" t="str">
        <f>Weekly!G2</f>
        <v xml:space="preserve"> Mon Nov 10</v>
      </c>
      <c r="H5" s="139">
        <v>7</v>
      </c>
      <c r="I5" s="140"/>
      <c r="J5" s="140"/>
      <c r="K5" s="141"/>
      <c r="L5" s="139">
        <v>8</v>
      </c>
      <c r="M5" s="140"/>
      <c r="N5" s="140"/>
      <c r="O5" s="141"/>
      <c r="P5" s="139">
        <v>9</v>
      </c>
      <c r="Q5" s="140"/>
      <c r="R5" s="140"/>
      <c r="S5" s="141"/>
      <c r="T5" s="139">
        <v>10</v>
      </c>
      <c r="U5" s="140"/>
      <c r="V5" s="140"/>
      <c r="W5" s="141"/>
      <c r="X5" s="139">
        <v>11</v>
      </c>
      <c r="Y5" s="140"/>
      <c r="Z5" s="140"/>
      <c r="AA5" s="141"/>
      <c r="AB5" s="139">
        <v>12</v>
      </c>
      <c r="AC5" s="140"/>
      <c r="AD5" s="140"/>
      <c r="AE5" s="141"/>
      <c r="AF5" s="139">
        <v>13</v>
      </c>
      <c r="AG5" s="140"/>
      <c r="AH5" s="140"/>
      <c r="AI5" s="141"/>
      <c r="AJ5" s="139">
        <v>14</v>
      </c>
      <c r="AK5" s="140"/>
      <c r="AL5" s="140"/>
      <c r="AM5" s="141"/>
      <c r="AN5" s="139">
        <v>15</v>
      </c>
      <c r="AO5" s="140"/>
      <c r="AP5" s="140"/>
      <c r="AQ5" s="141"/>
      <c r="AR5" s="139">
        <v>16</v>
      </c>
      <c r="AS5" s="140"/>
      <c r="AT5" s="140"/>
      <c r="AU5" s="141"/>
      <c r="AV5" s="139">
        <v>17</v>
      </c>
      <c r="AW5" s="140"/>
      <c r="AX5" s="140"/>
      <c r="AY5" s="141"/>
      <c r="AZ5" s="139">
        <v>18</v>
      </c>
      <c r="BA5" s="140"/>
      <c r="BB5" s="140"/>
      <c r="BC5" s="141"/>
      <c r="BD5" s="139">
        <v>19</v>
      </c>
      <c r="BE5" s="140"/>
      <c r="BF5" s="140"/>
      <c r="BG5" s="141"/>
      <c r="BH5" s="139">
        <v>20</v>
      </c>
      <c r="BI5" s="140"/>
      <c r="BJ5" s="140"/>
      <c r="BK5" s="141"/>
      <c r="BL5" s="139">
        <v>21</v>
      </c>
      <c r="BM5" s="140"/>
      <c r="BN5" s="140"/>
      <c r="BO5" s="141"/>
      <c r="BP5" s="139">
        <v>22</v>
      </c>
      <c r="BQ5" s="140"/>
      <c r="BR5" s="140"/>
      <c r="BS5" s="141"/>
      <c r="BT5" s="6">
        <v>0.95833333333332604</v>
      </c>
    </row>
    <row r="6" spans="2:72" ht="12.95">
      <c r="C6" s="8"/>
      <c r="H6" s="100" t="s">
        <v>332</v>
      </c>
      <c r="I6" s="98">
        <v>15</v>
      </c>
      <c r="J6" s="98">
        <v>30</v>
      </c>
      <c r="K6" s="99">
        <v>45</v>
      </c>
      <c r="L6" s="100" t="s">
        <v>332</v>
      </c>
      <c r="M6" s="98">
        <v>15</v>
      </c>
      <c r="N6" s="98">
        <v>30</v>
      </c>
      <c r="O6" s="99">
        <v>45</v>
      </c>
      <c r="P6" s="100" t="s">
        <v>332</v>
      </c>
      <c r="Q6" s="98">
        <v>15</v>
      </c>
      <c r="R6" s="98">
        <v>30</v>
      </c>
      <c r="S6" s="99">
        <v>45</v>
      </c>
      <c r="T6" s="100" t="s">
        <v>332</v>
      </c>
      <c r="U6" s="98">
        <v>15</v>
      </c>
      <c r="V6" s="98">
        <v>30</v>
      </c>
      <c r="W6" s="99">
        <v>45</v>
      </c>
      <c r="X6" s="100" t="s">
        <v>332</v>
      </c>
      <c r="Y6" s="98">
        <v>15</v>
      </c>
      <c r="Z6" s="98">
        <v>30</v>
      </c>
      <c r="AA6" s="99">
        <v>45</v>
      </c>
      <c r="AB6" s="100" t="s">
        <v>332</v>
      </c>
      <c r="AC6" s="98">
        <v>15</v>
      </c>
      <c r="AD6" s="98">
        <v>30</v>
      </c>
      <c r="AE6" s="99">
        <v>45</v>
      </c>
      <c r="AF6" s="100" t="s">
        <v>332</v>
      </c>
      <c r="AG6" s="98">
        <v>15</v>
      </c>
      <c r="AH6" s="98">
        <v>30</v>
      </c>
      <c r="AI6" s="99">
        <v>45</v>
      </c>
      <c r="AJ6" s="100" t="s">
        <v>332</v>
      </c>
      <c r="AK6" s="98">
        <v>15</v>
      </c>
      <c r="AL6" s="98">
        <v>30</v>
      </c>
      <c r="AM6" s="99">
        <v>45</v>
      </c>
      <c r="AN6" s="100" t="s">
        <v>332</v>
      </c>
      <c r="AO6" s="98">
        <v>15</v>
      </c>
      <c r="AP6" s="98">
        <v>30</v>
      </c>
      <c r="AQ6" s="99">
        <v>45</v>
      </c>
      <c r="AR6" s="100" t="s">
        <v>332</v>
      </c>
      <c r="AS6" s="98">
        <v>15</v>
      </c>
      <c r="AT6" s="98">
        <v>30</v>
      </c>
      <c r="AU6" s="99">
        <v>45</v>
      </c>
      <c r="AV6" s="100" t="s">
        <v>332</v>
      </c>
      <c r="AW6" s="98">
        <v>15</v>
      </c>
      <c r="AX6" s="98">
        <v>30</v>
      </c>
      <c r="AY6" s="99">
        <v>45</v>
      </c>
      <c r="AZ6" s="100" t="s">
        <v>332</v>
      </c>
      <c r="BA6" s="98">
        <v>15</v>
      </c>
      <c r="BB6" s="98">
        <v>30</v>
      </c>
      <c r="BC6" s="99">
        <v>45</v>
      </c>
      <c r="BD6" s="100" t="s">
        <v>332</v>
      </c>
      <c r="BE6" s="98">
        <v>15</v>
      </c>
      <c r="BF6" s="98">
        <v>30</v>
      </c>
      <c r="BG6" s="99">
        <v>45</v>
      </c>
      <c r="BH6" s="100" t="s">
        <v>332</v>
      </c>
      <c r="BI6" s="98">
        <v>15</v>
      </c>
      <c r="BJ6" s="98">
        <v>30</v>
      </c>
      <c r="BK6" s="99">
        <v>45</v>
      </c>
      <c r="BL6" s="100" t="s">
        <v>332</v>
      </c>
      <c r="BM6" s="98">
        <v>15</v>
      </c>
      <c r="BN6" s="98">
        <v>30</v>
      </c>
      <c r="BO6" s="99">
        <v>45</v>
      </c>
      <c r="BP6" s="100" t="s">
        <v>332</v>
      </c>
      <c r="BQ6" s="98">
        <v>15</v>
      </c>
      <c r="BR6" s="98">
        <v>30</v>
      </c>
      <c r="BS6" s="99">
        <v>45</v>
      </c>
      <c r="BT6" s="6"/>
    </row>
    <row r="7" spans="2:72" ht="10.35" customHeight="1">
      <c r="G7" s="24" t="s">
        <v>236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1</v>
      </c>
      <c r="P7" s="22">
        <f t="shared" si="0"/>
        <v>1</v>
      </c>
      <c r="Q7" s="22">
        <f t="shared" si="0"/>
        <v>1</v>
      </c>
      <c r="R7" s="22">
        <f t="shared" si="0"/>
        <v>1</v>
      </c>
      <c r="S7" s="22">
        <f t="shared" si="0"/>
        <v>1</v>
      </c>
      <c r="T7" s="22">
        <f t="shared" si="0"/>
        <v>1</v>
      </c>
      <c r="U7" s="22">
        <f t="shared" si="0"/>
        <v>1</v>
      </c>
      <c r="V7" s="22">
        <f t="shared" si="0"/>
        <v>1</v>
      </c>
      <c r="W7" s="22">
        <f t="shared" si="0"/>
        <v>1</v>
      </c>
      <c r="X7" s="22">
        <f t="shared" si="0"/>
        <v>1</v>
      </c>
      <c r="Y7" s="22">
        <f t="shared" si="0"/>
        <v>2</v>
      </c>
      <c r="Z7" s="22">
        <f t="shared" si="0"/>
        <v>2</v>
      </c>
      <c r="AA7" s="22">
        <f t="shared" si="0"/>
        <v>2</v>
      </c>
      <c r="AB7" s="22">
        <f t="shared" si="0"/>
        <v>2</v>
      </c>
      <c r="AC7" s="22">
        <f t="shared" si="0"/>
        <v>2</v>
      </c>
      <c r="AD7" s="22">
        <f t="shared" si="0"/>
        <v>2</v>
      </c>
      <c r="AE7" s="22">
        <f t="shared" si="0"/>
        <v>2</v>
      </c>
      <c r="AF7" s="22">
        <f t="shared" si="0"/>
        <v>3</v>
      </c>
      <c r="AG7" s="22">
        <f t="shared" si="0"/>
        <v>2</v>
      </c>
      <c r="AH7" s="22">
        <f t="shared" si="0"/>
        <v>2</v>
      </c>
      <c r="AI7" s="22">
        <f t="shared" si="0"/>
        <v>2</v>
      </c>
      <c r="AJ7" s="22">
        <f t="shared" si="0"/>
        <v>2</v>
      </c>
      <c r="AK7" s="22">
        <f t="shared" si="0"/>
        <v>2</v>
      </c>
      <c r="AL7" s="22">
        <f t="shared" si="0"/>
        <v>2</v>
      </c>
      <c r="AM7" s="22">
        <f t="shared" si="0"/>
        <v>2</v>
      </c>
      <c r="AN7" s="22">
        <f t="shared" si="0"/>
        <v>2</v>
      </c>
      <c r="AO7" s="22">
        <f t="shared" si="0"/>
        <v>2</v>
      </c>
      <c r="AP7" s="22">
        <f t="shared" si="0"/>
        <v>2</v>
      </c>
      <c r="AQ7" s="22">
        <f t="shared" si="0"/>
        <v>2</v>
      </c>
      <c r="AR7" s="22">
        <f t="shared" si="0"/>
        <v>2</v>
      </c>
      <c r="AS7" s="22">
        <f t="shared" si="0"/>
        <v>2</v>
      </c>
      <c r="AT7" s="22">
        <f t="shared" si="0"/>
        <v>2</v>
      </c>
      <c r="AU7" s="22">
        <f t="shared" si="0"/>
        <v>2</v>
      </c>
      <c r="AV7" s="22">
        <f t="shared" si="0"/>
        <v>2</v>
      </c>
      <c r="AW7" s="22">
        <f t="shared" si="0"/>
        <v>2</v>
      </c>
      <c r="AX7" s="22">
        <f t="shared" si="0"/>
        <v>2</v>
      </c>
      <c r="AY7" s="22">
        <f t="shared" si="0"/>
        <v>2</v>
      </c>
      <c r="AZ7" s="22">
        <f t="shared" si="0"/>
        <v>1</v>
      </c>
      <c r="BA7" s="22">
        <f t="shared" si="0"/>
        <v>1</v>
      </c>
      <c r="BB7" s="22">
        <f t="shared" si="0"/>
        <v>1</v>
      </c>
      <c r="BC7" s="22">
        <f t="shared" si="0"/>
        <v>1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ht="10.35" customHeight="1">
      <c r="G8" s="24" t="s">
        <v>238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1</v>
      </c>
      <c r="S8" s="22">
        <f t="shared" si="1"/>
        <v>1</v>
      </c>
      <c r="T8" s="22">
        <f t="shared" si="1"/>
        <v>1</v>
      </c>
      <c r="U8" s="22">
        <f t="shared" si="1"/>
        <v>1</v>
      </c>
      <c r="V8" s="22">
        <f t="shared" si="1"/>
        <v>1</v>
      </c>
      <c r="W8" s="22">
        <f t="shared" si="1"/>
        <v>1</v>
      </c>
      <c r="X8" s="22">
        <f t="shared" si="1"/>
        <v>1</v>
      </c>
      <c r="Y8" s="22">
        <f t="shared" si="1"/>
        <v>1</v>
      </c>
      <c r="Z8" s="22">
        <f t="shared" si="1"/>
        <v>1</v>
      </c>
      <c r="AA8" s="22">
        <f t="shared" si="1"/>
        <v>1</v>
      </c>
      <c r="AB8" s="22">
        <f t="shared" si="1"/>
        <v>1</v>
      </c>
      <c r="AC8" s="22">
        <f t="shared" si="1"/>
        <v>1</v>
      </c>
      <c r="AD8" s="22">
        <f t="shared" si="1"/>
        <v>1</v>
      </c>
      <c r="AE8" s="22">
        <f t="shared" si="1"/>
        <v>1</v>
      </c>
      <c r="AF8" s="22">
        <f t="shared" si="1"/>
        <v>1</v>
      </c>
      <c r="AG8" s="22">
        <f t="shared" si="1"/>
        <v>1</v>
      </c>
      <c r="AH8" s="22">
        <f t="shared" si="1"/>
        <v>1</v>
      </c>
      <c r="AI8" s="22">
        <f t="shared" si="1"/>
        <v>1</v>
      </c>
      <c r="AJ8" s="22">
        <f t="shared" si="1"/>
        <v>1</v>
      </c>
      <c r="AK8" s="22">
        <f t="shared" si="1"/>
        <v>1</v>
      </c>
      <c r="AL8" s="22">
        <f t="shared" si="1"/>
        <v>1</v>
      </c>
      <c r="AM8" s="22">
        <f t="shared" si="1"/>
        <v>1</v>
      </c>
      <c r="AN8" s="22">
        <f t="shared" si="1"/>
        <v>1</v>
      </c>
      <c r="AO8" s="22">
        <f t="shared" si="1"/>
        <v>1</v>
      </c>
      <c r="AP8" s="22">
        <f t="shared" si="1"/>
        <v>1</v>
      </c>
      <c r="AQ8" s="22">
        <f t="shared" si="1"/>
        <v>1</v>
      </c>
      <c r="AR8" s="22">
        <f t="shared" si="1"/>
        <v>1</v>
      </c>
      <c r="AS8" s="22">
        <f t="shared" si="1"/>
        <v>1</v>
      </c>
      <c r="AT8" s="22">
        <f t="shared" si="1"/>
        <v>1</v>
      </c>
      <c r="AU8" s="22">
        <f t="shared" si="1"/>
        <v>1</v>
      </c>
      <c r="AV8" s="22">
        <f t="shared" si="1"/>
        <v>1</v>
      </c>
      <c r="AW8" s="22">
        <f t="shared" si="1"/>
        <v>1</v>
      </c>
      <c r="AX8" s="22">
        <f t="shared" si="1"/>
        <v>1</v>
      </c>
      <c r="AY8" s="22">
        <f t="shared" si="1"/>
        <v>1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ht="10.35" customHeight="1">
      <c r="G9" s="24" t="s">
        <v>333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ht="10.35" customHeight="1">
      <c r="G10" s="24" t="s">
        <v>242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1</v>
      </c>
      <c r="S10" s="22">
        <f t="shared" si="3"/>
        <v>1</v>
      </c>
      <c r="T10" s="22">
        <f t="shared" si="3"/>
        <v>1</v>
      </c>
      <c r="U10" s="22">
        <f t="shared" si="3"/>
        <v>1</v>
      </c>
      <c r="V10" s="22">
        <f t="shared" si="3"/>
        <v>1</v>
      </c>
      <c r="W10" s="22">
        <f t="shared" si="3"/>
        <v>1</v>
      </c>
      <c r="X10" s="22">
        <f t="shared" si="3"/>
        <v>1</v>
      </c>
      <c r="Y10" s="22">
        <f t="shared" si="3"/>
        <v>1</v>
      </c>
      <c r="Z10" s="22">
        <f t="shared" si="3"/>
        <v>1</v>
      </c>
      <c r="AA10" s="22">
        <f t="shared" si="3"/>
        <v>1</v>
      </c>
      <c r="AB10" s="22">
        <f t="shared" si="3"/>
        <v>1</v>
      </c>
      <c r="AC10" s="22">
        <f t="shared" si="3"/>
        <v>1</v>
      </c>
      <c r="AD10" s="22">
        <f t="shared" si="3"/>
        <v>1</v>
      </c>
      <c r="AE10" s="22">
        <f t="shared" si="3"/>
        <v>1</v>
      </c>
      <c r="AF10" s="22">
        <f t="shared" si="3"/>
        <v>1</v>
      </c>
      <c r="AG10" s="22">
        <f t="shared" si="3"/>
        <v>1</v>
      </c>
      <c r="AH10" s="22">
        <f t="shared" si="3"/>
        <v>1</v>
      </c>
      <c r="AI10" s="22">
        <f t="shared" si="3"/>
        <v>1</v>
      </c>
      <c r="AJ10" s="22">
        <f t="shared" si="3"/>
        <v>1</v>
      </c>
      <c r="AK10" s="22">
        <f t="shared" si="3"/>
        <v>1</v>
      </c>
      <c r="AL10" s="22">
        <f t="shared" si="3"/>
        <v>2</v>
      </c>
      <c r="AM10" s="22">
        <f t="shared" si="3"/>
        <v>1</v>
      </c>
      <c r="AN10" s="22">
        <f t="shared" si="3"/>
        <v>1</v>
      </c>
      <c r="AO10" s="22">
        <f t="shared" si="3"/>
        <v>1</v>
      </c>
      <c r="AP10" s="22">
        <f t="shared" si="3"/>
        <v>1</v>
      </c>
      <c r="AQ10" s="22">
        <f t="shared" si="3"/>
        <v>1</v>
      </c>
      <c r="AR10" s="22">
        <f t="shared" si="3"/>
        <v>1</v>
      </c>
      <c r="AS10" s="22">
        <f t="shared" si="3"/>
        <v>1</v>
      </c>
      <c r="AT10" s="22">
        <f t="shared" si="3"/>
        <v>1</v>
      </c>
      <c r="AU10" s="22">
        <f t="shared" si="3"/>
        <v>1</v>
      </c>
      <c r="AV10" s="22">
        <f t="shared" si="3"/>
        <v>1</v>
      </c>
      <c r="AW10" s="22">
        <f t="shared" si="3"/>
        <v>1</v>
      </c>
      <c r="AX10" s="22">
        <f t="shared" si="3"/>
        <v>1</v>
      </c>
      <c r="AY10" s="22">
        <f t="shared" si="3"/>
        <v>1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ht="10.35" customHeight="1">
      <c r="G11" s="23" t="s">
        <v>334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6</v>
      </c>
      <c r="O11" s="22">
        <f t="shared" si="4"/>
        <v>6</v>
      </c>
      <c r="P11" s="22">
        <f t="shared" si="4"/>
        <v>6</v>
      </c>
      <c r="Q11" s="22">
        <f t="shared" si="4"/>
        <v>6</v>
      </c>
      <c r="R11" s="22">
        <f t="shared" si="4"/>
        <v>6</v>
      </c>
      <c r="S11" s="22">
        <f t="shared" si="4"/>
        <v>6</v>
      </c>
      <c r="T11" s="22">
        <f t="shared" si="4"/>
        <v>6</v>
      </c>
      <c r="U11" s="22">
        <f t="shared" si="4"/>
        <v>6</v>
      </c>
      <c r="V11" s="22">
        <f t="shared" si="4"/>
        <v>10</v>
      </c>
      <c r="W11" s="22">
        <f t="shared" si="4"/>
        <v>10</v>
      </c>
      <c r="X11" s="22">
        <f t="shared" si="4"/>
        <v>13</v>
      </c>
      <c r="Y11" s="22">
        <f t="shared" si="4"/>
        <v>10</v>
      </c>
      <c r="Z11" s="22">
        <f t="shared" si="4"/>
        <v>10</v>
      </c>
      <c r="AA11" s="22">
        <f t="shared" si="4"/>
        <v>10</v>
      </c>
      <c r="AB11" s="22">
        <f t="shared" si="4"/>
        <v>10</v>
      </c>
      <c r="AC11" s="22">
        <f t="shared" si="4"/>
        <v>10</v>
      </c>
      <c r="AD11" s="22">
        <f t="shared" si="4"/>
        <v>10</v>
      </c>
      <c r="AE11" s="22">
        <f t="shared" si="4"/>
        <v>12</v>
      </c>
      <c r="AF11" s="22">
        <f t="shared" si="4"/>
        <v>10</v>
      </c>
      <c r="AG11" s="22">
        <f t="shared" si="4"/>
        <v>10</v>
      </c>
      <c r="AH11" s="22">
        <f t="shared" si="4"/>
        <v>10</v>
      </c>
      <c r="AI11" s="22">
        <f t="shared" si="4"/>
        <v>8</v>
      </c>
      <c r="AJ11" s="22">
        <f t="shared" si="4"/>
        <v>9</v>
      </c>
      <c r="AK11" s="22">
        <f t="shared" si="4"/>
        <v>9</v>
      </c>
      <c r="AL11" s="22">
        <f t="shared" si="4"/>
        <v>10</v>
      </c>
      <c r="AM11" s="22">
        <f t="shared" si="4"/>
        <v>13</v>
      </c>
      <c r="AN11" s="22">
        <f t="shared" si="4"/>
        <v>13</v>
      </c>
      <c r="AO11" s="22">
        <f t="shared" si="4"/>
        <v>12</v>
      </c>
      <c r="AP11" s="22">
        <f t="shared" si="4"/>
        <v>13</v>
      </c>
      <c r="AQ11" s="22">
        <f t="shared" si="4"/>
        <v>13</v>
      </c>
      <c r="AR11" s="22">
        <f t="shared" si="4"/>
        <v>13</v>
      </c>
      <c r="AS11" s="22">
        <f t="shared" si="4"/>
        <v>11</v>
      </c>
      <c r="AT11" s="22">
        <f t="shared" si="4"/>
        <v>8</v>
      </c>
      <c r="AU11" s="22">
        <f t="shared" si="4"/>
        <v>8</v>
      </c>
      <c r="AV11" s="22">
        <f t="shared" si="4"/>
        <v>8</v>
      </c>
      <c r="AW11" s="22">
        <f t="shared" si="4"/>
        <v>8</v>
      </c>
      <c r="AX11" s="22">
        <f t="shared" si="4"/>
        <v>8</v>
      </c>
      <c r="AY11" s="22">
        <f t="shared" si="4"/>
        <v>8</v>
      </c>
      <c r="AZ11" s="22">
        <f t="shared" si="4"/>
        <v>8</v>
      </c>
      <c r="BA11" s="22">
        <f t="shared" si="4"/>
        <v>8</v>
      </c>
      <c r="BB11" s="22">
        <f t="shared" si="4"/>
        <v>8</v>
      </c>
      <c r="BC11" s="22">
        <f t="shared" si="4"/>
        <v>8</v>
      </c>
      <c r="BD11" s="22">
        <f t="shared" si="4"/>
        <v>0</v>
      </c>
      <c r="BE11" s="22">
        <f t="shared" si="4"/>
        <v>0</v>
      </c>
      <c r="BF11" s="22">
        <f t="shared" si="4"/>
        <v>0</v>
      </c>
      <c r="BG11" s="22">
        <f t="shared" si="4"/>
        <v>0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ht="17.45" hidden="1" customHeight="1"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ht="10.35" customHeight="1">
      <c r="H14" s="142">
        <v>7</v>
      </c>
      <c r="I14" s="143"/>
      <c r="J14" s="143"/>
      <c r="K14" s="144"/>
      <c r="L14" s="142">
        <v>8</v>
      </c>
      <c r="M14" s="143"/>
      <c r="N14" s="143"/>
      <c r="O14" s="144"/>
      <c r="P14" s="142">
        <v>9</v>
      </c>
      <c r="Q14" s="143"/>
      <c r="R14" s="143"/>
      <c r="S14" s="144"/>
      <c r="T14" s="142">
        <v>10</v>
      </c>
      <c r="U14" s="143"/>
      <c r="V14" s="143"/>
      <c r="W14" s="144"/>
      <c r="X14" s="142">
        <v>11</v>
      </c>
      <c r="Y14" s="143"/>
      <c r="Z14" s="143"/>
      <c r="AA14" s="144"/>
      <c r="AB14" s="142">
        <v>12</v>
      </c>
      <c r="AC14" s="143"/>
      <c r="AD14" s="143"/>
      <c r="AE14" s="144"/>
      <c r="AF14" s="142">
        <v>13</v>
      </c>
      <c r="AG14" s="143"/>
      <c r="AH14" s="143"/>
      <c r="AI14" s="144"/>
      <c r="AJ14" s="142">
        <v>14</v>
      </c>
      <c r="AK14" s="143"/>
      <c r="AL14" s="143"/>
      <c r="AM14" s="144"/>
      <c r="AN14" s="142">
        <v>15</v>
      </c>
      <c r="AO14" s="143"/>
      <c r="AP14" s="143"/>
      <c r="AQ14" s="144"/>
      <c r="AR14" s="142">
        <v>16</v>
      </c>
      <c r="AS14" s="143"/>
      <c r="AT14" s="143"/>
      <c r="AU14" s="144"/>
      <c r="AV14" s="142">
        <v>17</v>
      </c>
      <c r="AW14" s="143"/>
      <c r="AX14" s="143"/>
      <c r="AY14" s="144"/>
      <c r="AZ14" s="142">
        <v>18</v>
      </c>
      <c r="BA14" s="143"/>
      <c r="BB14" s="143"/>
      <c r="BC14" s="144"/>
      <c r="BD14" s="142">
        <v>19</v>
      </c>
      <c r="BE14" s="143"/>
      <c r="BF14" s="143"/>
      <c r="BG14" s="144"/>
      <c r="BH14" s="142">
        <v>20</v>
      </c>
      <c r="BI14" s="143"/>
      <c r="BJ14" s="143"/>
      <c r="BK14" s="144"/>
      <c r="BL14" s="142">
        <v>21</v>
      </c>
      <c r="BM14" s="143"/>
      <c r="BN14" s="143"/>
      <c r="BO14" s="144"/>
      <c r="BP14" s="142">
        <v>22</v>
      </c>
      <c r="BQ14" s="143"/>
      <c r="BR14" s="143"/>
      <c r="BS14" s="144"/>
    </row>
    <row r="15" spans="2:72" s="2" customFormat="1" ht="12.95">
      <c r="B15" s="5" t="s">
        <v>284</v>
      </c>
      <c r="C15" s="5" t="s">
        <v>13</v>
      </c>
      <c r="D15" s="5" t="s">
        <v>14</v>
      </c>
      <c r="E15" s="5" t="s">
        <v>335</v>
      </c>
      <c r="F15" s="5" t="s">
        <v>287</v>
      </c>
      <c r="G15" s="5" t="s">
        <v>336</v>
      </c>
      <c r="H15" s="100" t="s">
        <v>332</v>
      </c>
      <c r="I15" s="98">
        <v>15</v>
      </c>
      <c r="J15" s="98">
        <v>30</v>
      </c>
      <c r="K15" s="99">
        <v>45</v>
      </c>
      <c r="L15" s="100" t="s">
        <v>332</v>
      </c>
      <c r="M15" s="98">
        <v>15</v>
      </c>
      <c r="N15" s="98">
        <v>30</v>
      </c>
      <c r="O15" s="99">
        <v>45</v>
      </c>
      <c r="P15" s="100" t="s">
        <v>332</v>
      </c>
      <c r="Q15" s="98">
        <v>15</v>
      </c>
      <c r="R15" s="98">
        <v>30</v>
      </c>
      <c r="S15" s="99">
        <v>45</v>
      </c>
      <c r="T15" s="100" t="s">
        <v>332</v>
      </c>
      <c r="U15" s="98">
        <v>15</v>
      </c>
      <c r="V15" s="98">
        <v>30</v>
      </c>
      <c r="W15" s="99">
        <v>45</v>
      </c>
      <c r="X15" s="100" t="s">
        <v>332</v>
      </c>
      <c r="Y15" s="98">
        <v>15</v>
      </c>
      <c r="Z15" s="98">
        <v>30</v>
      </c>
      <c r="AA15" s="99">
        <v>45</v>
      </c>
      <c r="AB15" s="100" t="s">
        <v>332</v>
      </c>
      <c r="AC15" s="98">
        <v>15</v>
      </c>
      <c r="AD15" s="98">
        <v>30</v>
      </c>
      <c r="AE15" s="99">
        <v>45</v>
      </c>
      <c r="AF15" s="100" t="s">
        <v>332</v>
      </c>
      <c r="AG15" s="98">
        <v>15</v>
      </c>
      <c r="AH15" s="98">
        <v>30</v>
      </c>
      <c r="AI15" s="99">
        <v>45</v>
      </c>
      <c r="AJ15" s="100" t="s">
        <v>332</v>
      </c>
      <c r="AK15" s="98">
        <v>15</v>
      </c>
      <c r="AL15" s="98">
        <v>30</v>
      </c>
      <c r="AM15" s="99">
        <v>45</v>
      </c>
      <c r="AN15" s="100" t="s">
        <v>332</v>
      </c>
      <c r="AO15" s="98">
        <v>15</v>
      </c>
      <c r="AP15" s="98">
        <v>30</v>
      </c>
      <c r="AQ15" s="99">
        <v>45</v>
      </c>
      <c r="AR15" s="100" t="s">
        <v>332</v>
      </c>
      <c r="AS15" s="98">
        <v>15</v>
      </c>
      <c r="AT15" s="98">
        <v>30</v>
      </c>
      <c r="AU15" s="99">
        <v>45</v>
      </c>
      <c r="AV15" s="100" t="s">
        <v>332</v>
      </c>
      <c r="AW15" s="98">
        <v>15</v>
      </c>
      <c r="AX15" s="98">
        <v>30</v>
      </c>
      <c r="AY15" s="99">
        <v>45</v>
      </c>
      <c r="AZ15" s="100" t="s">
        <v>332</v>
      </c>
      <c r="BA15" s="98">
        <v>15</v>
      </c>
      <c r="BB15" s="98">
        <v>30</v>
      </c>
      <c r="BC15" s="99">
        <v>45</v>
      </c>
      <c r="BD15" s="100" t="s">
        <v>332</v>
      </c>
      <c r="BE15" s="98">
        <v>15</v>
      </c>
      <c r="BF15" s="98">
        <v>30</v>
      </c>
      <c r="BG15" s="99">
        <v>45</v>
      </c>
      <c r="BH15" s="100" t="s">
        <v>332</v>
      </c>
      <c r="BI15" s="98">
        <v>15</v>
      </c>
      <c r="BJ15" s="98">
        <v>30</v>
      </c>
      <c r="BK15" s="99">
        <v>45</v>
      </c>
      <c r="BL15" s="100" t="s">
        <v>332</v>
      </c>
      <c r="BM15" s="98">
        <v>15</v>
      </c>
      <c r="BN15" s="98">
        <v>30</v>
      </c>
      <c r="BO15" s="99">
        <v>45</v>
      </c>
      <c r="BP15" s="100" t="s">
        <v>332</v>
      </c>
      <c r="BQ15" s="98">
        <v>15</v>
      </c>
      <c r="BR15" s="98">
        <v>30</v>
      </c>
      <c r="BS15" s="99">
        <v>45</v>
      </c>
    </row>
    <row r="16" spans="2:72" s="53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O16" s="88"/>
      <c r="BS16" s="88"/>
    </row>
    <row r="17" spans="2:72" s="93" customFormat="1" hidden="1">
      <c r="B17" s="81" t="str">
        <f>Weekly!B9</f>
        <v>01509</v>
      </c>
      <c r="C17" s="90" t="str">
        <f>Weekly!C9</f>
        <v>Amy</v>
      </c>
      <c r="D17" s="90" t="str">
        <f>Weekly!D36</f>
        <v>Sy</v>
      </c>
      <c r="E17" s="91" t="str">
        <f>VLOOKUP(B17,Team!$B$4:$E$183,4,FALSE)</f>
        <v>L's</v>
      </c>
      <c r="F17" s="92" t="str">
        <f>Weekly!G9</f>
        <v/>
      </c>
      <c r="G17" s="92" t="str">
        <f>Weekly!H9</f>
        <v/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>IF(AND($M$12&gt;=$F17,$M$12&lt;$G17),$E17,"")</f>
        <v/>
      </c>
      <c r="N17" s="48" t="str">
        <f>IF(AND($N$12&gt;=$F17,$N$12&lt;$G17),$E17,"")</f>
        <v/>
      </c>
      <c r="O17" s="84" t="str">
        <f t="shared" ref="O17:O48" si="10">IF(AND($O$12&gt;=$F17,$O$12&lt;$G17),$E17,"")</f>
        <v/>
      </c>
      <c r="P17" s="82" t="str">
        <f>IF(AND($P$12&gt;=$F17,$P$12&lt;$G17),$E17,"")</f>
        <v/>
      </c>
      <c r="Q17" s="48" t="str">
        <f>IF(AND($Q$12&gt;=$F17,$Q$12&lt;$G17),$E17,"")</f>
        <v/>
      </c>
      <c r="R17" s="48" t="str">
        <f t="shared" ref="R17:R48" si="11">IF(AND($R$12&gt;=$F17,$R$12&lt;$G17),$E17,"")</f>
        <v/>
      </c>
      <c r="S17" s="84" t="str">
        <f t="shared" ref="S17:S48" si="12">IF(AND($S$12&gt;=$F17,$S$12&lt;$G17),$E17,"")</f>
        <v/>
      </c>
      <c r="T17" s="82" t="str">
        <f t="shared" ref="T17:T48" si="13">IF(AND($T$12&gt;=$F17,$T$12&lt;$G17),$E17,"")</f>
        <v/>
      </c>
      <c r="U17" s="48" t="str">
        <f t="shared" ref="U17:U48" si="14">IF(AND($U$12&gt;=$F17,$U$12&lt;$G17),$E17,"")</f>
        <v/>
      </c>
      <c r="V17" s="48" t="str">
        <f t="shared" ref="V17:V48" si="15">IF(AND($V$12&gt;=$F17,$V$12&lt;$G17),$E17,"")</f>
        <v/>
      </c>
      <c r="W17" s="84" t="str">
        <f t="shared" ref="W17:W48" si="16">IF(AND($W$12&gt;=$F17,$W$12&lt;$G17),$E17,"")</f>
        <v/>
      </c>
      <c r="X17" s="82" t="str">
        <f t="shared" ref="X17:X48" si="17">IF(AND($X$12&gt;=$F17,$X$12&lt;$G17),$E17,"")</f>
        <v/>
      </c>
      <c r="Y17" s="48" t="str">
        <f t="shared" ref="Y17:Y48" si="18">IF(AND($Y$12&gt;=$F17,$Y$12&lt;$G17),$E17,"")</f>
        <v/>
      </c>
      <c r="Z17" s="48" t="str">
        <f t="shared" ref="Z17:Z48" si="19">IF(AND($Z$12&gt;=$F17,$Z$12&lt;$G17),$E17,"")</f>
        <v/>
      </c>
      <c r="AA17" s="84" t="str">
        <f t="shared" ref="AA17:AA48" si="20">IF(AND($AA$12&gt;=$F17,$AA$12&lt;$G17),$E17,"")</f>
        <v/>
      </c>
      <c r="AB17" s="82" t="str">
        <f t="shared" ref="AB17:AB48" si="21">IF(AND($AB$12&gt;=$F17,$AB$12&lt;$G17),$E17,"")</f>
        <v/>
      </c>
      <c r="AC17" s="48" t="str">
        <f t="shared" ref="AC17:AC48" si="22">IF(AND($AC$12&gt;=$F17,$AC$12&lt;$G17),$E17,"")</f>
        <v/>
      </c>
      <c r="AD17" s="48" t="str">
        <f t="shared" ref="AD17:AD48" si="23">IF(AND($AD$12&gt;=$F17,$AD$12&lt;$G17),$E17,"")</f>
        <v/>
      </c>
      <c r="AE17" s="84" t="str">
        <f t="shared" ref="AE17:AE48" si="24">IF(AND($AE$12&gt;=$F17,$AE$12&lt;$G17),$E17,"")</f>
        <v/>
      </c>
      <c r="AF17" s="82" t="str">
        <f t="shared" ref="AF17:AF48" si="25">IF(AND($AF$12&gt;=$F17,$AF$12&lt;$G17),$E17,"")</f>
        <v/>
      </c>
      <c r="AG17" s="48" t="str">
        <f t="shared" ref="AG17:AG48" si="26">IF(AND($AG$12&gt;=$F17,$AG$12&lt;$G17),$E17,"")</f>
        <v/>
      </c>
      <c r="AH17" s="48" t="str">
        <f t="shared" ref="AH17:AH48" si="27">IF(AND($AH$12&gt;=$F17,$AH$12&lt;$G17),$E17,"")</f>
        <v/>
      </c>
      <c r="AI17" s="84" t="str">
        <f t="shared" ref="AI17:AI48" si="28">IF(AND($AI$12&gt;=$F17,$AI$12&lt;$G17),$E17,"")</f>
        <v/>
      </c>
      <c r="AJ17" s="82" t="str">
        <f t="shared" ref="AJ17:AJ48" si="29">IF(AND($AJ$12&gt;=$F17,$AJ$12&lt;$G17),$E17,"")</f>
        <v/>
      </c>
      <c r="AK17" s="48" t="str">
        <f t="shared" ref="AK17:AK48" si="30">IF(AND($AK$12&gt;=$F17,$AK$12&lt;$G17),$E17,"")</f>
        <v/>
      </c>
      <c r="AL17" s="48" t="str">
        <f t="shared" ref="AL17:AL48" si="31">IF(AND($AL$12&gt;=$F17,$AL$12&lt;$G17),$E17,"")</f>
        <v/>
      </c>
      <c r="AM17" s="84" t="str">
        <f t="shared" ref="AM17:AM48" si="32">IF(AND($AM$12&gt;=$F17,$AM$12&lt;$G17),$E17,"")</f>
        <v/>
      </c>
      <c r="AN17" s="82" t="str">
        <f t="shared" ref="AN17:AN48" si="33">IF(AND($AN$12&gt;=$F17,$AN$12&lt;$G17),$E17,"")</f>
        <v/>
      </c>
      <c r="AO17" s="48" t="str">
        <f t="shared" ref="AO17:AO48" si="34">IF(AND($AO$12&gt;=$F17,$AO$12&lt;$G17),$E17,"")</f>
        <v/>
      </c>
      <c r="AP17" s="48" t="str">
        <f t="shared" ref="AP17:AP48" si="35">IF(AND($AP$12&gt;=$F17,$AP$12&lt;$G17),$E17,"")</f>
        <v/>
      </c>
      <c r="AQ17" s="84" t="str">
        <f t="shared" ref="AQ17:AQ48" si="36">IF(AND($AQ$12&gt;=$F17,$AQ$12&lt;$G17),$E17,"")</f>
        <v/>
      </c>
      <c r="AR17" s="82" t="str">
        <f t="shared" ref="AR17:AR48" si="37">IF(AND($AR$12&gt;=$F17,$AR$12&lt;$G17),$E17,"")</f>
        <v/>
      </c>
      <c r="AS17" s="48" t="str">
        <f t="shared" ref="AS17:AS48" si="38">IF(AND($AS$12&gt;=$F17,$AS$12&lt;$G17),$E17,"")</f>
        <v/>
      </c>
      <c r="AT17" s="48" t="str">
        <f t="shared" ref="AT17:AT48" si="39">IF(AND($AT$12&gt;=$F17,$AT$12&lt;$G17),$E17,"")</f>
        <v/>
      </c>
      <c r="AU17" s="84" t="str">
        <f t="shared" ref="AU17:AU48" si="40">IF(AND($AU$12&gt;=$F17,$AU$12&lt;$G17),$E17,"")</f>
        <v/>
      </c>
      <c r="AV17" s="82" t="str">
        <f t="shared" ref="AV17:AV48" si="41">IF(AND($AV$12&gt;=$F17,$AV$12&lt;$G17),$E17,"")</f>
        <v/>
      </c>
      <c r="AW17" s="48" t="str">
        <f t="shared" ref="AW17:AW48" si="42">IF(AND($AW$12&gt;=$F17,$AW$12&lt;$G17),$E17,"")</f>
        <v/>
      </c>
      <c r="AX17" s="48" t="str">
        <f t="shared" ref="AX17:AX48" si="43">IF(AND($AX$12&gt;=$F17,$AX$12&lt;$G17),$E17,"")</f>
        <v/>
      </c>
      <c r="AY17" s="84" t="str">
        <f t="shared" ref="AY17:AY48" si="44">IF(AND($AY$12&gt;=$F17,$AY$12&lt;$G17),$E17,"")</f>
        <v/>
      </c>
      <c r="AZ17" s="82" t="str">
        <f t="shared" ref="AZ17:AZ48" si="45">IF(AND($AZ$12&gt;=$F17,$AZ$12&lt;$G17),$E17,"")</f>
        <v/>
      </c>
      <c r="BA17" s="48" t="str">
        <f t="shared" ref="BA17:BA48" si="46">IF(AND($BA$12&gt;=$F17,$BA$12&lt;$G17),$E17,"")</f>
        <v/>
      </c>
      <c r="BB17" s="48" t="str">
        <f t="shared" ref="BB17:BB48" si="47">IF(AND($BB$12&gt;=$F17,$BB$12&lt;$G17),$E17,"")</f>
        <v/>
      </c>
      <c r="BC17" s="84" t="str">
        <f t="shared" ref="BC17:BC48" si="48">IF(AND($BC$12&gt;=$F17,$BC$12&lt;$G17),$E17,"")</f>
        <v/>
      </c>
      <c r="BD17" s="82" t="str">
        <f t="shared" ref="BD17:BD48" si="49">IF(AND($BD$12&gt;=$F17,$BD$12&lt;$G17),$E17,"")</f>
        <v/>
      </c>
      <c r="BE17" s="48" t="str">
        <f t="shared" ref="BE17:BE48" si="50">IF(AND($BE$12&gt;=$F17,$BE$12&lt;$G17),$E17,"")</f>
        <v/>
      </c>
      <c r="BF17" s="48" t="str">
        <f t="shared" ref="BF17:BF48" si="51">IF(AND($BF$12&gt;=$F17,$BF$12&lt;$G17),$E17,"")</f>
        <v/>
      </c>
      <c r="BG17" s="84" t="str">
        <f t="shared" ref="BG17:BG48" si="52">IF(AND($BG$12&gt;=$F17,$BG$12&lt;$G17),$E17,"")</f>
        <v/>
      </c>
      <c r="BH17" s="87" t="str">
        <f t="shared" ref="BH17:BH48" si="53">IF(AND($BH$12&gt;=$F17,$BH$12&lt;$G17),$E17,"")</f>
        <v/>
      </c>
      <c r="BI17" s="49" t="str">
        <f t="shared" ref="BI17:BI48" si="54">IF(AND($BI$12&gt;=$F17,$BI$12&lt;$G17),$E17,"")</f>
        <v/>
      </c>
      <c r="BJ17" s="49" t="str">
        <f t="shared" ref="BJ17:BJ48" si="55">IF(AND($BJ$12&gt;=$F17,$BJ$12&lt;$G17),$E17,"")</f>
        <v/>
      </c>
      <c r="BK17" s="89" t="str">
        <f t="shared" ref="BK17:BK48" si="56">IF(AND($BK$12&gt;=$F17,$BK$12&lt;$G17),$E17,"")</f>
        <v/>
      </c>
      <c r="BL17" s="87" t="str">
        <f t="shared" ref="BL17:BL48" si="57">IF(AND($BL$12&gt;=$F17,$BL$12&lt;$G17),$E17,"")</f>
        <v/>
      </c>
      <c r="BM17" s="49" t="str">
        <f t="shared" ref="BM17:BM48" si="58">IF(AND($BM$12&gt;=$F17,$BM$12&lt;$G17),$E17,"")</f>
        <v/>
      </c>
      <c r="BN17" s="49" t="str">
        <f t="shared" ref="BN17:BN48" si="59">IF(AND($BN$12&gt;=$F17,$BN$12&lt;$G17),$E17,"")</f>
        <v/>
      </c>
      <c r="BO17" s="89" t="str">
        <f t="shared" ref="BO17:BO48" si="60">IF(AND($BO$12&gt;=$F17,$BO$12&lt;$G17),$E17,"")</f>
        <v/>
      </c>
      <c r="BP17" s="87" t="str">
        <f t="shared" ref="BP17:BP48" si="61">IF(AND($BP$12&gt;=$F17,$BP$12&lt;$G17),$E17,"")</f>
        <v/>
      </c>
      <c r="BQ17" s="49" t="str">
        <f t="shared" ref="BQ17:BQ48" si="62">IF(AND($BQ$12&gt;=$F17,$BQ$12&lt;$G17),$E17,"")</f>
        <v/>
      </c>
      <c r="BR17" s="49" t="str">
        <f t="shared" ref="BR17:BR48" si="63">IF(AND($BR$12&gt;=$F17,$BR$12&lt;$G17),$E17,"")</f>
        <v/>
      </c>
      <c r="BS17" s="89" t="str">
        <f t="shared" ref="BS17:BS48" si="64">IF(AND($BS$12&gt;=$F17,$BS$12&lt;$G17),$E17,"")</f>
        <v/>
      </c>
      <c r="BT17" s="87" t="str">
        <f t="shared" ref="BT17:BT48" si="65">IF(AND($BT$12&gt;=$F17,$BT$12&lt;$G17),$E17,"")</f>
        <v/>
      </c>
    </row>
    <row r="18" spans="2:72" s="93" customFormat="1" hidden="1">
      <c r="B18" s="81" t="str">
        <f>Weekly!B10</f>
        <v>1175</v>
      </c>
      <c r="C18" s="90" t="str">
        <f>Weekly!C10</f>
        <v>Anna</v>
      </c>
      <c r="D18" s="90" t="str">
        <f>Weekly!D26</f>
        <v>Lee</v>
      </c>
      <c r="E18" s="91" t="str">
        <f>VLOOKUP(B18,Team!$B$4:$E$183,4,FALSE)</f>
        <v>H&amp;B</v>
      </c>
      <c r="F18" s="92" t="str">
        <f>Weekly!G10</f>
        <v/>
      </c>
      <c r="G18" s="92" t="str">
        <f>Weekly!H10</f>
        <v/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ref="M18:M48" si="66">IF(AND($M$12&gt;=$F18,$M$12&lt;$G18),$E18,"")</f>
        <v/>
      </c>
      <c r="N18" s="48" t="str">
        <f>IF(AND($N$12&gt;=$F18,$N$12&lt;$G18),$E18,"")</f>
        <v/>
      </c>
      <c r="O18" s="84" t="str">
        <f t="shared" si="10"/>
        <v/>
      </c>
      <c r="P18" s="82" t="str">
        <f t="shared" ref="P18:P48" si="67">IF(AND($P$12&gt;=$F18,$P$12&lt;$G18),$E18,"")</f>
        <v/>
      </c>
      <c r="Q18" s="48" t="str">
        <f t="shared" ref="Q18:Q48" si="68">IF(AND($Q$12&gt;=$F18,$Q$12&lt;$G18),$E18,"")</f>
        <v/>
      </c>
      <c r="R18" s="48" t="str">
        <f t="shared" si="11"/>
        <v/>
      </c>
      <c r="S18" s="84" t="str">
        <f t="shared" si="12"/>
        <v/>
      </c>
      <c r="T18" s="82" t="str">
        <f t="shared" si="13"/>
        <v/>
      </c>
      <c r="U18" s="48" t="str">
        <f t="shared" si="14"/>
        <v/>
      </c>
      <c r="V18" s="48" t="str">
        <f t="shared" si="15"/>
        <v/>
      </c>
      <c r="W18" s="84" t="str">
        <f t="shared" si="16"/>
        <v/>
      </c>
      <c r="X18" s="82" t="str">
        <f t="shared" si="17"/>
        <v/>
      </c>
      <c r="Y18" s="48" t="str">
        <f t="shared" si="18"/>
        <v/>
      </c>
      <c r="Z18" s="48" t="str">
        <f t="shared" si="19"/>
        <v/>
      </c>
      <c r="AA18" s="84" t="str">
        <f t="shared" si="20"/>
        <v/>
      </c>
      <c r="AB18" s="82" t="str">
        <f t="shared" si="21"/>
        <v/>
      </c>
      <c r="AC18" s="48" t="str">
        <f t="shared" si="22"/>
        <v/>
      </c>
      <c r="AD18" s="48" t="str">
        <f t="shared" si="23"/>
        <v/>
      </c>
      <c r="AE18" s="84" t="str">
        <f t="shared" si="24"/>
        <v/>
      </c>
      <c r="AF18" s="82" t="str">
        <f t="shared" si="25"/>
        <v/>
      </c>
      <c r="AG18" s="48" t="str">
        <f t="shared" si="26"/>
        <v/>
      </c>
      <c r="AH18" s="48" t="str">
        <f t="shared" si="27"/>
        <v/>
      </c>
      <c r="AI18" s="84" t="str">
        <f t="shared" si="28"/>
        <v/>
      </c>
      <c r="AJ18" s="82" t="str">
        <f t="shared" si="29"/>
        <v/>
      </c>
      <c r="AK18" s="48" t="str">
        <f t="shared" si="30"/>
        <v/>
      </c>
      <c r="AL18" s="48" t="str">
        <f t="shared" si="31"/>
        <v/>
      </c>
      <c r="AM18" s="84" t="str">
        <f t="shared" si="32"/>
        <v/>
      </c>
      <c r="AN18" s="82" t="str">
        <f t="shared" si="33"/>
        <v/>
      </c>
      <c r="AO18" s="48" t="str">
        <f t="shared" si="34"/>
        <v/>
      </c>
      <c r="AP18" s="48" t="str">
        <f t="shared" si="35"/>
        <v/>
      </c>
      <c r="AQ18" s="84" t="str">
        <f t="shared" si="36"/>
        <v/>
      </c>
      <c r="AR18" s="82" t="str">
        <f t="shared" si="37"/>
        <v/>
      </c>
      <c r="AS18" s="48" t="str">
        <f t="shared" si="38"/>
        <v/>
      </c>
      <c r="AT18" s="48" t="str">
        <f t="shared" si="39"/>
        <v/>
      </c>
      <c r="AU18" s="84" t="str">
        <f t="shared" si="40"/>
        <v/>
      </c>
      <c r="AV18" s="82" t="str">
        <f t="shared" si="41"/>
        <v/>
      </c>
      <c r="AW18" s="48" t="str">
        <f t="shared" si="42"/>
        <v/>
      </c>
      <c r="AX18" s="48" t="str">
        <f t="shared" si="43"/>
        <v/>
      </c>
      <c r="AY18" s="84" t="str">
        <f t="shared" si="44"/>
        <v/>
      </c>
      <c r="AZ18" s="82" t="str">
        <f t="shared" si="45"/>
        <v/>
      </c>
      <c r="BA18" s="48" t="str">
        <f t="shared" si="46"/>
        <v/>
      </c>
      <c r="BB18" s="48" t="str">
        <f t="shared" si="47"/>
        <v/>
      </c>
      <c r="BC18" s="84" t="str">
        <f t="shared" si="48"/>
        <v/>
      </c>
      <c r="BD18" s="82" t="str">
        <f t="shared" si="49"/>
        <v/>
      </c>
      <c r="BE18" s="48" t="str">
        <f t="shared" si="50"/>
        <v/>
      </c>
      <c r="BF18" s="48" t="str">
        <f t="shared" si="51"/>
        <v/>
      </c>
      <c r="BG18" s="84" t="str">
        <f t="shared" si="52"/>
        <v/>
      </c>
      <c r="BH18" s="87" t="str">
        <f t="shared" si="53"/>
        <v/>
      </c>
      <c r="BI18" s="49" t="str">
        <f t="shared" si="54"/>
        <v/>
      </c>
      <c r="BJ18" s="49" t="str">
        <f t="shared" si="55"/>
        <v/>
      </c>
      <c r="BK18" s="89" t="str">
        <f t="shared" si="56"/>
        <v/>
      </c>
      <c r="BL18" s="87" t="str">
        <f t="shared" si="57"/>
        <v/>
      </c>
      <c r="BM18" s="49" t="str">
        <f t="shared" si="58"/>
        <v/>
      </c>
      <c r="BN18" s="49" t="str">
        <f t="shared" si="59"/>
        <v/>
      </c>
      <c r="BO18" s="89" t="str">
        <f t="shared" si="60"/>
        <v/>
      </c>
      <c r="BP18" s="87" t="str">
        <f t="shared" si="61"/>
        <v/>
      </c>
      <c r="BQ18" s="49" t="str">
        <f t="shared" si="62"/>
        <v/>
      </c>
      <c r="BR18" s="49" t="str">
        <f t="shared" si="63"/>
        <v/>
      </c>
      <c r="BS18" s="89" t="str">
        <f t="shared" si="64"/>
        <v/>
      </c>
      <c r="BT18" s="87" t="str">
        <f t="shared" si="65"/>
        <v/>
      </c>
    </row>
    <row r="19" spans="2:72" s="93" customFormat="1" hidden="1">
      <c r="B19" s="81" t="str">
        <f>Weekly!B11</f>
        <v>1041</v>
      </c>
      <c r="C19" s="90" t="str">
        <f>Weekly!C11</f>
        <v>Archana</v>
      </c>
      <c r="D19" s="90" t="str">
        <f>Weekly!D43</f>
        <v>Banh</v>
      </c>
      <c r="E19" s="91" t="str">
        <f>VLOOKUP(B19,Team!$B$4:$E$183,4,FALSE)</f>
        <v>L's</v>
      </c>
      <c r="F19" s="92" t="str">
        <f>Weekly!G11</f>
        <v/>
      </c>
      <c r="G19" s="92" t="str">
        <f>Weekly!H11</f>
        <v/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66"/>
        <v/>
      </c>
      <c r="N19" s="48" t="str">
        <f t="shared" ref="N19:N48" si="69">IF(AND($N$12&gt;=$F19,$N$12&lt;$G19),$E19,"")</f>
        <v/>
      </c>
      <c r="O19" s="84" t="str">
        <f t="shared" si="10"/>
        <v/>
      </c>
      <c r="P19" s="82" t="str">
        <f t="shared" si="67"/>
        <v/>
      </c>
      <c r="Q19" s="48" t="str">
        <f t="shared" si="68"/>
        <v/>
      </c>
      <c r="R19" s="48" t="str">
        <f t="shared" si="11"/>
        <v/>
      </c>
      <c r="S19" s="84" t="str">
        <f t="shared" si="12"/>
        <v/>
      </c>
      <c r="T19" s="82" t="str">
        <f t="shared" si="13"/>
        <v/>
      </c>
      <c r="U19" s="48" t="str">
        <f t="shared" si="14"/>
        <v/>
      </c>
      <c r="V19" s="48" t="str">
        <f t="shared" si="15"/>
        <v/>
      </c>
      <c r="W19" s="84" t="str">
        <f t="shared" si="16"/>
        <v/>
      </c>
      <c r="X19" s="82" t="str">
        <f t="shared" si="17"/>
        <v/>
      </c>
      <c r="Y19" s="48" t="str">
        <f t="shared" si="18"/>
        <v/>
      </c>
      <c r="Z19" s="48" t="str">
        <f t="shared" si="19"/>
        <v/>
      </c>
      <c r="AA19" s="84" t="str">
        <f t="shared" si="20"/>
        <v/>
      </c>
      <c r="AB19" s="82" t="str">
        <f t="shared" si="21"/>
        <v/>
      </c>
      <c r="AC19" s="48" t="str">
        <f t="shared" si="22"/>
        <v/>
      </c>
      <c r="AD19" s="48" t="str">
        <f t="shared" si="23"/>
        <v/>
      </c>
      <c r="AE19" s="84" t="str">
        <f t="shared" si="24"/>
        <v/>
      </c>
      <c r="AF19" s="82" t="str">
        <f t="shared" si="25"/>
        <v/>
      </c>
      <c r="AG19" s="48" t="str">
        <f t="shared" si="26"/>
        <v/>
      </c>
      <c r="AH19" s="48" t="str">
        <f t="shared" si="27"/>
        <v/>
      </c>
      <c r="AI19" s="84" t="str">
        <f t="shared" si="28"/>
        <v/>
      </c>
      <c r="AJ19" s="82" t="str">
        <f t="shared" si="29"/>
        <v/>
      </c>
      <c r="AK19" s="48" t="str">
        <f t="shared" si="30"/>
        <v/>
      </c>
      <c r="AL19" s="48" t="str">
        <f t="shared" si="31"/>
        <v/>
      </c>
      <c r="AM19" s="84" t="str">
        <f t="shared" si="32"/>
        <v/>
      </c>
      <c r="AN19" s="82" t="str">
        <f t="shared" si="33"/>
        <v/>
      </c>
      <c r="AO19" s="48" t="str">
        <f t="shared" si="34"/>
        <v/>
      </c>
      <c r="AP19" s="48" t="str">
        <f t="shared" si="35"/>
        <v/>
      </c>
      <c r="AQ19" s="84" t="str">
        <f t="shared" si="36"/>
        <v/>
      </c>
      <c r="AR19" s="82" t="str">
        <f t="shared" si="37"/>
        <v/>
      </c>
      <c r="AS19" s="48" t="str">
        <f t="shared" si="38"/>
        <v/>
      </c>
      <c r="AT19" s="48" t="str">
        <f t="shared" si="39"/>
        <v/>
      </c>
      <c r="AU19" s="84" t="str">
        <f t="shared" si="40"/>
        <v/>
      </c>
      <c r="AV19" s="82" t="str">
        <f t="shared" si="41"/>
        <v/>
      </c>
      <c r="AW19" s="48" t="str">
        <f t="shared" si="42"/>
        <v/>
      </c>
      <c r="AX19" s="48" t="str">
        <f t="shared" si="43"/>
        <v/>
      </c>
      <c r="AY19" s="84" t="str">
        <f t="shared" si="44"/>
        <v/>
      </c>
      <c r="AZ19" s="82" t="str">
        <f t="shared" si="45"/>
        <v/>
      </c>
      <c r="BA19" s="48" t="str">
        <f t="shared" si="46"/>
        <v/>
      </c>
      <c r="BB19" s="48" t="str">
        <f t="shared" si="47"/>
        <v/>
      </c>
      <c r="BC19" s="84" t="str">
        <f t="shared" si="48"/>
        <v/>
      </c>
      <c r="BD19" s="82" t="str">
        <f t="shared" si="49"/>
        <v/>
      </c>
      <c r="BE19" s="48" t="str">
        <f t="shared" si="50"/>
        <v/>
      </c>
      <c r="BF19" s="48" t="str">
        <f t="shared" si="51"/>
        <v/>
      </c>
      <c r="BG19" s="84" t="str">
        <f t="shared" si="52"/>
        <v/>
      </c>
      <c r="BH19" s="87" t="str">
        <f t="shared" si="53"/>
        <v/>
      </c>
      <c r="BI19" s="49" t="str">
        <f t="shared" si="54"/>
        <v/>
      </c>
      <c r="BJ19" s="49" t="str">
        <f t="shared" si="55"/>
        <v/>
      </c>
      <c r="BK19" s="89" t="str">
        <f t="shared" si="56"/>
        <v/>
      </c>
      <c r="BL19" s="87" t="str">
        <f t="shared" si="57"/>
        <v/>
      </c>
      <c r="BM19" s="49" t="str">
        <f t="shared" si="58"/>
        <v/>
      </c>
      <c r="BN19" s="49" t="str">
        <f t="shared" si="59"/>
        <v/>
      </c>
      <c r="BO19" s="89" t="str">
        <f t="shared" si="60"/>
        <v/>
      </c>
      <c r="BP19" s="87" t="str">
        <f t="shared" si="61"/>
        <v/>
      </c>
      <c r="BQ19" s="49" t="str">
        <f t="shared" si="62"/>
        <v/>
      </c>
      <c r="BR19" s="49" t="str">
        <f t="shared" si="63"/>
        <v/>
      </c>
      <c r="BS19" s="89" t="str">
        <f t="shared" si="64"/>
        <v/>
      </c>
      <c r="BT19" s="87" t="str">
        <f t="shared" si="65"/>
        <v/>
      </c>
    </row>
    <row r="20" spans="2:72" s="93" customFormat="1" hidden="1">
      <c r="B20" s="81" t="str">
        <f>Weekly!B12</f>
        <v>1245</v>
      </c>
      <c r="C20" s="90" t="str">
        <f>Weekly!C12</f>
        <v>Charlotte</v>
      </c>
      <c r="D20" s="90" t="str">
        <f>Weekly!D46</f>
        <v>Choi</v>
      </c>
      <c r="E20" s="91" t="str">
        <f>VLOOKUP(B20,Team!$B$4:$E$183,4,FALSE)</f>
        <v>HH</v>
      </c>
      <c r="F20" s="92" t="str">
        <f>Weekly!G12</f>
        <v/>
      </c>
      <c r="G20" s="92" t="str">
        <f>Weekly!H12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66"/>
        <v/>
      </c>
      <c r="N20" s="48" t="str">
        <f t="shared" si="69"/>
        <v/>
      </c>
      <c r="O20" s="84" t="str">
        <f t="shared" si="10"/>
        <v/>
      </c>
      <c r="P20" s="82" t="str">
        <f t="shared" si="67"/>
        <v/>
      </c>
      <c r="Q20" s="48" t="str">
        <f t="shared" si="68"/>
        <v/>
      </c>
      <c r="R20" s="48" t="str">
        <f t="shared" si="11"/>
        <v/>
      </c>
      <c r="S20" s="84" t="str">
        <f t="shared" si="12"/>
        <v/>
      </c>
      <c r="T20" s="82" t="str">
        <f t="shared" si="13"/>
        <v/>
      </c>
      <c r="U20" s="48" t="str">
        <f t="shared" si="14"/>
        <v/>
      </c>
      <c r="V20" s="48" t="str">
        <f t="shared" si="15"/>
        <v/>
      </c>
      <c r="W20" s="84" t="str">
        <f t="shared" si="16"/>
        <v/>
      </c>
      <c r="X20" s="82" t="str">
        <f t="shared" si="17"/>
        <v/>
      </c>
      <c r="Y20" s="48" t="str">
        <f t="shared" si="18"/>
        <v/>
      </c>
      <c r="Z20" s="48" t="str">
        <f t="shared" si="19"/>
        <v/>
      </c>
      <c r="AA20" s="84" t="str">
        <f t="shared" si="20"/>
        <v/>
      </c>
      <c r="AB20" s="82" t="str">
        <f t="shared" si="21"/>
        <v/>
      </c>
      <c r="AC20" s="48" t="str">
        <f t="shared" si="22"/>
        <v/>
      </c>
      <c r="AD20" s="48" t="str">
        <f t="shared" si="23"/>
        <v/>
      </c>
      <c r="AE20" s="84" t="str">
        <f t="shared" si="24"/>
        <v/>
      </c>
      <c r="AF20" s="82" t="str">
        <f t="shared" si="25"/>
        <v/>
      </c>
      <c r="AG20" s="48" t="str">
        <f t="shared" si="26"/>
        <v/>
      </c>
      <c r="AH20" s="48" t="str">
        <f t="shared" si="27"/>
        <v/>
      </c>
      <c r="AI20" s="84" t="str">
        <f t="shared" si="28"/>
        <v/>
      </c>
      <c r="AJ20" s="82" t="str">
        <f t="shared" si="29"/>
        <v/>
      </c>
      <c r="AK20" s="48" t="str">
        <f t="shared" si="30"/>
        <v/>
      </c>
      <c r="AL20" s="48" t="str">
        <f t="shared" si="31"/>
        <v/>
      </c>
      <c r="AM20" s="84" t="str">
        <f t="shared" si="32"/>
        <v/>
      </c>
      <c r="AN20" s="82" t="str">
        <f t="shared" si="33"/>
        <v/>
      </c>
      <c r="AO20" s="48" t="str">
        <f t="shared" si="34"/>
        <v/>
      </c>
      <c r="AP20" s="48" t="str">
        <f t="shared" si="35"/>
        <v/>
      </c>
      <c r="AQ20" s="84" t="str">
        <f t="shared" si="36"/>
        <v/>
      </c>
      <c r="AR20" s="82" t="str">
        <f t="shared" si="37"/>
        <v/>
      </c>
      <c r="AS20" s="48" t="str">
        <f t="shared" si="38"/>
        <v/>
      </c>
      <c r="AT20" s="48" t="str">
        <f t="shared" si="39"/>
        <v/>
      </c>
      <c r="AU20" s="84" t="str">
        <f t="shared" si="40"/>
        <v/>
      </c>
      <c r="AV20" s="82" t="str">
        <f t="shared" si="41"/>
        <v/>
      </c>
      <c r="AW20" s="48" t="str">
        <f t="shared" si="42"/>
        <v/>
      </c>
      <c r="AX20" s="48" t="str">
        <f t="shared" si="43"/>
        <v/>
      </c>
      <c r="AY20" s="84" t="str">
        <f t="shared" si="44"/>
        <v/>
      </c>
      <c r="AZ20" s="82" t="str">
        <f t="shared" si="45"/>
        <v/>
      </c>
      <c r="BA20" s="48" t="str">
        <f t="shared" si="46"/>
        <v/>
      </c>
      <c r="BB20" s="48" t="str">
        <f t="shared" si="47"/>
        <v/>
      </c>
      <c r="BC20" s="84" t="str">
        <f t="shared" si="48"/>
        <v/>
      </c>
      <c r="BD20" s="82" t="str">
        <f t="shared" si="49"/>
        <v/>
      </c>
      <c r="BE20" s="48" t="str">
        <f t="shared" si="50"/>
        <v/>
      </c>
      <c r="BF20" s="48" t="str">
        <f t="shared" si="51"/>
        <v/>
      </c>
      <c r="BG20" s="84" t="str">
        <f t="shared" si="52"/>
        <v/>
      </c>
      <c r="BH20" s="87" t="str">
        <f t="shared" si="53"/>
        <v/>
      </c>
      <c r="BI20" s="49" t="str">
        <f t="shared" si="54"/>
        <v/>
      </c>
      <c r="BJ20" s="49" t="str">
        <f t="shared" si="55"/>
        <v/>
      </c>
      <c r="BK20" s="89" t="str">
        <f t="shared" si="56"/>
        <v/>
      </c>
      <c r="BL20" s="87" t="str">
        <f t="shared" si="57"/>
        <v/>
      </c>
      <c r="BM20" s="49" t="str">
        <f t="shared" si="58"/>
        <v/>
      </c>
      <c r="BN20" s="49" t="str">
        <f t="shared" si="59"/>
        <v/>
      </c>
      <c r="BO20" s="89" t="str">
        <f t="shared" si="60"/>
        <v/>
      </c>
      <c r="BP20" s="87" t="str">
        <f t="shared" si="61"/>
        <v/>
      </c>
      <c r="BQ20" s="49" t="str">
        <f t="shared" si="62"/>
        <v/>
      </c>
      <c r="BR20" s="49" t="str">
        <f t="shared" si="63"/>
        <v/>
      </c>
      <c r="BS20" s="89" t="str">
        <f t="shared" si="64"/>
        <v/>
      </c>
      <c r="BT20" s="87" t="str">
        <f t="shared" si="65"/>
        <v/>
      </c>
    </row>
    <row r="21" spans="2:72" s="93" customFormat="1" hidden="1">
      <c r="B21" s="81" t="str">
        <f>Weekly!B13</f>
        <v>1136</v>
      </c>
      <c r="C21" s="90" t="str">
        <f>Weekly!C13</f>
        <v>Cherry</v>
      </c>
      <c r="D21" s="90" t="str">
        <f>Weekly!D37</f>
        <v>Htun</v>
      </c>
      <c r="E21" s="91" t="str">
        <f>VLOOKUP(B21,Team!$B$4:$E$183,4,FALSE)</f>
        <v>M's</v>
      </c>
      <c r="F21" s="92" t="str">
        <f>Weekly!G13</f>
        <v/>
      </c>
      <c r="G21" s="92" t="str">
        <f>Weekly!H13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66"/>
        <v/>
      </c>
      <c r="N21" s="48" t="str">
        <f t="shared" si="69"/>
        <v/>
      </c>
      <c r="O21" s="84" t="str">
        <f t="shared" si="10"/>
        <v/>
      </c>
      <c r="P21" s="82" t="str">
        <f t="shared" si="67"/>
        <v/>
      </c>
      <c r="Q21" s="48" t="str">
        <f t="shared" si="68"/>
        <v/>
      </c>
      <c r="R21" s="48" t="str">
        <f t="shared" si="11"/>
        <v/>
      </c>
      <c r="S21" s="84" t="str">
        <f t="shared" si="12"/>
        <v/>
      </c>
      <c r="T21" s="82" t="str">
        <f t="shared" si="13"/>
        <v/>
      </c>
      <c r="U21" s="48" t="str">
        <f t="shared" si="14"/>
        <v/>
      </c>
      <c r="V21" s="48" t="str">
        <f t="shared" si="15"/>
        <v/>
      </c>
      <c r="W21" s="84" t="str">
        <f t="shared" si="16"/>
        <v/>
      </c>
      <c r="X21" s="82" t="str">
        <f t="shared" si="17"/>
        <v/>
      </c>
      <c r="Y21" s="48" t="str">
        <f t="shared" si="18"/>
        <v/>
      </c>
      <c r="Z21" s="48" t="str">
        <f t="shared" si="19"/>
        <v/>
      </c>
      <c r="AA21" s="84" t="str">
        <f t="shared" si="20"/>
        <v/>
      </c>
      <c r="AB21" s="82" t="str">
        <f t="shared" si="21"/>
        <v/>
      </c>
      <c r="AC21" s="48" t="str">
        <f t="shared" si="22"/>
        <v/>
      </c>
      <c r="AD21" s="48" t="str">
        <f t="shared" si="23"/>
        <v/>
      </c>
      <c r="AE21" s="84" t="str">
        <f t="shared" si="24"/>
        <v/>
      </c>
      <c r="AF21" s="82" t="str">
        <f t="shared" si="25"/>
        <v/>
      </c>
      <c r="AG21" s="48" t="str">
        <f t="shared" si="26"/>
        <v/>
      </c>
      <c r="AH21" s="48" t="str">
        <f t="shared" si="27"/>
        <v/>
      </c>
      <c r="AI21" s="84" t="str">
        <f t="shared" si="28"/>
        <v/>
      </c>
      <c r="AJ21" s="82" t="str">
        <f t="shared" si="29"/>
        <v/>
      </c>
      <c r="AK21" s="48" t="str">
        <f t="shared" si="30"/>
        <v/>
      </c>
      <c r="AL21" s="48" t="str">
        <f t="shared" si="31"/>
        <v/>
      </c>
      <c r="AM21" s="84" t="str">
        <f t="shared" si="32"/>
        <v/>
      </c>
      <c r="AN21" s="82" t="str">
        <f t="shared" si="33"/>
        <v/>
      </c>
      <c r="AO21" s="48" t="str">
        <f t="shared" si="34"/>
        <v/>
      </c>
      <c r="AP21" s="48" t="str">
        <f t="shared" si="35"/>
        <v/>
      </c>
      <c r="AQ21" s="84" t="str">
        <f t="shared" si="36"/>
        <v/>
      </c>
      <c r="AR21" s="82" t="str">
        <f t="shared" si="37"/>
        <v/>
      </c>
      <c r="AS21" s="48" t="str">
        <f t="shared" si="38"/>
        <v/>
      </c>
      <c r="AT21" s="48" t="str">
        <f t="shared" si="39"/>
        <v/>
      </c>
      <c r="AU21" s="84" t="str">
        <f t="shared" si="40"/>
        <v/>
      </c>
      <c r="AV21" s="82" t="str">
        <f t="shared" si="41"/>
        <v/>
      </c>
      <c r="AW21" s="48" t="str">
        <f t="shared" si="42"/>
        <v/>
      </c>
      <c r="AX21" s="48" t="str">
        <f t="shared" si="43"/>
        <v/>
      </c>
      <c r="AY21" s="84" t="str">
        <f t="shared" si="44"/>
        <v/>
      </c>
      <c r="AZ21" s="82" t="str">
        <f t="shared" si="45"/>
        <v/>
      </c>
      <c r="BA21" s="48" t="str">
        <f t="shared" si="46"/>
        <v/>
      </c>
      <c r="BB21" s="48" t="str">
        <f t="shared" si="47"/>
        <v/>
      </c>
      <c r="BC21" s="84" t="str">
        <f t="shared" si="48"/>
        <v/>
      </c>
      <c r="BD21" s="82" t="str">
        <f t="shared" si="49"/>
        <v/>
      </c>
      <c r="BE21" s="48" t="str">
        <f t="shared" si="50"/>
        <v/>
      </c>
      <c r="BF21" s="48" t="str">
        <f t="shared" si="51"/>
        <v/>
      </c>
      <c r="BG21" s="84" t="str">
        <f t="shared" si="52"/>
        <v/>
      </c>
      <c r="BH21" s="87" t="str">
        <f t="shared" si="53"/>
        <v/>
      </c>
      <c r="BI21" s="49" t="str">
        <f t="shared" si="54"/>
        <v/>
      </c>
      <c r="BJ21" s="49" t="str">
        <f t="shared" si="55"/>
        <v/>
      </c>
      <c r="BK21" s="89" t="str">
        <f t="shared" si="56"/>
        <v/>
      </c>
      <c r="BL21" s="87" t="str">
        <f t="shared" si="57"/>
        <v/>
      </c>
      <c r="BM21" s="49" t="str">
        <f t="shared" si="58"/>
        <v/>
      </c>
      <c r="BN21" s="49" t="str">
        <f t="shared" si="59"/>
        <v/>
      </c>
      <c r="BO21" s="89" t="str">
        <f t="shared" si="60"/>
        <v/>
      </c>
      <c r="BP21" s="87" t="str">
        <f t="shared" si="61"/>
        <v/>
      </c>
      <c r="BQ21" s="49" t="str">
        <f t="shared" si="62"/>
        <v/>
      </c>
      <c r="BR21" s="49" t="str">
        <f t="shared" si="63"/>
        <v/>
      </c>
      <c r="BS21" s="89" t="str">
        <f t="shared" si="64"/>
        <v/>
      </c>
      <c r="BT21" s="87" t="str">
        <f t="shared" si="65"/>
        <v/>
      </c>
    </row>
    <row r="22" spans="2:72" s="93" customFormat="1" ht="12.75">
      <c r="B22" s="81" t="str">
        <f>Weekly!B14</f>
        <v>1247</v>
      </c>
      <c r="C22" s="90" t="str">
        <f>Weekly!C14</f>
        <v>Chihiro</v>
      </c>
      <c r="D22" s="90" t="str">
        <f>Weekly!D23</f>
        <v>Deng</v>
      </c>
      <c r="E22" s="91" t="str">
        <f>VLOOKUP(B22,Team!$B$4:$E$183,4,FALSE)</f>
        <v>HH</v>
      </c>
      <c r="F22" s="92">
        <f>Weekly!G14</f>
        <v>0.35416666666666602</v>
      </c>
      <c r="G22" s="92">
        <f>Weekly!H14</f>
        <v>0.624999999999999</v>
      </c>
      <c r="H22" s="48" t="str">
        <f>IF(AND($H$12&gt;=$F22,$H$12&lt;$G22),$E22,"")</f>
        <v/>
      </c>
      <c r="I22" s="48" t="str">
        <f>IF(AND($I$12&gt;=$F22,$I$12&lt;$G22),$E22,"")</f>
        <v/>
      </c>
      <c r="J22" s="48" t="str">
        <f>IF(AND($J$12&gt;=$F22,$J$12&lt;$G22),$E22,"")</f>
        <v/>
      </c>
      <c r="K22" s="84" t="str">
        <f>IF(AND($K$12&gt;=$F22,$K$12&lt;$G22),$E22,"")</f>
        <v/>
      </c>
      <c r="L22" s="82" t="str">
        <f>IF(AND($L$12&gt;=$F22,$L$12&lt;$G22),$E22,"")</f>
        <v/>
      </c>
      <c r="M22" s="48" t="str">
        <f>IF(AND($M$12&gt;=$F22,$M$12&lt;$G22),$E22,"")</f>
        <v/>
      </c>
      <c r="N22" s="118" t="s">
        <v>243</v>
      </c>
      <c r="O22" s="122" t="s">
        <v>337</v>
      </c>
      <c r="P22" s="122" t="s">
        <v>337</v>
      </c>
      <c r="Q22" s="122" t="s">
        <v>338</v>
      </c>
      <c r="R22" s="119" t="s">
        <v>235</v>
      </c>
      <c r="S22" s="119" t="s">
        <v>235</v>
      </c>
      <c r="T22" s="119" t="s">
        <v>235</v>
      </c>
      <c r="U22" s="119" t="s">
        <v>235</v>
      </c>
      <c r="V22" s="48" t="str">
        <f>IF(AND($V$12&gt;=$F22,$V$12&lt;$G22),$E22,"")</f>
        <v>HH</v>
      </c>
      <c r="W22" s="84" t="str">
        <f>IF(AND($W$12&gt;=$F22,$W$12&lt;$G22),$E22,"")</f>
        <v>HH</v>
      </c>
      <c r="X22" s="82" t="str">
        <f>IF(AND($X$12&gt;=$F22,$X$12&lt;$G22),$E22,"")</f>
        <v>HH</v>
      </c>
      <c r="Y22" s="121">
        <v>40</v>
      </c>
      <c r="Z22" s="121">
        <v>40</v>
      </c>
      <c r="AA22" s="121">
        <v>40</v>
      </c>
      <c r="AB22" s="82" t="str">
        <f>IF(AND($AB$12&gt;=$F22,$AB$12&lt;$G22),$E22,"")</f>
        <v>HH</v>
      </c>
      <c r="AC22" s="48" t="str">
        <f>IF(AND($AC$12&gt;=$F22,$AC$12&lt;$G22),$E22,"")</f>
        <v>HH</v>
      </c>
      <c r="AD22" s="48" t="str">
        <f>IF(AND($AD$12&gt;=$F22,$AD$12&lt;$G22),$E22,"")</f>
        <v>HH</v>
      </c>
      <c r="AE22" s="84" t="str">
        <f>IF(AND($AE$12&gt;=$F22,$AE$12&lt;$G22),$E22,"")</f>
        <v>HH</v>
      </c>
      <c r="AF22" s="124" t="s">
        <v>241</v>
      </c>
      <c r="AG22" s="124" t="s">
        <v>241</v>
      </c>
      <c r="AH22" s="124" t="s">
        <v>241</v>
      </c>
      <c r="AI22" s="121">
        <v>10</v>
      </c>
      <c r="AJ22" s="82" t="str">
        <f>IF(AND($AJ$12&gt;=$F22,$AJ$12&lt;$G22),$E22,"")</f>
        <v>HH</v>
      </c>
      <c r="AK22" s="48" t="str">
        <f>IF(AND($AK$12&gt;=$F22,$AK$12&lt;$G22),$E22,"")</f>
        <v>HH</v>
      </c>
      <c r="AL22" s="48" t="str">
        <f>IF(AND($AL$12&gt;=$F22,$AL$12&lt;$G22),$E22,"")</f>
        <v>HH</v>
      </c>
      <c r="AM22" s="84" t="str">
        <f>IF(AND($AM$12&gt;=$F22,$AM$12&lt;$G22),$E22,"")</f>
        <v>HH</v>
      </c>
      <c r="AN22" s="82" t="str">
        <f>IF(AND($AN$12&gt;=$F22,$AN$12&lt;$G22),$E22,"")</f>
        <v/>
      </c>
      <c r="AO22" s="48" t="str">
        <f>IF(AND($AO$12&gt;=$F22,$AO$12&lt;$G22),$E22,"")</f>
        <v/>
      </c>
      <c r="AP22" s="48" t="str">
        <f>IF(AND($AP$12&gt;=$F22,$AP$12&lt;$G22),$E22,"")</f>
        <v/>
      </c>
      <c r="AQ22" s="84" t="str">
        <f>IF(AND($AQ$12&gt;=$F22,$AQ$12&lt;$G22),$E22,"")</f>
        <v/>
      </c>
      <c r="AR22" s="82" t="str">
        <f>IF(AND($AR$12&gt;=$F22,$AR$12&lt;$G22),$E22,"")</f>
        <v/>
      </c>
      <c r="AS22" s="48" t="str">
        <f>IF(AND($AS$12&gt;=$F22,$AS$12&lt;$G22),$E22,"")</f>
        <v/>
      </c>
      <c r="AT22" s="48" t="str">
        <f>IF(AND($AT$12&gt;=$F22,$AT$12&lt;$G22),$E22,"")</f>
        <v/>
      </c>
      <c r="AU22" s="84" t="str">
        <f>IF(AND($AU$12&gt;=$F22,$AU$12&lt;$G22),$E22,"")</f>
        <v/>
      </c>
      <c r="AV22" s="82" t="str">
        <f>IF(AND($AV$12&gt;=$F22,$AV$12&lt;$G22),$E22,"")</f>
        <v/>
      </c>
      <c r="AW22" s="48" t="str">
        <f>IF(AND($AW$12&gt;=$F22,$AW$12&lt;$G22),$E22,"")</f>
        <v/>
      </c>
      <c r="AX22" s="48" t="str">
        <f>IF(AND($AX$12&gt;=$F22,$AX$12&lt;$G22),$E22,"")</f>
        <v/>
      </c>
      <c r="AY22" s="84" t="str">
        <f>IF(AND($AY$12&gt;=$F22,$AY$12&lt;$G22),$E22,"")</f>
        <v/>
      </c>
      <c r="AZ22" s="82" t="str">
        <f>IF(AND($AZ$12&gt;=$F22,$AZ$12&lt;$G22),$E22,"")</f>
        <v/>
      </c>
      <c r="BA22" s="48" t="str">
        <f>IF(AND($BA$12&gt;=$F22,$BA$12&lt;$G22),$E22,"")</f>
        <v/>
      </c>
      <c r="BB22" s="48" t="str">
        <f>IF(AND($BB$12&gt;=$F22,$BB$12&lt;$G22),$E22,"")</f>
        <v/>
      </c>
      <c r="BC22" s="84" t="str">
        <f>IF(AND($BC$12&gt;=$F22,$BC$12&lt;$G22),$E22,"")</f>
        <v/>
      </c>
      <c r="BD22" s="82" t="str">
        <f>IF(AND($BD$12&gt;=$F22,$BD$12&lt;$G22),$E22,"")</f>
        <v/>
      </c>
      <c r="BE22" s="48" t="str">
        <f>IF(AND($BE$12&gt;=$F22,$BE$12&lt;$G22),$E22,"")</f>
        <v/>
      </c>
      <c r="BF22" s="48" t="str">
        <f>IF(AND($BF$12&gt;=$F22,$BF$12&lt;$G22),$E22,"")</f>
        <v/>
      </c>
      <c r="BG22" s="84" t="str">
        <f>IF(AND($BG$12&gt;=$F22,$BG$12&lt;$G22),$E22,"")</f>
        <v/>
      </c>
      <c r="BH22" s="87" t="str">
        <f>IF(AND($BH$12&gt;=$F22,$BH$12&lt;$G22),$E22,"")</f>
        <v/>
      </c>
      <c r="BI22" s="49" t="str">
        <f>IF(AND($BI$12&gt;=$F22,$BI$12&lt;$G22),$E22,"")</f>
        <v/>
      </c>
      <c r="BJ22" s="49" t="str">
        <f>IF(AND($BJ$12&gt;=$F22,$BJ$12&lt;$G22),$E22,"")</f>
        <v/>
      </c>
      <c r="BK22" s="89" t="str">
        <f>IF(AND($BK$12&gt;=$F22,$BK$12&lt;$G22),$E22,"")</f>
        <v/>
      </c>
      <c r="BL22" s="87" t="str">
        <f>IF(AND($BL$12&gt;=$F22,$BL$12&lt;$G22),$E22,"")</f>
        <v/>
      </c>
      <c r="BM22" s="49" t="str">
        <f>IF(AND($BM$12&gt;=$F22,$BM$12&lt;$G22),$E22,"")</f>
        <v/>
      </c>
      <c r="BN22" s="49" t="str">
        <f>IF(AND($BN$12&gt;=$F22,$BN$12&lt;$G22),$E22,"")</f>
        <v/>
      </c>
      <c r="BO22" s="89" t="str">
        <f>IF(AND($BO$12&gt;=$F22,$BO$12&lt;$G22),$E22,"")</f>
        <v/>
      </c>
      <c r="BP22" s="87" t="str">
        <f>IF(AND($BP$12&gt;=$F22,$BP$12&lt;$G22),$E22,"")</f>
        <v/>
      </c>
      <c r="BQ22" s="49" t="str">
        <f>IF(AND($BQ$12&gt;=$F22,$BQ$12&lt;$G22),$E22,"")</f>
        <v/>
      </c>
      <c r="BR22" s="49" t="str">
        <f>IF(AND($BR$12&gt;=$F22,$BR$12&lt;$G22),$E22,"")</f>
        <v/>
      </c>
      <c r="BS22" s="89" t="str">
        <f>IF(AND($BS$12&gt;=$F22,$BS$12&lt;$G22),$E22,"")</f>
        <v/>
      </c>
      <c r="BT22" s="87" t="str">
        <f>IF(AND($BT$12&gt;=$F22,$BT$12&lt;$G22),$E22,"")</f>
        <v/>
      </c>
    </row>
    <row r="23" spans="2:72" s="93" customFormat="1" ht="12.75">
      <c r="B23" s="81" t="str">
        <f>Weekly!B34</f>
        <v>1014</v>
      </c>
      <c r="C23" s="90" t="str">
        <f>Weekly!C34</f>
        <v>Julie K.</v>
      </c>
      <c r="D23" s="90">
        <f>Weekly!D72</f>
        <v>0</v>
      </c>
      <c r="E23" s="91" t="str">
        <f>VLOOKUP(B23,Team!$B$4:$E$183,4,FALSE)</f>
        <v>H&amp;B</v>
      </c>
      <c r="F23" s="92">
        <f>Weekly!G34</f>
        <v>0.35416666666666602</v>
      </c>
      <c r="G23" s="92">
        <f>Weekly!H34</f>
        <v>0.687499999999999</v>
      </c>
      <c r="H23" s="48" t="str">
        <f>IF(AND($H$12&gt;=$F23,$H$12&lt;$G23),$E23,"")</f>
        <v/>
      </c>
      <c r="I23" s="48" t="str">
        <f>IF(AND($I$12&gt;=$F23,$I$12&lt;$G23),$E23,"")</f>
        <v/>
      </c>
      <c r="J23" s="48" t="str">
        <f>IF(AND($J$12&gt;=$F23,$J$12&lt;$G23),$E23,"")</f>
        <v/>
      </c>
      <c r="K23" s="84" t="str">
        <f>IF(AND($K$12&gt;=$F23,$K$12&lt;$G23),$E23,"")</f>
        <v/>
      </c>
      <c r="L23" s="82" t="str">
        <f>IF(AND($L$12&gt;=$F23,$L$12&lt;$G23),$E23,"")</f>
        <v/>
      </c>
      <c r="M23" s="48" t="str">
        <f>IF(AND($M$12&gt;=$F23,$M$12&lt;$G23),$E23,"")</f>
        <v/>
      </c>
      <c r="N23" s="118" t="s">
        <v>243</v>
      </c>
      <c r="O23" s="122" t="s">
        <v>339</v>
      </c>
      <c r="P23" s="122" t="s">
        <v>339</v>
      </c>
      <c r="Q23" s="122" t="s">
        <v>340</v>
      </c>
      <c r="R23" s="48" t="str">
        <f>IF(AND($R$12&gt;=$F23,$R$12&lt;$G23),$E23,"")</f>
        <v>H&amp;B</v>
      </c>
      <c r="S23" s="84" t="str">
        <f>IF(AND($S$12&gt;=$F23,$S$12&lt;$G23),$E23,"")</f>
        <v>H&amp;B</v>
      </c>
      <c r="T23" s="82" t="str">
        <f>IF(AND($T$12&gt;=$F23,$T$12&lt;$G23),$E23,"")</f>
        <v>H&amp;B</v>
      </c>
      <c r="U23" s="48" t="str">
        <f>IF(AND($U$12&gt;=$F23,$U$12&lt;$G23),$E23,"")</f>
        <v>H&amp;B</v>
      </c>
      <c r="V23" s="48" t="str">
        <f>IF(AND($V$12&gt;=$F23,$V$12&lt;$G23),$E23,"")</f>
        <v>H&amp;B</v>
      </c>
      <c r="W23" s="84" t="str">
        <f>IF(AND($W$12&gt;=$F23,$W$12&lt;$G23),$E23,"")</f>
        <v>H&amp;B</v>
      </c>
      <c r="X23" s="82" t="str">
        <f>IF(AND($X$12&gt;=$F23,$X$12&lt;$G23),$E23,"")</f>
        <v>H&amp;B</v>
      </c>
      <c r="Y23" s="121">
        <v>40</v>
      </c>
      <c r="Z23" s="121">
        <v>40</v>
      </c>
      <c r="AA23" s="121">
        <v>40</v>
      </c>
      <c r="AB23" s="124" t="s">
        <v>241</v>
      </c>
      <c r="AC23" s="124" t="s">
        <v>241</v>
      </c>
      <c r="AD23" s="124" t="s">
        <v>241</v>
      </c>
      <c r="AE23" s="124" t="s">
        <v>241</v>
      </c>
      <c r="AF23" s="48" t="str">
        <f>IF(AND($AH$12&gt;=$F23,$AH$12&lt;$G23),$E23,"")</f>
        <v>H&amp;B</v>
      </c>
      <c r="AG23" s="48" t="str">
        <f>IF(AND($AH$12&gt;=$F23,$AH$12&lt;$G23),$E23,"")</f>
        <v>H&amp;B</v>
      </c>
      <c r="AH23" s="48" t="str">
        <f>IF(AND($AH$12&gt;=$F23,$AH$12&lt;$G23),$E23,"")</f>
        <v>H&amp;B</v>
      </c>
      <c r="AI23" s="84" t="str">
        <f>IF(AND($AI$12&gt;=$F23,$AI$12&lt;$G23),$E23,"")</f>
        <v>H&amp;B</v>
      </c>
      <c r="AJ23" s="121">
        <v>10</v>
      </c>
      <c r="AK23" s="119" t="s">
        <v>235</v>
      </c>
      <c r="AL23" s="119" t="s">
        <v>235</v>
      </c>
      <c r="AM23" s="119" t="s">
        <v>235</v>
      </c>
      <c r="AN23" s="119" t="s">
        <v>235</v>
      </c>
      <c r="AO23" s="119" t="s">
        <v>235</v>
      </c>
      <c r="AP23" s="48" t="str">
        <f>IF(AND($AP$12&gt;=$F23,$AP$12&lt;$G23),$E23,"")</f>
        <v>H&amp;B</v>
      </c>
      <c r="AQ23" s="84" t="str">
        <f>IF(AND($AQ$12&gt;=$F23,$AQ$12&lt;$G23),$E23,"")</f>
        <v>H&amp;B</v>
      </c>
      <c r="AR23" s="82" t="str">
        <f>IF(AND($AR$12&gt;=$F23,$AR$12&lt;$G23),$E23,"")</f>
        <v>H&amp;B</v>
      </c>
      <c r="AS23" s="48" t="str">
        <f>IF(AND($AS$12&gt;=$F23,$AS$12&lt;$G23),$E23,"")</f>
        <v>H&amp;B</v>
      </c>
      <c r="AT23" s="48" t="str">
        <f>IF(AND($AT$12&gt;=$F23,$AT$12&lt;$G23),$E23,"")</f>
        <v/>
      </c>
      <c r="AU23" s="84" t="str">
        <f>IF(AND($AU$12&gt;=$F23,$AU$12&lt;$G23),$E23,"")</f>
        <v/>
      </c>
      <c r="AV23" s="82" t="str">
        <f>IF(AND($AV$12&gt;=$F23,$AV$12&lt;$G23),$E23,"")</f>
        <v/>
      </c>
      <c r="AW23" s="48" t="str">
        <f>IF(AND($AW$12&gt;=$F23,$AW$12&lt;$G23),$E23,"")</f>
        <v/>
      </c>
      <c r="AX23" s="48" t="str">
        <f>IF(AND($AX$12&gt;=$F23,$AX$12&lt;$G23),$E23,"")</f>
        <v/>
      </c>
      <c r="AY23" s="84" t="str">
        <f>IF(AND($AY$12&gt;=$F23,$AY$12&lt;$G23),$E23,"")</f>
        <v/>
      </c>
      <c r="AZ23" s="82" t="str">
        <f>IF(AND($AZ$12&gt;=$F23,$AZ$12&lt;$G23),$E23,"")</f>
        <v/>
      </c>
      <c r="BA23" s="48" t="str">
        <f>IF(AND($BA$12&gt;=$F23,$BA$12&lt;$G23),$E23,"")</f>
        <v/>
      </c>
      <c r="BB23" s="48" t="str">
        <f>IF(AND($BB$12&gt;=$F23,$BB$12&lt;$G23),$E23,"")</f>
        <v/>
      </c>
      <c r="BC23" s="84" t="str">
        <f>IF(AND($BC$12&gt;=$F23,$BC$12&lt;$G23),$E23,"")</f>
        <v/>
      </c>
      <c r="BD23" s="82" t="str">
        <f>IF(AND($BD$12&gt;=$F23,$BD$12&lt;$G23),$E23,"")</f>
        <v/>
      </c>
      <c r="BE23" s="48" t="str">
        <f>IF(AND($BE$12&gt;=$F23,$BE$12&lt;$G23),$E23,"")</f>
        <v/>
      </c>
      <c r="BF23" s="48" t="str">
        <f>IF(AND($BF$12&gt;=$F23,$BF$12&lt;$G23),$E23,"")</f>
        <v/>
      </c>
      <c r="BG23" s="84" t="str">
        <f>IF(AND($BG$12&gt;=$F23,$BG$12&lt;$G23),$E23,"")</f>
        <v/>
      </c>
      <c r="BH23" s="87" t="str">
        <f>IF(AND($BH$12&gt;=$F23,$BH$12&lt;$G23),$E23,"")</f>
        <v/>
      </c>
      <c r="BI23" s="49" t="str">
        <f>IF(AND($BI$12&gt;=$F23,$BI$12&lt;$G23),$E23,"")</f>
        <v/>
      </c>
      <c r="BJ23" s="49" t="str">
        <f>IF(AND($BJ$12&gt;=$F23,$BJ$12&lt;$G23),$E23,"")</f>
        <v/>
      </c>
      <c r="BK23" s="89" t="str">
        <f>IF(AND($BK$12&gt;=$F23,$BK$12&lt;$G23),$E23,"")</f>
        <v/>
      </c>
      <c r="BL23" s="87" t="str">
        <f>IF(AND($BL$12&gt;=$F23,$BL$12&lt;$G23),$E23,"")</f>
        <v/>
      </c>
      <c r="BM23" s="49" t="str">
        <f>IF(AND($BM$12&gt;=$F23,$BM$12&lt;$G23),$E23,"")</f>
        <v/>
      </c>
      <c r="BN23" s="49" t="str">
        <f>IF(AND($BN$12&gt;=$F23,$BN$12&lt;$G23),$E23,"")</f>
        <v/>
      </c>
      <c r="BO23" s="89" t="str">
        <f>IF(AND($BO$12&gt;=$F23,$BO$12&lt;$G23),$E23,"")</f>
        <v/>
      </c>
      <c r="BP23" s="87" t="str">
        <f>IF(AND($BP$12&gt;=$F23,$BP$12&lt;$G23),$E23,"")</f>
        <v/>
      </c>
      <c r="BQ23" s="49" t="str">
        <f>IF(AND($BQ$12&gt;=$F23,$BQ$12&lt;$G23),$E23,"")</f>
        <v/>
      </c>
      <c r="BR23" s="49" t="str">
        <f>IF(AND($BR$12&gt;=$F23,$BR$12&lt;$G23),$E23,"")</f>
        <v/>
      </c>
      <c r="BS23" s="89" t="str">
        <f>IF(AND($BS$12&gt;=$F23,$BS$12&lt;$G23),$E23,"")</f>
        <v/>
      </c>
      <c r="BT23" s="87" t="str">
        <f>IF(AND($BT$12&gt;=$F23,$BT$12&lt;$G23),$E23,"")</f>
        <v/>
      </c>
    </row>
    <row r="24" spans="2:72" s="93" customFormat="1" hidden="1">
      <c r="B24" s="81" t="str">
        <f>Weekly!B16</f>
        <v>660</v>
      </c>
      <c r="C24" s="90" t="str">
        <f>Weekly!C16</f>
        <v>Daniel</v>
      </c>
      <c r="D24" s="90" t="str">
        <f>Weekly!D21</f>
        <v>Trac</v>
      </c>
      <c r="E24" s="91" t="str">
        <f>VLOOKUP(B24,Team!$B$4:$E$183,4,FALSE)</f>
        <v>HH</v>
      </c>
      <c r="F24" s="92" t="str">
        <f>Weekly!G16</f>
        <v/>
      </c>
      <c r="G24" s="92" t="str">
        <f>Weekly!H16</f>
        <v/>
      </c>
      <c r="H24" s="48" t="str">
        <f>IF(AND($H$12&gt;=$F24,$H$12&lt;$G24),$E24,"")</f>
        <v/>
      </c>
      <c r="I24" s="48" t="str">
        <f>IF(AND($I$12&gt;=$F24,$I$12&lt;$G24),$E24,"")</f>
        <v/>
      </c>
      <c r="J24" s="48" t="str">
        <f>IF(AND($J$12&gt;=$F24,$J$12&lt;$G24),$E24,"")</f>
        <v/>
      </c>
      <c r="K24" s="84" t="str">
        <f>IF(AND($K$12&gt;=$F24,$K$12&lt;$G24),$E24,"")</f>
        <v/>
      </c>
      <c r="L24" s="82" t="str">
        <f>IF(AND($L$12&gt;=$F24,$L$12&lt;$G24),$E24,"")</f>
        <v/>
      </c>
      <c r="M24" s="48" t="str">
        <f>IF(AND($M$12&gt;=$F24,$M$12&lt;$G24),$E24,"")</f>
        <v/>
      </c>
      <c r="N24" s="48" t="str">
        <f>IF(AND($N$12&gt;=$F24,$N$12&lt;$G24),$E24,"")</f>
        <v/>
      </c>
      <c r="O24" s="84" t="str">
        <f>IF(AND($O$12&gt;=$F24,$O$12&lt;$G24),$E24,"")</f>
        <v/>
      </c>
      <c r="P24" s="82" t="str">
        <f>IF(AND($P$12&gt;=$F24,$P$12&lt;$G24),$E24,"")</f>
        <v/>
      </c>
      <c r="Q24" s="48" t="str">
        <f>IF(AND($Q$12&gt;=$F24,$Q$12&lt;$G24),$E24,"")</f>
        <v/>
      </c>
      <c r="R24" s="48" t="str">
        <f>IF(AND($R$12&gt;=$F24,$R$12&lt;$G24),$E24,"")</f>
        <v/>
      </c>
      <c r="S24" s="84" t="str">
        <f>IF(AND($S$12&gt;=$F24,$S$12&lt;$G24),$E24,"")</f>
        <v/>
      </c>
      <c r="T24" s="82" t="str">
        <f>IF(AND($T$12&gt;=$F24,$T$12&lt;$G24),$E24,"")</f>
        <v/>
      </c>
      <c r="U24" s="48" t="str">
        <f>IF(AND($U$12&gt;=$F24,$U$12&lt;$G24),$E24,"")</f>
        <v/>
      </c>
      <c r="V24" s="48" t="str">
        <f>IF(AND($V$12&gt;=$F24,$V$12&lt;$G24),$E24,"")</f>
        <v/>
      </c>
      <c r="W24" s="84" t="str">
        <f>IF(AND($W$12&gt;=$F24,$W$12&lt;$G24),$E24,"")</f>
        <v/>
      </c>
      <c r="X24" s="82" t="str">
        <f>IF(AND($X$12&gt;=$F24,$X$12&lt;$G24),$E24,"")</f>
        <v/>
      </c>
      <c r="Y24" s="48" t="str">
        <f>IF(AND($Y$12&gt;=$F24,$Y$12&lt;$G24),$E24,"")</f>
        <v/>
      </c>
      <c r="Z24" s="48" t="str">
        <f>IF(AND($Z$12&gt;=$F24,$Z$12&lt;$G24),$E24,"")</f>
        <v/>
      </c>
      <c r="AA24" s="84" t="str">
        <f>IF(AND($AA$12&gt;=$F24,$AA$12&lt;$G24),$E24,"")</f>
        <v/>
      </c>
      <c r="AB24" s="82" t="str">
        <f>IF(AND($AB$12&gt;=$F24,$AB$12&lt;$G24),$E24,"")</f>
        <v/>
      </c>
      <c r="AC24" s="48" t="str">
        <f>IF(AND($AC$12&gt;=$F24,$AC$12&lt;$G24),$E24,"")</f>
        <v/>
      </c>
      <c r="AD24" s="48" t="str">
        <f>IF(AND($AD$12&gt;=$F24,$AD$12&lt;$G24),$E24,"")</f>
        <v/>
      </c>
      <c r="AE24" s="84" t="str">
        <f>IF(AND($AE$12&gt;=$F24,$AE$12&lt;$G24),$E24,"")</f>
        <v/>
      </c>
      <c r="AF24" s="82" t="str">
        <f>IF(AND($AF$12&gt;=$F24,$AF$12&lt;$G24),$E24,"")</f>
        <v/>
      </c>
      <c r="AG24" s="48" t="str">
        <f>IF(AND($AG$12&gt;=$F24,$AG$12&lt;$G24),$E24,"")</f>
        <v/>
      </c>
      <c r="AH24" s="48" t="str">
        <f>IF(AND($AH$12&gt;=$F24,$AH$12&lt;$G24),$E24,"")</f>
        <v/>
      </c>
      <c r="AI24" s="84" t="str">
        <f>IF(AND($AI$12&gt;=$F24,$AI$12&lt;$G24),$E24,"")</f>
        <v/>
      </c>
      <c r="AJ24" s="82" t="str">
        <f>IF(AND($AJ$12&gt;=$F24,$AJ$12&lt;$G24),$E24,"")</f>
        <v/>
      </c>
      <c r="AK24" s="48" t="str">
        <f>IF(AND($AK$12&gt;=$F24,$AK$12&lt;$G24),$E24,"")</f>
        <v/>
      </c>
      <c r="AL24" s="48" t="str">
        <f>IF(AND($AL$12&gt;=$F24,$AL$12&lt;$G24),$E24,"")</f>
        <v/>
      </c>
      <c r="AM24" s="84" t="str">
        <f>IF(AND($AM$12&gt;=$F24,$AM$12&lt;$G24),$E24,"")</f>
        <v/>
      </c>
      <c r="AN24" s="82" t="str">
        <f>IF(AND($AN$12&gt;=$F24,$AN$12&lt;$G24),$E24,"")</f>
        <v/>
      </c>
      <c r="AO24" s="48" t="str">
        <f>IF(AND($AO$12&gt;=$F24,$AO$12&lt;$G24),$E24,"")</f>
        <v/>
      </c>
      <c r="AP24" s="48" t="str">
        <f>IF(AND($AP$12&gt;=$F24,$AP$12&lt;$G24),$E24,"")</f>
        <v/>
      </c>
      <c r="AQ24" s="84" t="str">
        <f>IF(AND($AQ$12&gt;=$F24,$AQ$12&lt;$G24),$E24,"")</f>
        <v/>
      </c>
      <c r="AR24" s="82" t="str">
        <f>IF(AND($AR$12&gt;=$F24,$AR$12&lt;$G24),$E24,"")</f>
        <v/>
      </c>
      <c r="AS24" s="48" t="str">
        <f>IF(AND($AS$12&gt;=$F24,$AS$12&lt;$G24),$E24,"")</f>
        <v/>
      </c>
      <c r="AT24" s="48" t="str">
        <f>IF(AND($AT$12&gt;=$F24,$AT$12&lt;$G24),$E24,"")</f>
        <v/>
      </c>
      <c r="AU24" s="84" t="str">
        <f>IF(AND($AU$12&gt;=$F24,$AU$12&lt;$G24),$E24,"")</f>
        <v/>
      </c>
      <c r="AV24" s="82" t="str">
        <f>IF(AND($AV$12&gt;=$F24,$AV$12&lt;$G24),$E24,"")</f>
        <v/>
      </c>
      <c r="AW24" s="48" t="str">
        <f>IF(AND($AW$12&gt;=$F24,$AW$12&lt;$G24),$E24,"")</f>
        <v/>
      </c>
      <c r="AX24" s="48" t="str">
        <f>IF(AND($AX$12&gt;=$F24,$AX$12&lt;$G24),$E24,"")</f>
        <v/>
      </c>
      <c r="AY24" s="84" t="str">
        <f>IF(AND($AY$12&gt;=$F24,$AY$12&lt;$G24),$E24,"")</f>
        <v/>
      </c>
      <c r="AZ24" s="82" t="str">
        <f>IF(AND($AZ$12&gt;=$F24,$AZ$12&lt;$G24),$E24,"")</f>
        <v/>
      </c>
      <c r="BA24" s="48" t="str">
        <f>IF(AND($BA$12&gt;=$F24,$BA$12&lt;$G24),$E24,"")</f>
        <v/>
      </c>
      <c r="BB24" s="48" t="str">
        <f>IF(AND($BB$12&gt;=$F24,$BB$12&lt;$G24),$E24,"")</f>
        <v/>
      </c>
      <c r="BC24" s="84" t="str">
        <f>IF(AND($BC$12&gt;=$F24,$BC$12&lt;$G24),$E24,"")</f>
        <v/>
      </c>
      <c r="BD24" s="82" t="str">
        <f>IF(AND($BD$12&gt;=$F24,$BD$12&lt;$G24),$E24,"")</f>
        <v/>
      </c>
      <c r="BE24" s="48" t="str">
        <f>IF(AND($BE$12&gt;=$F24,$BE$12&lt;$G24),$E24,"")</f>
        <v/>
      </c>
      <c r="BF24" s="48" t="str">
        <f>IF(AND($BF$12&gt;=$F24,$BF$12&lt;$G24),$E24,"")</f>
        <v/>
      </c>
      <c r="BG24" s="84" t="str">
        <f>IF(AND($BG$12&gt;=$F24,$BG$12&lt;$G24),$E24,"")</f>
        <v/>
      </c>
      <c r="BH24" s="87" t="str">
        <f>IF(AND($BH$12&gt;=$F24,$BH$12&lt;$G24),$E24,"")</f>
        <v/>
      </c>
      <c r="BI24" s="49" t="str">
        <f>IF(AND($BI$12&gt;=$F24,$BI$12&lt;$G24),$E24,"")</f>
        <v/>
      </c>
      <c r="BJ24" s="49" t="str">
        <f>IF(AND($BJ$12&gt;=$F24,$BJ$12&lt;$G24),$E24,"")</f>
        <v/>
      </c>
      <c r="BK24" s="89" t="str">
        <f>IF(AND($BK$12&gt;=$F24,$BK$12&lt;$G24),$E24,"")</f>
        <v/>
      </c>
      <c r="BL24" s="87" t="str">
        <f>IF(AND($BL$12&gt;=$F24,$BL$12&lt;$G24),$E24,"")</f>
        <v/>
      </c>
      <c r="BM24" s="49" t="str">
        <f>IF(AND($BM$12&gt;=$F24,$BM$12&lt;$G24),$E24,"")</f>
        <v/>
      </c>
      <c r="BN24" s="49" t="str">
        <f>IF(AND($BN$12&gt;=$F24,$BN$12&lt;$G24),$E24,"")</f>
        <v/>
      </c>
      <c r="BO24" s="89" t="str">
        <f>IF(AND($BO$12&gt;=$F24,$BO$12&lt;$G24),$E24,"")</f>
        <v/>
      </c>
      <c r="BP24" s="87" t="str">
        <f>IF(AND($BP$12&gt;=$F24,$BP$12&lt;$G24),$E24,"")</f>
        <v/>
      </c>
      <c r="BQ24" s="49" t="str">
        <f>IF(AND($BQ$12&gt;=$F24,$BQ$12&lt;$G24),$E24,"")</f>
        <v/>
      </c>
      <c r="BR24" s="49" t="str">
        <f>IF(AND($BR$12&gt;=$F24,$BR$12&lt;$G24),$E24,"")</f>
        <v/>
      </c>
      <c r="BS24" s="89" t="str">
        <f>IF(AND($BS$12&gt;=$F24,$BS$12&lt;$G24),$E24,"")</f>
        <v/>
      </c>
      <c r="BT24" s="87" t="str">
        <f>IF(AND($BT$12&gt;=$F24,$BT$12&lt;$G24),$E24,"")</f>
        <v/>
      </c>
    </row>
    <row r="25" spans="2:72" s="93" customFormat="1" hidden="1">
      <c r="B25" s="81" t="str">
        <f>Weekly!B17</f>
        <v>1275</v>
      </c>
      <c r="C25" s="90" t="str">
        <f>Weekly!C17</f>
        <v>Da-yeon</v>
      </c>
      <c r="D25" s="90" t="str">
        <f>Weekly!D25</f>
        <v>Abad</v>
      </c>
      <c r="E25" s="91" t="str">
        <f>VLOOKUP(B25,Team!$B$4:$E$183,4,FALSE)</f>
        <v>HH</v>
      </c>
      <c r="F25" s="92" t="str">
        <f>Weekly!G17</f>
        <v/>
      </c>
      <c r="G25" s="92" t="str">
        <f>Weekly!H17</f>
        <v/>
      </c>
      <c r="H25" s="48" t="str">
        <f>IF(AND($H$12&gt;=$F25,$H$12&lt;$G25),$E25,"")</f>
        <v/>
      </c>
      <c r="I25" s="48" t="str">
        <f>IF(AND($I$12&gt;=$F25,$I$12&lt;$G25),$E25,"")</f>
        <v/>
      </c>
      <c r="J25" s="48" t="str">
        <f>IF(AND($J$12&gt;=$F25,$J$12&lt;$G25),$E25,"")</f>
        <v/>
      </c>
      <c r="K25" s="84" t="str">
        <f>IF(AND($K$12&gt;=$F25,$K$12&lt;$G25),$E25,"")</f>
        <v/>
      </c>
      <c r="L25" s="82" t="str">
        <f>IF(AND($L$12&gt;=$F25,$L$12&lt;$G25),$E25,"")</f>
        <v/>
      </c>
      <c r="M25" s="48" t="str">
        <f>IF(AND($M$12&gt;=$F25,$M$12&lt;$G25),$E25,"")</f>
        <v/>
      </c>
      <c r="N25" s="48" t="str">
        <f>IF(AND($N$12&gt;=$F25,$N$12&lt;$G25),$E25,"")</f>
        <v/>
      </c>
      <c r="O25" s="84" t="str">
        <f>IF(AND($O$12&gt;=$F25,$O$12&lt;$G25),$E25,"")</f>
        <v/>
      </c>
      <c r="P25" s="82" t="str">
        <f>IF(AND($P$12&gt;=$F25,$P$12&lt;$G25),$E25,"")</f>
        <v/>
      </c>
      <c r="Q25" s="48" t="str">
        <f>IF(AND($Q$12&gt;=$F25,$Q$12&lt;$G25),$E25,"")</f>
        <v/>
      </c>
      <c r="R25" s="48" t="str">
        <f>IF(AND($R$12&gt;=$F25,$R$12&lt;$G25),$E25,"")</f>
        <v/>
      </c>
      <c r="S25" s="84" t="str">
        <f>IF(AND($S$12&gt;=$F25,$S$12&lt;$G25),$E25,"")</f>
        <v/>
      </c>
      <c r="T25" s="82" t="str">
        <f>IF(AND($T$12&gt;=$F25,$T$12&lt;$G25),$E25,"")</f>
        <v/>
      </c>
      <c r="U25" s="48" t="str">
        <f>IF(AND($U$12&gt;=$F25,$U$12&lt;$G25),$E25,"")</f>
        <v/>
      </c>
      <c r="V25" s="48" t="str">
        <f>IF(AND($V$12&gt;=$F25,$V$12&lt;$G25),$E25,"")</f>
        <v/>
      </c>
      <c r="W25" s="84" t="str">
        <f>IF(AND($W$12&gt;=$F25,$W$12&lt;$G25),$E25,"")</f>
        <v/>
      </c>
      <c r="X25" s="82" t="str">
        <f>IF(AND($X$12&gt;=$F25,$X$12&lt;$G25),$E25,"")</f>
        <v/>
      </c>
      <c r="Y25" s="48" t="str">
        <f>IF(AND($Y$12&gt;=$F25,$Y$12&lt;$G25),$E25,"")</f>
        <v/>
      </c>
      <c r="Z25" s="48" t="str">
        <f>IF(AND($Z$12&gt;=$F25,$Z$12&lt;$G25),$E25,"")</f>
        <v/>
      </c>
      <c r="AA25" s="84" t="str">
        <f>IF(AND($AA$12&gt;=$F25,$AA$12&lt;$G25),$E25,"")</f>
        <v/>
      </c>
      <c r="AB25" s="82" t="str">
        <f>IF(AND($AB$12&gt;=$F25,$AB$12&lt;$G25),$E25,"")</f>
        <v/>
      </c>
      <c r="AC25" s="48" t="str">
        <f>IF(AND($AC$12&gt;=$F25,$AC$12&lt;$G25),$E25,"")</f>
        <v/>
      </c>
      <c r="AD25" s="48" t="str">
        <f>IF(AND($AD$12&gt;=$F25,$AD$12&lt;$G25),$E25,"")</f>
        <v/>
      </c>
      <c r="AE25" s="84" t="str">
        <f>IF(AND($AE$12&gt;=$F25,$AE$12&lt;$G25),$E25,"")</f>
        <v/>
      </c>
      <c r="AF25" s="82" t="str">
        <f>IF(AND($AF$12&gt;=$F25,$AF$12&lt;$G25),$E25,"")</f>
        <v/>
      </c>
      <c r="AG25" s="48" t="str">
        <f>IF(AND($AG$12&gt;=$F25,$AG$12&lt;$G25),$E25,"")</f>
        <v/>
      </c>
      <c r="AH25" s="48" t="str">
        <f>IF(AND($AH$12&gt;=$F25,$AH$12&lt;$G25),$E25,"")</f>
        <v/>
      </c>
      <c r="AI25" s="84" t="str">
        <f>IF(AND($AI$12&gt;=$F25,$AI$12&lt;$G25),$E25,"")</f>
        <v/>
      </c>
      <c r="AJ25" s="82" t="str">
        <f>IF(AND($AJ$12&gt;=$F25,$AJ$12&lt;$G25),$E25,"")</f>
        <v/>
      </c>
      <c r="AK25" s="48" t="str">
        <f>IF(AND($AK$12&gt;=$F25,$AK$12&lt;$G25),$E25,"")</f>
        <v/>
      </c>
      <c r="AL25" s="48" t="str">
        <f>IF(AND($AL$12&gt;=$F25,$AL$12&lt;$G25),$E25,"")</f>
        <v/>
      </c>
      <c r="AM25" s="84" t="str">
        <f>IF(AND($AM$12&gt;=$F25,$AM$12&lt;$G25),$E25,"")</f>
        <v/>
      </c>
      <c r="AN25" s="82" t="str">
        <f>IF(AND($AN$12&gt;=$F25,$AN$12&lt;$G25),$E25,"")</f>
        <v/>
      </c>
      <c r="AO25" s="48" t="str">
        <f>IF(AND($AO$12&gt;=$F25,$AO$12&lt;$G25),$E25,"")</f>
        <v/>
      </c>
      <c r="AP25" s="48" t="str">
        <f>IF(AND($AP$12&gt;=$F25,$AP$12&lt;$G25),$E25,"")</f>
        <v/>
      </c>
      <c r="AQ25" s="84" t="str">
        <f>IF(AND($AQ$12&gt;=$F25,$AQ$12&lt;$G25),$E25,"")</f>
        <v/>
      </c>
      <c r="AR25" s="82" t="str">
        <f>IF(AND($AR$12&gt;=$F25,$AR$12&lt;$G25),$E25,"")</f>
        <v/>
      </c>
      <c r="AS25" s="48" t="str">
        <f>IF(AND($AS$12&gt;=$F25,$AS$12&lt;$G25),$E25,"")</f>
        <v/>
      </c>
      <c r="AT25" s="48" t="str">
        <f>IF(AND($AT$12&gt;=$F25,$AT$12&lt;$G25),$E25,"")</f>
        <v/>
      </c>
      <c r="AU25" s="84" t="str">
        <f>IF(AND($AU$12&gt;=$F25,$AU$12&lt;$G25),$E25,"")</f>
        <v/>
      </c>
      <c r="AV25" s="82" t="str">
        <f>IF(AND($AV$12&gt;=$F25,$AV$12&lt;$G25),$E25,"")</f>
        <v/>
      </c>
      <c r="AW25" s="48" t="str">
        <f>IF(AND($AW$12&gt;=$F25,$AW$12&lt;$G25),$E25,"")</f>
        <v/>
      </c>
      <c r="AX25" s="48" t="str">
        <f>IF(AND($AX$12&gt;=$F25,$AX$12&lt;$G25),$E25,"")</f>
        <v/>
      </c>
      <c r="AY25" s="84" t="str">
        <f>IF(AND($AY$12&gt;=$F25,$AY$12&lt;$G25),$E25,"")</f>
        <v/>
      </c>
      <c r="AZ25" s="82" t="str">
        <f>IF(AND($AZ$12&gt;=$F25,$AZ$12&lt;$G25),$E25,"")</f>
        <v/>
      </c>
      <c r="BA25" s="48" t="str">
        <f>IF(AND($BA$12&gt;=$F25,$BA$12&lt;$G25),$E25,"")</f>
        <v/>
      </c>
      <c r="BB25" s="48" t="str">
        <f>IF(AND($BB$12&gt;=$F25,$BB$12&lt;$G25),$E25,"")</f>
        <v/>
      </c>
      <c r="BC25" s="84" t="str">
        <f>IF(AND($BC$12&gt;=$F25,$BC$12&lt;$G25),$E25,"")</f>
        <v/>
      </c>
      <c r="BD25" s="82" t="str">
        <f>IF(AND($BD$12&gt;=$F25,$BD$12&lt;$G25),$E25,"")</f>
        <v/>
      </c>
      <c r="BE25" s="48" t="str">
        <f>IF(AND($BE$12&gt;=$F25,$BE$12&lt;$G25),$E25,"")</f>
        <v/>
      </c>
      <c r="BF25" s="48" t="str">
        <f>IF(AND($BF$12&gt;=$F25,$BF$12&lt;$G25),$E25,"")</f>
        <v/>
      </c>
      <c r="BG25" s="84" t="str">
        <f>IF(AND($BG$12&gt;=$F25,$BG$12&lt;$G25),$E25,"")</f>
        <v/>
      </c>
      <c r="BH25" s="87" t="str">
        <f>IF(AND($BH$12&gt;=$F25,$BH$12&lt;$G25),$E25,"")</f>
        <v/>
      </c>
      <c r="BI25" s="49" t="str">
        <f>IF(AND($BI$12&gt;=$F25,$BI$12&lt;$G25),$E25,"")</f>
        <v/>
      </c>
      <c r="BJ25" s="49" t="str">
        <f>IF(AND($BJ$12&gt;=$F25,$BJ$12&lt;$G25),$E25,"")</f>
        <v/>
      </c>
      <c r="BK25" s="89" t="str">
        <f>IF(AND($BK$12&gt;=$F25,$BK$12&lt;$G25),$E25,"")</f>
        <v/>
      </c>
      <c r="BL25" s="87" t="str">
        <f>IF(AND($BL$12&gt;=$F25,$BL$12&lt;$G25),$E25,"")</f>
        <v/>
      </c>
      <c r="BM25" s="49" t="str">
        <f>IF(AND($BM$12&gt;=$F25,$BM$12&lt;$G25),$E25,"")</f>
        <v/>
      </c>
      <c r="BN25" s="49" t="str">
        <f>IF(AND($BN$12&gt;=$F25,$BN$12&lt;$G25),$E25,"")</f>
        <v/>
      </c>
      <c r="BO25" s="89" t="str">
        <f>IF(AND($BO$12&gt;=$F25,$BO$12&lt;$G25),$E25,"")</f>
        <v/>
      </c>
      <c r="BP25" s="87" t="str">
        <f>IF(AND($BP$12&gt;=$F25,$BP$12&lt;$G25),$E25,"")</f>
        <v/>
      </c>
      <c r="BQ25" s="49" t="str">
        <f>IF(AND($BQ$12&gt;=$F25,$BQ$12&lt;$G25),$E25,"")</f>
        <v/>
      </c>
      <c r="BR25" s="49" t="str">
        <f>IF(AND($BR$12&gt;=$F25,$BR$12&lt;$G25),$E25,"")</f>
        <v/>
      </c>
      <c r="BS25" s="89" t="str">
        <f>IF(AND($BS$12&gt;=$F25,$BS$12&lt;$G25),$E25,"")</f>
        <v/>
      </c>
      <c r="BT25" s="87" t="str">
        <f>IF(AND($BT$12&gt;=$F25,$BT$12&lt;$G25),$E25,"")</f>
        <v/>
      </c>
    </row>
    <row r="26" spans="2:72" s="93" customFormat="1" hidden="1">
      <c r="B26" s="81" t="str">
        <f>Weekly!B18</f>
        <v>1258</v>
      </c>
      <c r="C26" s="90" t="str">
        <f>Weekly!C18</f>
        <v>Dennis</v>
      </c>
      <c r="D26" s="90" t="str">
        <f>Weekly!D53</f>
        <v>Chen</v>
      </c>
      <c r="E26" s="91" t="str">
        <f>VLOOKUP(B26,Team!$B$4:$E$183,4,FALSE)</f>
        <v>Stat.</v>
      </c>
      <c r="F26" s="92" t="str">
        <f>Weekly!G18</f>
        <v/>
      </c>
      <c r="G26" s="92" t="str">
        <f>Weekly!H18</f>
        <v/>
      </c>
      <c r="H26" s="48" t="str">
        <f>IF(AND($H$12&gt;=$F26,$H$12&lt;$G26),$E26,"")</f>
        <v/>
      </c>
      <c r="I26" s="48" t="str">
        <f>IF(AND($I$12&gt;=$F26,$I$12&lt;$G26),$E26,"")</f>
        <v/>
      </c>
      <c r="J26" s="48" t="str">
        <f>IF(AND($J$12&gt;=$F26,$J$12&lt;$G26),$E26,"")</f>
        <v/>
      </c>
      <c r="K26" s="84" t="str">
        <f>IF(AND($K$12&gt;=$F26,$K$12&lt;$G26),$E26,"")</f>
        <v/>
      </c>
      <c r="L26" s="82" t="str">
        <f>IF(AND($L$12&gt;=$F26,$L$12&lt;$G26),$E26,"")</f>
        <v/>
      </c>
      <c r="M26" s="48" t="str">
        <f>IF(AND($M$12&gt;=$F26,$M$12&lt;$G26),$E26,"")</f>
        <v/>
      </c>
      <c r="N26" s="48" t="str">
        <f>IF(AND($N$12&gt;=$F26,$N$12&lt;$G26),$E26,"")</f>
        <v/>
      </c>
      <c r="O26" s="84" t="str">
        <f>IF(AND($O$12&gt;=$F26,$O$12&lt;$G26),$E26,"")</f>
        <v/>
      </c>
      <c r="P26" s="82" t="str">
        <f>IF(AND($P$12&gt;=$F26,$P$12&lt;$G26),$E26,"")</f>
        <v/>
      </c>
      <c r="Q26" s="48" t="str">
        <f>IF(AND($Q$12&gt;=$F26,$Q$12&lt;$G26),$E26,"")</f>
        <v/>
      </c>
      <c r="R26" s="48" t="str">
        <f>IF(AND($R$12&gt;=$F26,$R$12&lt;$G26),$E26,"")</f>
        <v/>
      </c>
      <c r="S26" s="84" t="str">
        <f>IF(AND($S$12&gt;=$F26,$S$12&lt;$G26),$E26,"")</f>
        <v/>
      </c>
      <c r="T26" s="82" t="str">
        <f>IF(AND($T$12&gt;=$F26,$T$12&lt;$G26),$E26,"")</f>
        <v/>
      </c>
      <c r="U26" s="48" t="str">
        <f>IF(AND($U$12&gt;=$F26,$U$12&lt;$G26),$E26,"")</f>
        <v/>
      </c>
      <c r="V26" s="48" t="str">
        <f>IF(AND($V$12&gt;=$F26,$V$12&lt;$G26),$E26,"")</f>
        <v/>
      </c>
      <c r="W26" s="84" t="str">
        <f>IF(AND($W$12&gt;=$F26,$W$12&lt;$G26),$E26,"")</f>
        <v/>
      </c>
      <c r="X26" s="82" t="str">
        <f>IF(AND($X$12&gt;=$F26,$X$12&lt;$G26),$E26,"")</f>
        <v/>
      </c>
      <c r="Y26" s="48" t="str">
        <f>IF(AND($Y$12&gt;=$F26,$Y$12&lt;$G26),$E26,"")</f>
        <v/>
      </c>
      <c r="Z26" s="48" t="str">
        <f>IF(AND($Z$12&gt;=$F26,$Z$12&lt;$G26),$E26,"")</f>
        <v/>
      </c>
      <c r="AA26" s="84" t="str">
        <f>IF(AND($AA$12&gt;=$F26,$AA$12&lt;$G26),$E26,"")</f>
        <v/>
      </c>
      <c r="AB26" s="82" t="str">
        <f>IF(AND($AB$12&gt;=$F26,$AB$12&lt;$G26),$E26,"")</f>
        <v/>
      </c>
      <c r="AC26" s="48" t="str">
        <f>IF(AND($AC$12&gt;=$F26,$AC$12&lt;$G26),$E26,"")</f>
        <v/>
      </c>
      <c r="AD26" s="48" t="str">
        <f>IF(AND($AD$12&gt;=$F26,$AD$12&lt;$G26),$E26,"")</f>
        <v/>
      </c>
      <c r="AE26" s="84" t="str">
        <f>IF(AND($AE$12&gt;=$F26,$AE$12&lt;$G26),$E26,"")</f>
        <v/>
      </c>
      <c r="AF26" s="82" t="str">
        <f>IF(AND($AF$12&gt;=$F26,$AF$12&lt;$G26),$E26,"")</f>
        <v/>
      </c>
      <c r="AG26" s="48" t="str">
        <f>IF(AND($AG$12&gt;=$F26,$AG$12&lt;$G26),$E26,"")</f>
        <v/>
      </c>
      <c r="AH26" s="48" t="str">
        <f>IF(AND($AH$12&gt;=$F26,$AH$12&lt;$G26),$E26,"")</f>
        <v/>
      </c>
      <c r="AI26" s="84" t="str">
        <f>IF(AND($AI$12&gt;=$F26,$AI$12&lt;$G26),$E26,"")</f>
        <v/>
      </c>
      <c r="AJ26" s="82" t="str">
        <f>IF(AND($AJ$12&gt;=$F26,$AJ$12&lt;$G26),$E26,"")</f>
        <v/>
      </c>
      <c r="AK26" s="48" t="str">
        <f>IF(AND($AK$12&gt;=$F26,$AK$12&lt;$G26),$E26,"")</f>
        <v/>
      </c>
      <c r="AL26" s="48" t="str">
        <f>IF(AND($AL$12&gt;=$F26,$AL$12&lt;$G26),$E26,"")</f>
        <v/>
      </c>
      <c r="AM26" s="84" t="str">
        <f>IF(AND($AM$12&gt;=$F26,$AM$12&lt;$G26),$E26,"")</f>
        <v/>
      </c>
      <c r="AN26" s="82" t="str">
        <f>IF(AND($AN$12&gt;=$F26,$AN$12&lt;$G26),$E26,"")</f>
        <v/>
      </c>
      <c r="AO26" s="48" t="str">
        <f>IF(AND($AO$12&gt;=$F26,$AO$12&lt;$G26),$E26,"")</f>
        <v/>
      </c>
      <c r="AP26" s="48" t="str">
        <f>IF(AND($AP$12&gt;=$F26,$AP$12&lt;$G26),$E26,"")</f>
        <v/>
      </c>
      <c r="AQ26" s="84" t="str">
        <f>IF(AND($AQ$12&gt;=$F26,$AQ$12&lt;$G26),$E26,"")</f>
        <v/>
      </c>
      <c r="AR26" s="82" t="str">
        <f>IF(AND($AR$12&gt;=$F26,$AR$12&lt;$G26),$E26,"")</f>
        <v/>
      </c>
      <c r="AS26" s="48" t="str">
        <f>IF(AND($AS$12&gt;=$F26,$AS$12&lt;$G26),$E26,"")</f>
        <v/>
      </c>
      <c r="AT26" s="48" t="str">
        <f>IF(AND($AT$12&gt;=$F26,$AT$12&lt;$G26),$E26,"")</f>
        <v/>
      </c>
      <c r="AU26" s="84" t="str">
        <f>IF(AND($AU$12&gt;=$F26,$AU$12&lt;$G26),$E26,"")</f>
        <v/>
      </c>
      <c r="AV26" s="82" t="str">
        <f>IF(AND($AV$12&gt;=$F26,$AV$12&lt;$G26),$E26,"")</f>
        <v/>
      </c>
      <c r="AW26" s="48" t="str">
        <f>IF(AND($AW$12&gt;=$F26,$AW$12&lt;$G26),$E26,"")</f>
        <v/>
      </c>
      <c r="AX26" s="48" t="str">
        <f>IF(AND($AX$12&gt;=$F26,$AX$12&lt;$G26),$E26,"")</f>
        <v/>
      </c>
      <c r="AY26" s="84" t="str">
        <f>IF(AND($AY$12&gt;=$F26,$AY$12&lt;$G26),$E26,"")</f>
        <v/>
      </c>
      <c r="AZ26" s="82" t="str">
        <f>IF(AND($AZ$12&gt;=$F26,$AZ$12&lt;$G26),$E26,"")</f>
        <v/>
      </c>
      <c r="BA26" s="48" t="str">
        <f>IF(AND($BA$12&gt;=$F26,$BA$12&lt;$G26),$E26,"")</f>
        <v/>
      </c>
      <c r="BB26" s="48" t="str">
        <f>IF(AND($BB$12&gt;=$F26,$BB$12&lt;$G26),$E26,"")</f>
        <v/>
      </c>
      <c r="BC26" s="84" t="str">
        <f>IF(AND($BC$12&gt;=$F26,$BC$12&lt;$G26),$E26,"")</f>
        <v/>
      </c>
      <c r="BD26" s="82" t="str">
        <f>IF(AND($BD$12&gt;=$F26,$BD$12&lt;$G26),$E26,"")</f>
        <v/>
      </c>
      <c r="BE26" s="48" t="str">
        <f>IF(AND($BE$12&gt;=$F26,$BE$12&lt;$G26),$E26,"")</f>
        <v/>
      </c>
      <c r="BF26" s="48" t="str">
        <f>IF(AND($BF$12&gt;=$F26,$BF$12&lt;$G26),$E26,"")</f>
        <v/>
      </c>
      <c r="BG26" s="84" t="str">
        <f>IF(AND($BG$12&gt;=$F26,$BG$12&lt;$G26),$E26,"")</f>
        <v/>
      </c>
      <c r="BH26" s="87" t="str">
        <f>IF(AND($BH$12&gt;=$F26,$BH$12&lt;$G26),$E26,"")</f>
        <v/>
      </c>
      <c r="BI26" s="49" t="str">
        <f>IF(AND($BI$12&gt;=$F26,$BI$12&lt;$G26),$E26,"")</f>
        <v/>
      </c>
      <c r="BJ26" s="49" t="str">
        <f>IF(AND($BJ$12&gt;=$F26,$BJ$12&lt;$G26),$E26,"")</f>
        <v/>
      </c>
      <c r="BK26" s="89" t="str">
        <f>IF(AND($BK$12&gt;=$F26,$BK$12&lt;$G26),$E26,"")</f>
        <v/>
      </c>
      <c r="BL26" s="87" t="str">
        <f>IF(AND($BL$12&gt;=$F26,$BL$12&lt;$G26),$E26,"")</f>
        <v/>
      </c>
      <c r="BM26" s="49" t="str">
        <f>IF(AND($BM$12&gt;=$F26,$BM$12&lt;$G26),$E26,"")</f>
        <v/>
      </c>
      <c r="BN26" s="49" t="str">
        <f>IF(AND($BN$12&gt;=$F26,$BN$12&lt;$G26),$E26,"")</f>
        <v/>
      </c>
      <c r="BO26" s="89" t="str">
        <f>IF(AND($BO$12&gt;=$F26,$BO$12&lt;$G26),$E26,"")</f>
        <v/>
      </c>
      <c r="BP26" s="87" t="str">
        <f>IF(AND($BP$12&gt;=$F26,$BP$12&lt;$G26),$E26,"")</f>
        <v/>
      </c>
      <c r="BQ26" s="49" t="str">
        <f>IF(AND($BQ$12&gt;=$F26,$BQ$12&lt;$G26),$E26,"")</f>
        <v/>
      </c>
      <c r="BR26" s="49" t="str">
        <f>IF(AND($BR$12&gt;=$F26,$BR$12&lt;$G26),$E26,"")</f>
        <v/>
      </c>
      <c r="BS26" s="89" t="str">
        <f>IF(AND($BS$12&gt;=$F26,$BS$12&lt;$G26),$E26,"")</f>
        <v/>
      </c>
      <c r="BT26" s="87" t="str">
        <f>IF(AND($BT$12&gt;=$F26,$BT$12&lt;$G26),$E26,"")</f>
        <v/>
      </c>
    </row>
    <row r="27" spans="2:72" s="93" customFormat="1" hidden="1">
      <c r="B27" s="81" t="str">
        <f>Weekly!B19</f>
        <v>1131</v>
      </c>
      <c r="C27" s="90" t="str">
        <f>Weekly!C19</f>
        <v>Doris</v>
      </c>
      <c r="D27" s="90" t="str">
        <f>Weekly!D55</f>
        <v>Lee</v>
      </c>
      <c r="E27" s="91" t="str">
        <f>VLOOKUP(B27,Team!$B$4:$E$183,4,FALSE)</f>
        <v>L's</v>
      </c>
      <c r="F27" s="92" t="str">
        <f>Weekly!G19</f>
        <v/>
      </c>
      <c r="G27" s="92" t="str">
        <f>Weekly!H19</f>
        <v/>
      </c>
      <c r="H27" s="48" t="str">
        <f>IF(AND($H$12&gt;=$F27,$H$12&lt;$G27),$E27,"")</f>
        <v/>
      </c>
      <c r="I27" s="48" t="str">
        <f>IF(AND($I$12&gt;=$F27,$I$12&lt;$G27),$E27,"")</f>
        <v/>
      </c>
      <c r="J27" s="48" t="str">
        <f>IF(AND($J$12&gt;=$F27,$J$12&lt;$G27),$E27,"")</f>
        <v/>
      </c>
      <c r="K27" s="84" t="str">
        <f>IF(AND($K$12&gt;=$F27,$K$12&lt;$G27),$E27,"")</f>
        <v/>
      </c>
      <c r="L27" s="82" t="str">
        <f>IF(AND($L$12&gt;=$F27,$L$12&lt;$G27),$E27,"")</f>
        <v/>
      </c>
      <c r="M27" s="48" t="str">
        <f>IF(AND($M$12&gt;=$F27,$M$12&lt;$G27),$E27,"")</f>
        <v/>
      </c>
      <c r="N27" s="48" t="str">
        <f>IF(AND($N$12&gt;=$F27,$N$12&lt;$G27),$E27,"")</f>
        <v/>
      </c>
      <c r="O27" s="84" t="str">
        <f>IF(AND($O$12&gt;=$F27,$O$12&lt;$G27),$E27,"")</f>
        <v/>
      </c>
      <c r="P27" s="82" t="str">
        <f>IF(AND($P$12&gt;=$F27,$P$12&lt;$G27),$E27,"")</f>
        <v/>
      </c>
      <c r="Q27" s="48" t="str">
        <f>IF(AND($Q$12&gt;=$F27,$Q$12&lt;$G27),$E27,"")</f>
        <v/>
      </c>
      <c r="R27" s="48" t="str">
        <f>IF(AND($R$12&gt;=$F27,$R$12&lt;$G27),$E27,"")</f>
        <v/>
      </c>
      <c r="S27" s="84" t="str">
        <f>IF(AND($S$12&gt;=$F27,$S$12&lt;$G27),$E27,"")</f>
        <v/>
      </c>
      <c r="T27" s="82" t="str">
        <f>IF(AND($T$12&gt;=$F27,$T$12&lt;$G27),$E27,"")</f>
        <v/>
      </c>
      <c r="U27" s="48" t="str">
        <f>IF(AND($U$12&gt;=$F27,$U$12&lt;$G27),$E27,"")</f>
        <v/>
      </c>
      <c r="V27" s="48" t="str">
        <f>IF(AND($V$12&gt;=$F27,$V$12&lt;$G27),$E27,"")</f>
        <v/>
      </c>
      <c r="W27" s="84" t="str">
        <f>IF(AND($W$12&gt;=$F27,$W$12&lt;$G27),$E27,"")</f>
        <v/>
      </c>
      <c r="X27" s="82" t="str">
        <f>IF(AND($X$12&gt;=$F27,$X$12&lt;$G27),$E27,"")</f>
        <v/>
      </c>
      <c r="Y27" s="48" t="str">
        <f>IF(AND($Y$12&gt;=$F27,$Y$12&lt;$G27),$E27,"")</f>
        <v/>
      </c>
      <c r="Z27" s="48" t="str">
        <f>IF(AND($Z$12&gt;=$F27,$Z$12&lt;$G27),$E27,"")</f>
        <v/>
      </c>
      <c r="AA27" s="84" t="str">
        <f>IF(AND($AA$12&gt;=$F27,$AA$12&lt;$G27),$E27,"")</f>
        <v/>
      </c>
      <c r="AB27" s="82" t="str">
        <f>IF(AND($AB$12&gt;=$F27,$AB$12&lt;$G27),$E27,"")</f>
        <v/>
      </c>
      <c r="AC27" s="48" t="str">
        <f>IF(AND($AC$12&gt;=$F27,$AC$12&lt;$G27),$E27,"")</f>
        <v/>
      </c>
      <c r="AD27" s="48" t="str">
        <f>IF(AND($AD$12&gt;=$F27,$AD$12&lt;$G27),$E27,"")</f>
        <v/>
      </c>
      <c r="AE27" s="84" t="str">
        <f>IF(AND($AE$12&gt;=$F27,$AE$12&lt;$G27),$E27,"")</f>
        <v/>
      </c>
      <c r="AF27" s="82" t="str">
        <f>IF(AND($AF$12&gt;=$F27,$AF$12&lt;$G27),$E27,"")</f>
        <v/>
      </c>
      <c r="AG27" s="48" t="str">
        <f>IF(AND($AG$12&gt;=$F27,$AG$12&lt;$G27),$E27,"")</f>
        <v/>
      </c>
      <c r="AH27" s="48" t="str">
        <f>IF(AND($AH$12&gt;=$F27,$AH$12&lt;$G27),$E27,"")</f>
        <v/>
      </c>
      <c r="AI27" s="84" t="str">
        <f>IF(AND($AI$12&gt;=$F27,$AI$12&lt;$G27),$E27,"")</f>
        <v/>
      </c>
      <c r="AJ27" s="82" t="str">
        <f>IF(AND($AJ$12&gt;=$F27,$AJ$12&lt;$G27),$E27,"")</f>
        <v/>
      </c>
      <c r="AK27" s="48" t="str">
        <f>IF(AND($AK$12&gt;=$F27,$AK$12&lt;$G27),$E27,"")</f>
        <v/>
      </c>
      <c r="AL27" s="48" t="str">
        <f>IF(AND($AL$12&gt;=$F27,$AL$12&lt;$G27),$E27,"")</f>
        <v/>
      </c>
      <c r="AM27" s="84" t="str">
        <f>IF(AND($AM$12&gt;=$F27,$AM$12&lt;$G27),$E27,"")</f>
        <v/>
      </c>
      <c r="AN27" s="82" t="str">
        <f>IF(AND($AN$12&gt;=$F27,$AN$12&lt;$G27),$E27,"")</f>
        <v/>
      </c>
      <c r="AO27" s="48" t="str">
        <f>IF(AND($AO$12&gt;=$F27,$AO$12&lt;$G27),$E27,"")</f>
        <v/>
      </c>
      <c r="AP27" s="48" t="str">
        <f>IF(AND($AP$12&gt;=$F27,$AP$12&lt;$G27),$E27,"")</f>
        <v/>
      </c>
      <c r="AQ27" s="84" t="str">
        <f>IF(AND($AQ$12&gt;=$F27,$AQ$12&lt;$G27),$E27,"")</f>
        <v/>
      </c>
      <c r="AR27" s="82" t="str">
        <f>IF(AND($AR$12&gt;=$F27,$AR$12&lt;$G27),$E27,"")</f>
        <v/>
      </c>
      <c r="AS27" s="48" t="str">
        <f>IF(AND($AS$12&gt;=$F27,$AS$12&lt;$G27),$E27,"")</f>
        <v/>
      </c>
      <c r="AT27" s="48" t="str">
        <f>IF(AND($AT$12&gt;=$F27,$AT$12&lt;$G27),$E27,"")</f>
        <v/>
      </c>
      <c r="AU27" s="84" t="str">
        <f>IF(AND($AU$12&gt;=$F27,$AU$12&lt;$G27),$E27,"")</f>
        <v/>
      </c>
      <c r="AV27" s="82" t="str">
        <f>IF(AND($AV$12&gt;=$F27,$AV$12&lt;$G27),$E27,"")</f>
        <v/>
      </c>
      <c r="AW27" s="48" t="str">
        <f>IF(AND($AW$12&gt;=$F27,$AW$12&lt;$G27),$E27,"")</f>
        <v/>
      </c>
      <c r="AX27" s="48" t="str">
        <f>IF(AND($AX$12&gt;=$F27,$AX$12&lt;$G27),$E27,"")</f>
        <v/>
      </c>
      <c r="AY27" s="84" t="str">
        <f>IF(AND($AY$12&gt;=$F27,$AY$12&lt;$G27),$E27,"")</f>
        <v/>
      </c>
      <c r="AZ27" s="82" t="str">
        <f>IF(AND($AZ$12&gt;=$F27,$AZ$12&lt;$G27),$E27,"")</f>
        <v/>
      </c>
      <c r="BA27" s="48" t="str">
        <f>IF(AND($BA$12&gt;=$F27,$BA$12&lt;$G27),$E27,"")</f>
        <v/>
      </c>
      <c r="BB27" s="48" t="str">
        <f>IF(AND($BB$12&gt;=$F27,$BB$12&lt;$G27),$E27,"")</f>
        <v/>
      </c>
      <c r="BC27" s="84" t="str">
        <f>IF(AND($BC$12&gt;=$F27,$BC$12&lt;$G27),$E27,"")</f>
        <v/>
      </c>
      <c r="BD27" s="82" t="str">
        <f>IF(AND($BD$12&gt;=$F27,$BD$12&lt;$G27),$E27,"")</f>
        <v/>
      </c>
      <c r="BE27" s="48" t="str">
        <f>IF(AND($BE$12&gt;=$F27,$BE$12&lt;$G27),$E27,"")</f>
        <v/>
      </c>
      <c r="BF27" s="48" t="str">
        <f>IF(AND($BF$12&gt;=$F27,$BF$12&lt;$G27),$E27,"")</f>
        <v/>
      </c>
      <c r="BG27" s="84" t="str">
        <f>IF(AND($BG$12&gt;=$F27,$BG$12&lt;$G27),$E27,"")</f>
        <v/>
      </c>
      <c r="BH27" s="87" t="str">
        <f>IF(AND($BH$12&gt;=$F27,$BH$12&lt;$G27),$E27,"")</f>
        <v/>
      </c>
      <c r="BI27" s="49" t="str">
        <f>IF(AND($BI$12&gt;=$F27,$BI$12&lt;$G27),$E27,"")</f>
        <v/>
      </c>
      <c r="BJ27" s="49" t="str">
        <f>IF(AND($BJ$12&gt;=$F27,$BJ$12&lt;$G27),$E27,"")</f>
        <v/>
      </c>
      <c r="BK27" s="89" t="str">
        <f>IF(AND($BK$12&gt;=$F27,$BK$12&lt;$G27),$E27,"")</f>
        <v/>
      </c>
      <c r="BL27" s="87" t="str">
        <f>IF(AND($BL$12&gt;=$F27,$BL$12&lt;$G27),$E27,"")</f>
        <v/>
      </c>
      <c r="BM27" s="49" t="str">
        <f>IF(AND($BM$12&gt;=$F27,$BM$12&lt;$G27),$E27,"")</f>
        <v/>
      </c>
      <c r="BN27" s="49" t="str">
        <f>IF(AND($BN$12&gt;=$F27,$BN$12&lt;$G27),$E27,"")</f>
        <v/>
      </c>
      <c r="BO27" s="89" t="str">
        <f>IF(AND($BO$12&gt;=$F27,$BO$12&lt;$G27),$E27,"")</f>
        <v/>
      </c>
      <c r="BP27" s="87" t="str">
        <f>IF(AND($BP$12&gt;=$F27,$BP$12&lt;$G27),$E27,"")</f>
        <v/>
      </c>
      <c r="BQ27" s="49" t="str">
        <f>IF(AND($BQ$12&gt;=$F27,$BQ$12&lt;$G27),$E27,"")</f>
        <v/>
      </c>
      <c r="BR27" s="49" t="str">
        <f>IF(AND($BR$12&gt;=$F27,$BR$12&lt;$G27),$E27,"")</f>
        <v/>
      </c>
      <c r="BS27" s="89" t="str">
        <f>IF(AND($BS$12&gt;=$F27,$BS$12&lt;$G27),$E27,"")</f>
        <v/>
      </c>
      <c r="BT27" s="87" t="str">
        <f>IF(AND($BT$12&gt;=$F27,$BT$12&lt;$G27),$E27,"")</f>
        <v/>
      </c>
    </row>
    <row r="28" spans="2:72" s="93" customFormat="1" hidden="1">
      <c r="B28" s="81" t="str">
        <f>Weekly!B20</f>
        <v>01601</v>
      </c>
      <c r="C28" s="90" t="str">
        <f>Weekly!C20</f>
        <v>Dorothy</v>
      </c>
      <c r="D28" s="90">
        <f>Weekly!D62</f>
        <v>0</v>
      </c>
      <c r="E28" s="91" t="str">
        <f>VLOOKUP(B28,Team!$B$4:$E$183,4,FALSE)</f>
        <v>M's</v>
      </c>
      <c r="F28" s="92" t="str">
        <f>Weekly!G20</f>
        <v/>
      </c>
      <c r="G28" s="92" t="str">
        <f>Weekly!H20</f>
        <v/>
      </c>
      <c r="H28" s="48" t="str">
        <f>IF(AND($H$12&gt;=$F28,$H$12&lt;$G28),$E28,"")</f>
        <v/>
      </c>
      <c r="I28" s="48" t="str">
        <f>IF(AND($I$12&gt;=$F28,$I$12&lt;$G28),$E28,"")</f>
        <v/>
      </c>
      <c r="J28" s="48" t="str">
        <f>IF(AND($J$12&gt;=$F28,$J$12&lt;$G28),$E28,"")</f>
        <v/>
      </c>
      <c r="K28" s="84" t="str">
        <f>IF(AND($K$12&gt;=$F28,$K$12&lt;$G28),$E28,"")</f>
        <v/>
      </c>
      <c r="L28" s="82" t="str">
        <f>IF(AND($L$12&gt;=$F28,$L$12&lt;$G28),$E28,"")</f>
        <v/>
      </c>
      <c r="M28" s="48" t="str">
        <f>IF(AND($M$12&gt;=$F28,$M$12&lt;$G28),$E28,"")</f>
        <v/>
      </c>
      <c r="N28" s="48" t="str">
        <f>IF(AND($N$12&gt;=$F28,$N$12&lt;$G28),$E28,"")</f>
        <v/>
      </c>
      <c r="O28" s="84" t="str">
        <f>IF(AND($O$12&gt;=$F28,$O$12&lt;$G28),$E28,"")</f>
        <v/>
      </c>
      <c r="P28" s="82" t="str">
        <f>IF(AND($P$12&gt;=$F28,$P$12&lt;$G28),$E28,"")</f>
        <v/>
      </c>
      <c r="Q28" s="48" t="str">
        <f>IF(AND($Q$12&gt;=$F28,$Q$12&lt;$G28),$E28,"")</f>
        <v/>
      </c>
      <c r="R28" s="48" t="str">
        <f>IF(AND($R$12&gt;=$F28,$R$12&lt;$G28),$E28,"")</f>
        <v/>
      </c>
      <c r="S28" s="84" t="str">
        <f>IF(AND($S$12&gt;=$F28,$S$12&lt;$G28),$E28,"")</f>
        <v/>
      </c>
      <c r="T28" s="82" t="str">
        <f>IF(AND($T$12&gt;=$F28,$T$12&lt;$G28),$E28,"")</f>
        <v/>
      </c>
      <c r="U28" s="48" t="str">
        <f>IF(AND($U$12&gt;=$F28,$U$12&lt;$G28),$E28,"")</f>
        <v/>
      </c>
      <c r="V28" s="48" t="str">
        <f>IF(AND($V$12&gt;=$F28,$V$12&lt;$G28),$E28,"")</f>
        <v/>
      </c>
      <c r="W28" s="84" t="str">
        <f>IF(AND($W$12&gt;=$F28,$W$12&lt;$G28),$E28,"")</f>
        <v/>
      </c>
      <c r="X28" s="82" t="str">
        <f>IF(AND($X$12&gt;=$F28,$X$12&lt;$G28),$E28,"")</f>
        <v/>
      </c>
      <c r="Y28" s="48" t="str">
        <f>IF(AND($Y$12&gt;=$F28,$Y$12&lt;$G28),$E28,"")</f>
        <v/>
      </c>
      <c r="Z28" s="48" t="str">
        <f>IF(AND($Z$12&gt;=$F28,$Z$12&lt;$G28),$E28,"")</f>
        <v/>
      </c>
      <c r="AA28" s="84" t="str">
        <f>IF(AND($AA$12&gt;=$F28,$AA$12&lt;$G28),$E28,"")</f>
        <v/>
      </c>
      <c r="AB28" s="82" t="str">
        <f>IF(AND($AB$12&gt;=$F28,$AB$12&lt;$G28),$E28,"")</f>
        <v/>
      </c>
      <c r="AC28" s="48" t="str">
        <f>IF(AND($AC$12&gt;=$F28,$AC$12&lt;$G28),$E28,"")</f>
        <v/>
      </c>
      <c r="AD28" s="48" t="str">
        <f>IF(AND($AD$12&gt;=$F28,$AD$12&lt;$G28),$E28,"")</f>
        <v/>
      </c>
      <c r="AE28" s="84" t="str">
        <f>IF(AND($AE$12&gt;=$F28,$AE$12&lt;$G28),$E28,"")</f>
        <v/>
      </c>
      <c r="AF28" s="82" t="str">
        <f>IF(AND($AF$12&gt;=$F28,$AF$12&lt;$G28),$E28,"")</f>
        <v/>
      </c>
      <c r="AG28" s="48" t="str">
        <f>IF(AND($AG$12&gt;=$F28,$AG$12&lt;$G28),$E28,"")</f>
        <v/>
      </c>
      <c r="AH28" s="48" t="str">
        <f>IF(AND($AH$12&gt;=$F28,$AH$12&lt;$G28),$E28,"")</f>
        <v/>
      </c>
      <c r="AI28" s="84" t="str">
        <f>IF(AND($AI$12&gt;=$F28,$AI$12&lt;$G28),$E28,"")</f>
        <v/>
      </c>
      <c r="AJ28" s="82" t="str">
        <f>IF(AND($AJ$12&gt;=$F28,$AJ$12&lt;$G28),$E28,"")</f>
        <v/>
      </c>
      <c r="AK28" s="48" t="str">
        <f>IF(AND($AK$12&gt;=$F28,$AK$12&lt;$G28),$E28,"")</f>
        <v/>
      </c>
      <c r="AL28" s="48" t="str">
        <f>IF(AND($AL$12&gt;=$F28,$AL$12&lt;$G28),$E28,"")</f>
        <v/>
      </c>
      <c r="AM28" s="84" t="str">
        <f>IF(AND($AM$12&gt;=$F28,$AM$12&lt;$G28),$E28,"")</f>
        <v/>
      </c>
      <c r="AN28" s="82" t="str">
        <f>IF(AND($AN$12&gt;=$F28,$AN$12&lt;$G28),$E28,"")</f>
        <v/>
      </c>
      <c r="AO28" s="48" t="str">
        <f>IF(AND($AO$12&gt;=$F28,$AO$12&lt;$G28),$E28,"")</f>
        <v/>
      </c>
      <c r="AP28" s="48" t="str">
        <f>IF(AND($AP$12&gt;=$F28,$AP$12&lt;$G28),$E28,"")</f>
        <v/>
      </c>
      <c r="AQ28" s="84" t="str">
        <f>IF(AND($AQ$12&gt;=$F28,$AQ$12&lt;$G28),$E28,"")</f>
        <v/>
      </c>
      <c r="AR28" s="82" t="str">
        <f>IF(AND($AR$12&gt;=$F28,$AR$12&lt;$G28),$E28,"")</f>
        <v/>
      </c>
      <c r="AS28" s="48" t="str">
        <f>IF(AND($AS$12&gt;=$F28,$AS$12&lt;$G28),$E28,"")</f>
        <v/>
      </c>
      <c r="AT28" s="48" t="str">
        <f>IF(AND($AT$12&gt;=$F28,$AT$12&lt;$G28),$E28,"")</f>
        <v/>
      </c>
      <c r="AU28" s="84" t="str">
        <f>IF(AND($AU$12&gt;=$F28,$AU$12&lt;$G28),$E28,"")</f>
        <v/>
      </c>
      <c r="AV28" s="82" t="str">
        <f>IF(AND($AV$12&gt;=$F28,$AV$12&lt;$G28),$E28,"")</f>
        <v/>
      </c>
      <c r="AW28" s="48" t="str">
        <f>IF(AND($AW$12&gt;=$F28,$AW$12&lt;$G28),$E28,"")</f>
        <v/>
      </c>
      <c r="AX28" s="48" t="str">
        <f>IF(AND($AX$12&gt;=$F28,$AX$12&lt;$G28),$E28,"")</f>
        <v/>
      </c>
      <c r="AY28" s="84" t="str">
        <f>IF(AND($AY$12&gt;=$F28,$AY$12&lt;$G28),$E28,"")</f>
        <v/>
      </c>
      <c r="AZ28" s="82" t="str">
        <f>IF(AND($AZ$12&gt;=$F28,$AZ$12&lt;$G28),$E28,"")</f>
        <v/>
      </c>
      <c r="BA28" s="48" t="str">
        <f>IF(AND($BA$12&gt;=$F28,$BA$12&lt;$G28),$E28,"")</f>
        <v/>
      </c>
      <c r="BB28" s="48" t="str">
        <f>IF(AND($BB$12&gt;=$F28,$BB$12&lt;$G28),$E28,"")</f>
        <v/>
      </c>
      <c r="BC28" s="84" t="str">
        <f>IF(AND($BC$12&gt;=$F28,$BC$12&lt;$G28),$E28,"")</f>
        <v/>
      </c>
      <c r="BD28" s="82" t="str">
        <f>IF(AND($BD$12&gt;=$F28,$BD$12&lt;$G28),$E28,"")</f>
        <v/>
      </c>
      <c r="BE28" s="48" t="str">
        <f>IF(AND($BE$12&gt;=$F28,$BE$12&lt;$G28),$E28,"")</f>
        <v/>
      </c>
      <c r="BF28" s="48" t="str">
        <f>IF(AND($BF$12&gt;=$F28,$BF$12&lt;$G28),$E28,"")</f>
        <v/>
      </c>
      <c r="BG28" s="84" t="str">
        <f>IF(AND($BG$12&gt;=$F28,$BG$12&lt;$G28),$E28,"")</f>
        <v/>
      </c>
      <c r="BH28" s="87" t="str">
        <f>IF(AND($BH$12&gt;=$F28,$BH$12&lt;$G28),$E28,"")</f>
        <v/>
      </c>
      <c r="BI28" s="49" t="str">
        <f>IF(AND($BI$12&gt;=$F28,$BI$12&lt;$G28),$E28,"")</f>
        <v/>
      </c>
      <c r="BJ28" s="49" t="str">
        <f>IF(AND($BJ$12&gt;=$F28,$BJ$12&lt;$G28),$E28,"")</f>
        <v/>
      </c>
      <c r="BK28" s="89" t="str">
        <f>IF(AND($BK$12&gt;=$F28,$BK$12&lt;$G28),$E28,"")</f>
        <v/>
      </c>
      <c r="BL28" s="87" t="str">
        <f>IF(AND($BL$12&gt;=$F28,$BL$12&lt;$G28),$E28,"")</f>
        <v/>
      </c>
      <c r="BM28" s="49" t="str">
        <f>IF(AND($BM$12&gt;=$F28,$BM$12&lt;$G28),$E28,"")</f>
        <v/>
      </c>
      <c r="BN28" s="49" t="str">
        <f>IF(AND($BN$12&gt;=$F28,$BN$12&lt;$G28),$E28,"")</f>
        <v/>
      </c>
      <c r="BO28" s="89" t="str">
        <f>IF(AND($BO$12&gt;=$F28,$BO$12&lt;$G28),$E28,"")</f>
        <v/>
      </c>
      <c r="BP28" s="87" t="str">
        <f>IF(AND($BP$12&gt;=$F28,$BP$12&lt;$G28),$E28,"")</f>
        <v/>
      </c>
      <c r="BQ28" s="49" t="str">
        <f>IF(AND($BQ$12&gt;=$F28,$BQ$12&lt;$G28),$E28,"")</f>
        <v/>
      </c>
      <c r="BR28" s="49" t="str">
        <f>IF(AND($BR$12&gt;=$F28,$BR$12&lt;$G28),$E28,"")</f>
        <v/>
      </c>
      <c r="BS28" s="89" t="str">
        <f>IF(AND($BS$12&gt;=$F28,$BS$12&lt;$G28),$E28,"")</f>
        <v/>
      </c>
      <c r="BT28" s="87" t="str">
        <f>IF(AND($BT$12&gt;=$F28,$BT$12&lt;$G28),$E28,"")</f>
        <v/>
      </c>
    </row>
    <row r="29" spans="2:72" s="93" customFormat="1" hidden="1">
      <c r="B29" s="81" t="str">
        <f>Weekly!B21</f>
        <v>01506</v>
      </c>
      <c r="C29" s="90" t="str">
        <f>Weekly!C21</f>
        <v>Duke</v>
      </c>
      <c r="D29" s="90" t="str">
        <f>Weekly!D18</f>
        <v>Kim</v>
      </c>
      <c r="E29" s="91" t="str">
        <f>VLOOKUP(B29,Team!$B$4:$E$183,4,FALSE)</f>
        <v>HH</v>
      </c>
      <c r="F29" s="92" t="str">
        <f>Weekly!G21</f>
        <v/>
      </c>
      <c r="G29" s="92" t="str">
        <f>Weekly!H21</f>
        <v/>
      </c>
      <c r="H29" s="48" t="str">
        <f>IF(AND($H$12&gt;=$F29,$H$12&lt;$G29),$E29,"")</f>
        <v/>
      </c>
      <c r="I29" s="48" t="str">
        <f>IF(AND($I$12&gt;=$F29,$I$12&lt;$G29),$E29,"")</f>
        <v/>
      </c>
      <c r="J29" s="48" t="str">
        <f>IF(AND($J$12&gt;=$F29,$J$12&lt;$G29),$E29,"")</f>
        <v/>
      </c>
      <c r="K29" s="84" t="str">
        <f>IF(AND($K$12&gt;=$F29,$K$12&lt;$G29),$E29,"")</f>
        <v/>
      </c>
      <c r="L29" s="82" t="str">
        <f>IF(AND($L$12&gt;=$F29,$L$12&lt;$G29),$E29,"")</f>
        <v/>
      </c>
      <c r="M29" s="48" t="str">
        <f>IF(AND($M$12&gt;=$F29,$M$12&lt;$G29),$E29,"")</f>
        <v/>
      </c>
      <c r="N29" s="48" t="str">
        <f>IF(AND($N$12&gt;=$F29,$N$12&lt;$G29),$E29,"")</f>
        <v/>
      </c>
      <c r="O29" s="84" t="str">
        <f>IF(AND($O$12&gt;=$F29,$O$12&lt;$G29),$E29,"")</f>
        <v/>
      </c>
      <c r="P29" s="82" t="str">
        <f>IF(AND($P$12&gt;=$F29,$P$12&lt;$G29),$E29,"")</f>
        <v/>
      </c>
      <c r="Q29" s="48" t="str">
        <f>IF(AND($Q$12&gt;=$F29,$Q$12&lt;$G29),$E29,"")</f>
        <v/>
      </c>
      <c r="R29" s="48" t="str">
        <f>IF(AND($R$12&gt;=$F29,$R$12&lt;$G29),$E29,"")</f>
        <v/>
      </c>
      <c r="S29" s="84" t="str">
        <f>IF(AND($S$12&gt;=$F29,$S$12&lt;$G29),$E29,"")</f>
        <v/>
      </c>
      <c r="T29" s="82" t="str">
        <f>IF(AND($T$12&gt;=$F29,$T$12&lt;$G29),$E29,"")</f>
        <v/>
      </c>
      <c r="U29" s="48" t="str">
        <f>IF(AND($U$12&gt;=$F29,$U$12&lt;$G29),$E29,"")</f>
        <v/>
      </c>
      <c r="V29" s="48" t="str">
        <f>IF(AND($V$12&gt;=$F29,$V$12&lt;$G29),$E29,"")</f>
        <v/>
      </c>
      <c r="W29" s="84" t="str">
        <f>IF(AND($W$12&gt;=$F29,$W$12&lt;$G29),$E29,"")</f>
        <v/>
      </c>
      <c r="X29" s="82" t="str">
        <f>IF(AND($X$12&gt;=$F29,$X$12&lt;$G29),$E29,"")</f>
        <v/>
      </c>
      <c r="Y29" s="48" t="str">
        <f>IF(AND($Y$12&gt;=$F29,$Y$12&lt;$G29),$E29,"")</f>
        <v/>
      </c>
      <c r="Z29" s="48" t="str">
        <f>IF(AND($Z$12&gt;=$F29,$Z$12&lt;$G29),$E29,"")</f>
        <v/>
      </c>
      <c r="AA29" s="84" t="str">
        <f>IF(AND($AA$12&gt;=$F29,$AA$12&lt;$G29),$E29,"")</f>
        <v/>
      </c>
      <c r="AB29" s="82" t="str">
        <f>IF(AND($AB$12&gt;=$F29,$AB$12&lt;$G29),$E29,"")</f>
        <v/>
      </c>
      <c r="AC29" s="48" t="str">
        <f>IF(AND($AC$12&gt;=$F29,$AC$12&lt;$G29),$E29,"")</f>
        <v/>
      </c>
      <c r="AD29" s="48" t="str">
        <f>IF(AND($AD$12&gt;=$F29,$AD$12&lt;$G29),$E29,"")</f>
        <v/>
      </c>
      <c r="AE29" s="84" t="str">
        <f>IF(AND($AE$12&gt;=$F29,$AE$12&lt;$G29),$E29,"")</f>
        <v/>
      </c>
      <c r="AF29" s="82" t="str">
        <f>IF(AND($AF$12&gt;=$F29,$AF$12&lt;$G29),$E29,"")</f>
        <v/>
      </c>
      <c r="AG29" s="48" t="str">
        <f>IF(AND($AG$12&gt;=$F29,$AG$12&lt;$G29),$E29,"")</f>
        <v/>
      </c>
      <c r="AH29" s="48" t="str">
        <f>IF(AND($AH$12&gt;=$F29,$AH$12&lt;$G29),$E29,"")</f>
        <v/>
      </c>
      <c r="AI29" s="84" t="str">
        <f>IF(AND($AI$12&gt;=$F29,$AI$12&lt;$G29),$E29,"")</f>
        <v/>
      </c>
      <c r="AJ29" s="82" t="str">
        <f>IF(AND($AJ$12&gt;=$F29,$AJ$12&lt;$G29),$E29,"")</f>
        <v/>
      </c>
      <c r="AK29" s="48" t="str">
        <f>IF(AND($AK$12&gt;=$F29,$AK$12&lt;$G29),$E29,"")</f>
        <v/>
      </c>
      <c r="AL29" s="48" t="str">
        <f>IF(AND($AL$12&gt;=$F29,$AL$12&lt;$G29),$E29,"")</f>
        <v/>
      </c>
      <c r="AM29" s="84" t="str">
        <f>IF(AND($AM$12&gt;=$F29,$AM$12&lt;$G29),$E29,"")</f>
        <v/>
      </c>
      <c r="AN29" s="82" t="str">
        <f>IF(AND($AN$12&gt;=$F29,$AN$12&lt;$G29),$E29,"")</f>
        <v/>
      </c>
      <c r="AO29" s="48" t="str">
        <f>IF(AND($AO$12&gt;=$F29,$AO$12&lt;$G29),$E29,"")</f>
        <v/>
      </c>
      <c r="AP29" s="48" t="str">
        <f>IF(AND($AP$12&gt;=$F29,$AP$12&lt;$G29),$E29,"")</f>
        <v/>
      </c>
      <c r="AQ29" s="84" t="str">
        <f>IF(AND($AQ$12&gt;=$F29,$AQ$12&lt;$G29),$E29,"")</f>
        <v/>
      </c>
      <c r="AR29" s="82" t="str">
        <f>IF(AND($AR$12&gt;=$F29,$AR$12&lt;$G29),$E29,"")</f>
        <v/>
      </c>
      <c r="AS29" s="48" t="str">
        <f>IF(AND($AS$12&gt;=$F29,$AS$12&lt;$G29),$E29,"")</f>
        <v/>
      </c>
      <c r="AT29" s="48" t="str">
        <f>IF(AND($AT$12&gt;=$F29,$AT$12&lt;$G29),$E29,"")</f>
        <v/>
      </c>
      <c r="AU29" s="84" t="str">
        <f>IF(AND($AU$12&gt;=$F29,$AU$12&lt;$G29),$E29,"")</f>
        <v/>
      </c>
      <c r="AV29" s="82" t="str">
        <f>IF(AND($AV$12&gt;=$F29,$AV$12&lt;$G29),$E29,"")</f>
        <v/>
      </c>
      <c r="AW29" s="48" t="str">
        <f>IF(AND($AW$12&gt;=$F29,$AW$12&lt;$G29),$E29,"")</f>
        <v/>
      </c>
      <c r="AX29" s="48" t="str">
        <f>IF(AND($AX$12&gt;=$F29,$AX$12&lt;$G29),$E29,"")</f>
        <v/>
      </c>
      <c r="AY29" s="84" t="str">
        <f>IF(AND($AY$12&gt;=$F29,$AY$12&lt;$G29),$E29,"")</f>
        <v/>
      </c>
      <c r="AZ29" s="82" t="str">
        <f>IF(AND($AZ$12&gt;=$F29,$AZ$12&lt;$G29),$E29,"")</f>
        <v/>
      </c>
      <c r="BA29" s="48" t="str">
        <f>IF(AND($BA$12&gt;=$F29,$BA$12&lt;$G29),$E29,"")</f>
        <v/>
      </c>
      <c r="BB29" s="48" t="str">
        <f>IF(AND($BB$12&gt;=$F29,$BB$12&lt;$G29),$E29,"")</f>
        <v/>
      </c>
      <c r="BC29" s="84" t="str">
        <f>IF(AND($BC$12&gt;=$F29,$BC$12&lt;$G29),$E29,"")</f>
        <v/>
      </c>
      <c r="BD29" s="82" t="str">
        <f>IF(AND($BD$12&gt;=$F29,$BD$12&lt;$G29),$E29,"")</f>
        <v/>
      </c>
      <c r="BE29" s="48" t="str">
        <f>IF(AND($BE$12&gt;=$F29,$BE$12&lt;$G29),$E29,"")</f>
        <v/>
      </c>
      <c r="BF29" s="48" t="str">
        <f>IF(AND($BF$12&gt;=$F29,$BF$12&lt;$G29),$E29,"")</f>
        <v/>
      </c>
      <c r="BG29" s="84" t="str">
        <f>IF(AND($BG$12&gt;=$F29,$BG$12&lt;$G29),$E29,"")</f>
        <v/>
      </c>
      <c r="BH29" s="87" t="str">
        <f>IF(AND($BH$12&gt;=$F29,$BH$12&lt;$G29),$E29,"")</f>
        <v/>
      </c>
      <c r="BI29" s="49" t="str">
        <f>IF(AND($BI$12&gt;=$F29,$BI$12&lt;$G29),$E29,"")</f>
        <v/>
      </c>
      <c r="BJ29" s="49" t="str">
        <f>IF(AND($BJ$12&gt;=$F29,$BJ$12&lt;$G29),$E29,"")</f>
        <v/>
      </c>
      <c r="BK29" s="89" t="str">
        <f>IF(AND($BK$12&gt;=$F29,$BK$12&lt;$G29),$E29,"")</f>
        <v/>
      </c>
      <c r="BL29" s="87" t="str">
        <f>IF(AND($BL$12&gt;=$F29,$BL$12&lt;$G29),$E29,"")</f>
        <v/>
      </c>
      <c r="BM29" s="49" t="str">
        <f>IF(AND($BM$12&gt;=$F29,$BM$12&lt;$G29),$E29,"")</f>
        <v/>
      </c>
      <c r="BN29" s="49" t="str">
        <f>IF(AND($BN$12&gt;=$F29,$BN$12&lt;$G29),$E29,"")</f>
        <v/>
      </c>
      <c r="BO29" s="89" t="str">
        <f>IF(AND($BO$12&gt;=$F29,$BO$12&lt;$G29),$E29,"")</f>
        <v/>
      </c>
      <c r="BP29" s="87" t="str">
        <f>IF(AND($BP$12&gt;=$F29,$BP$12&lt;$G29),$E29,"")</f>
        <v/>
      </c>
      <c r="BQ29" s="49" t="str">
        <f>IF(AND($BQ$12&gt;=$F29,$BQ$12&lt;$G29),$E29,"")</f>
        <v/>
      </c>
      <c r="BR29" s="49" t="str">
        <f>IF(AND($BR$12&gt;=$F29,$BR$12&lt;$G29),$E29,"")</f>
        <v/>
      </c>
      <c r="BS29" s="89" t="str">
        <f>IF(AND($BS$12&gt;=$F29,$BS$12&lt;$G29),$E29,"")</f>
        <v/>
      </c>
      <c r="BT29" s="87" t="str">
        <f>IF(AND($BT$12&gt;=$F29,$BT$12&lt;$G29),$E29,"")</f>
        <v/>
      </c>
    </row>
    <row r="30" spans="2:72" s="93" customFormat="1" hidden="1">
      <c r="B30" s="81" t="str">
        <f>Weekly!B22</f>
        <v>01526</v>
      </c>
      <c r="C30" s="90" t="str">
        <f>Weekly!C22</f>
        <v>Emma</v>
      </c>
      <c r="D30" s="90" t="str">
        <f>Weekly!D38</f>
        <v>Bongolan</v>
      </c>
      <c r="E30" s="91" t="str">
        <f>VLOOKUP(B30,Team!$B$4:$E$183,4,FALSE)</f>
        <v>L's</v>
      </c>
      <c r="F30" s="92" t="str">
        <f>Weekly!G22</f>
        <v/>
      </c>
      <c r="G30" s="92" t="str">
        <f>Weekly!H22</f>
        <v/>
      </c>
      <c r="H30" s="48" t="str">
        <f>IF(AND($H$12&gt;=$F30,$H$12&lt;$G30),$E30,"")</f>
        <v/>
      </c>
      <c r="I30" s="48" t="str">
        <f>IF(AND($I$12&gt;=$F30,$I$12&lt;$G30),$E30,"")</f>
        <v/>
      </c>
      <c r="J30" s="48" t="str">
        <f>IF(AND($J$12&gt;=$F30,$J$12&lt;$G30),$E30,"")</f>
        <v/>
      </c>
      <c r="K30" s="84" t="str">
        <f>IF(AND($K$12&gt;=$F30,$K$12&lt;$G30),$E30,"")</f>
        <v/>
      </c>
      <c r="L30" s="82" t="str">
        <f>IF(AND($L$12&gt;=$F30,$L$12&lt;$G30),$E30,"")</f>
        <v/>
      </c>
      <c r="M30" s="48" t="str">
        <f>IF(AND($M$12&gt;=$F30,$M$12&lt;$G30),$E30,"")</f>
        <v/>
      </c>
      <c r="N30" s="48" t="str">
        <f>IF(AND($N$12&gt;=$F30,$N$12&lt;$G30),$E30,"")</f>
        <v/>
      </c>
      <c r="O30" s="84" t="str">
        <f>IF(AND($O$12&gt;=$F30,$O$12&lt;$G30),$E30,"")</f>
        <v/>
      </c>
      <c r="P30" s="82" t="str">
        <f>IF(AND($P$12&gt;=$F30,$P$12&lt;$G30),$E30,"")</f>
        <v/>
      </c>
      <c r="Q30" s="48" t="str">
        <f>IF(AND($Q$12&gt;=$F30,$Q$12&lt;$G30),$E30,"")</f>
        <v/>
      </c>
      <c r="R30" s="48" t="str">
        <f>IF(AND($R$12&gt;=$F30,$R$12&lt;$G30),$E30,"")</f>
        <v/>
      </c>
      <c r="S30" s="84" t="str">
        <f>IF(AND($S$12&gt;=$F30,$S$12&lt;$G30),$E30,"")</f>
        <v/>
      </c>
      <c r="T30" s="82" t="str">
        <f>IF(AND($T$12&gt;=$F30,$T$12&lt;$G30),$E30,"")</f>
        <v/>
      </c>
      <c r="U30" s="48" t="str">
        <f>IF(AND($U$12&gt;=$F30,$U$12&lt;$G30),$E30,"")</f>
        <v/>
      </c>
      <c r="V30" s="48" t="str">
        <f>IF(AND($V$12&gt;=$F30,$V$12&lt;$G30),$E30,"")</f>
        <v/>
      </c>
      <c r="W30" s="84" t="str">
        <f>IF(AND($W$12&gt;=$F30,$W$12&lt;$G30),$E30,"")</f>
        <v/>
      </c>
      <c r="X30" s="82" t="str">
        <f>IF(AND($X$12&gt;=$F30,$X$12&lt;$G30),$E30,"")</f>
        <v/>
      </c>
      <c r="Y30" s="48" t="str">
        <f>IF(AND($Y$12&gt;=$F30,$Y$12&lt;$G30),$E30,"")</f>
        <v/>
      </c>
      <c r="Z30" s="48" t="str">
        <f>IF(AND($Z$12&gt;=$F30,$Z$12&lt;$G30),$E30,"")</f>
        <v/>
      </c>
      <c r="AA30" s="84" t="str">
        <f>IF(AND($AA$12&gt;=$F30,$AA$12&lt;$G30),$E30,"")</f>
        <v/>
      </c>
      <c r="AB30" s="82" t="str">
        <f>IF(AND($AB$12&gt;=$F30,$AB$12&lt;$G30),$E30,"")</f>
        <v/>
      </c>
      <c r="AC30" s="48" t="str">
        <f>IF(AND($AC$12&gt;=$F30,$AC$12&lt;$G30),$E30,"")</f>
        <v/>
      </c>
      <c r="AD30" s="48" t="str">
        <f>IF(AND($AD$12&gt;=$F30,$AD$12&lt;$G30),$E30,"")</f>
        <v/>
      </c>
      <c r="AE30" s="84" t="str">
        <f>IF(AND($AE$12&gt;=$F30,$AE$12&lt;$G30),$E30,"")</f>
        <v/>
      </c>
      <c r="AF30" s="82" t="str">
        <f>IF(AND($AF$12&gt;=$F30,$AF$12&lt;$G30),$E30,"")</f>
        <v/>
      </c>
      <c r="AG30" s="48" t="str">
        <f>IF(AND($AG$12&gt;=$F30,$AG$12&lt;$G30),$E30,"")</f>
        <v/>
      </c>
      <c r="AH30" s="48" t="str">
        <f>IF(AND($AH$12&gt;=$F30,$AH$12&lt;$G30),$E30,"")</f>
        <v/>
      </c>
      <c r="AI30" s="84" t="str">
        <f>IF(AND($AI$12&gt;=$F30,$AI$12&lt;$G30),$E30,"")</f>
        <v/>
      </c>
      <c r="AJ30" s="82" t="str">
        <f>IF(AND($AJ$12&gt;=$F30,$AJ$12&lt;$G30),$E30,"")</f>
        <v/>
      </c>
      <c r="AK30" s="48" t="str">
        <f>IF(AND($AK$12&gt;=$F30,$AK$12&lt;$G30),$E30,"")</f>
        <v/>
      </c>
      <c r="AL30" s="48" t="str">
        <f>IF(AND($AL$12&gt;=$F30,$AL$12&lt;$G30),$E30,"")</f>
        <v/>
      </c>
      <c r="AM30" s="84" t="str">
        <f>IF(AND($AM$12&gt;=$F30,$AM$12&lt;$G30),$E30,"")</f>
        <v/>
      </c>
      <c r="AN30" s="82" t="str">
        <f>IF(AND($AN$12&gt;=$F30,$AN$12&lt;$G30),$E30,"")</f>
        <v/>
      </c>
      <c r="AO30" s="48" t="str">
        <f>IF(AND($AO$12&gt;=$F30,$AO$12&lt;$G30),$E30,"")</f>
        <v/>
      </c>
      <c r="AP30" s="48" t="str">
        <f>IF(AND($AP$12&gt;=$F30,$AP$12&lt;$G30),$E30,"")</f>
        <v/>
      </c>
      <c r="AQ30" s="84" t="str">
        <f>IF(AND($AQ$12&gt;=$F30,$AQ$12&lt;$G30),$E30,"")</f>
        <v/>
      </c>
      <c r="AR30" s="82" t="str">
        <f>IF(AND($AR$12&gt;=$F30,$AR$12&lt;$G30),$E30,"")</f>
        <v/>
      </c>
      <c r="AS30" s="48" t="str">
        <f>IF(AND($AS$12&gt;=$F30,$AS$12&lt;$G30),$E30,"")</f>
        <v/>
      </c>
      <c r="AT30" s="48" t="str">
        <f>IF(AND($AT$12&gt;=$F30,$AT$12&lt;$G30),$E30,"")</f>
        <v/>
      </c>
      <c r="AU30" s="84" t="str">
        <f>IF(AND($AU$12&gt;=$F30,$AU$12&lt;$G30),$E30,"")</f>
        <v/>
      </c>
      <c r="AV30" s="82" t="str">
        <f>IF(AND($AV$12&gt;=$F30,$AV$12&lt;$G30),$E30,"")</f>
        <v/>
      </c>
      <c r="AW30" s="48" t="str">
        <f>IF(AND($AW$12&gt;=$F30,$AW$12&lt;$G30),$E30,"")</f>
        <v/>
      </c>
      <c r="AX30" s="48" t="str">
        <f>IF(AND($AX$12&gt;=$F30,$AX$12&lt;$G30),$E30,"")</f>
        <v/>
      </c>
      <c r="AY30" s="84" t="str">
        <f>IF(AND($AY$12&gt;=$F30,$AY$12&lt;$G30),$E30,"")</f>
        <v/>
      </c>
      <c r="AZ30" s="82" t="str">
        <f>IF(AND($AZ$12&gt;=$F30,$AZ$12&lt;$G30),$E30,"")</f>
        <v/>
      </c>
      <c r="BA30" s="48" t="str">
        <f>IF(AND($BA$12&gt;=$F30,$BA$12&lt;$G30),$E30,"")</f>
        <v/>
      </c>
      <c r="BB30" s="48" t="str">
        <f>IF(AND($BB$12&gt;=$F30,$BB$12&lt;$G30),$E30,"")</f>
        <v/>
      </c>
      <c r="BC30" s="84" t="str">
        <f>IF(AND($BC$12&gt;=$F30,$BC$12&lt;$G30),$E30,"")</f>
        <v/>
      </c>
      <c r="BD30" s="82" t="str">
        <f>IF(AND($BD$12&gt;=$F30,$BD$12&lt;$G30),$E30,"")</f>
        <v/>
      </c>
      <c r="BE30" s="48" t="str">
        <f>IF(AND($BE$12&gt;=$F30,$BE$12&lt;$G30),$E30,"")</f>
        <v/>
      </c>
      <c r="BF30" s="48" t="str">
        <f>IF(AND($BF$12&gt;=$F30,$BF$12&lt;$G30),$E30,"")</f>
        <v/>
      </c>
      <c r="BG30" s="84" t="str">
        <f>IF(AND($BG$12&gt;=$F30,$BG$12&lt;$G30),$E30,"")</f>
        <v/>
      </c>
      <c r="BH30" s="87" t="str">
        <f>IF(AND($BH$12&gt;=$F30,$BH$12&lt;$G30),$E30,"")</f>
        <v/>
      </c>
      <c r="BI30" s="49" t="str">
        <f>IF(AND($BI$12&gt;=$F30,$BI$12&lt;$G30),$E30,"")</f>
        <v/>
      </c>
      <c r="BJ30" s="49" t="str">
        <f>IF(AND($BJ$12&gt;=$F30,$BJ$12&lt;$G30),$E30,"")</f>
        <v/>
      </c>
      <c r="BK30" s="89" t="str">
        <f>IF(AND($BK$12&gt;=$F30,$BK$12&lt;$G30),$E30,"")</f>
        <v/>
      </c>
      <c r="BL30" s="87" t="str">
        <f>IF(AND($BL$12&gt;=$F30,$BL$12&lt;$G30),$E30,"")</f>
        <v/>
      </c>
      <c r="BM30" s="49" t="str">
        <f>IF(AND($BM$12&gt;=$F30,$BM$12&lt;$G30),$E30,"")</f>
        <v/>
      </c>
      <c r="BN30" s="49" t="str">
        <f>IF(AND($BN$12&gt;=$F30,$BN$12&lt;$G30),$E30,"")</f>
        <v/>
      </c>
      <c r="BO30" s="89" t="str">
        <f>IF(AND($BO$12&gt;=$F30,$BO$12&lt;$G30),$E30,"")</f>
        <v/>
      </c>
      <c r="BP30" s="87" t="str">
        <f>IF(AND($BP$12&gt;=$F30,$BP$12&lt;$G30),$E30,"")</f>
        <v/>
      </c>
      <c r="BQ30" s="49" t="str">
        <f>IF(AND($BQ$12&gt;=$F30,$BQ$12&lt;$G30),$E30,"")</f>
        <v/>
      </c>
      <c r="BR30" s="49" t="str">
        <f>IF(AND($BR$12&gt;=$F30,$BR$12&lt;$G30),$E30,"")</f>
        <v/>
      </c>
      <c r="BS30" s="89" t="str">
        <f>IF(AND($BS$12&gt;=$F30,$BS$12&lt;$G30),$E30,"")</f>
        <v/>
      </c>
      <c r="BT30" s="87" t="str">
        <f>IF(AND($BT$12&gt;=$F30,$BT$12&lt;$G30),$E30,"")</f>
        <v/>
      </c>
    </row>
    <row r="31" spans="2:72" s="93" customFormat="1" hidden="1">
      <c r="B31" s="81" t="str">
        <f>Weekly!B23</f>
        <v>1025</v>
      </c>
      <c r="C31" s="90" t="str">
        <f>Weekly!C23</f>
        <v>Eunice</v>
      </c>
      <c r="D31" s="90" t="str">
        <f>Weekly!D10</f>
        <v>Naritsuka-Hayler</v>
      </c>
      <c r="E31" s="91" t="str">
        <f>VLOOKUP(B31,Team!$B$4:$E$183,4,FALSE)</f>
        <v>L's</v>
      </c>
      <c r="F31" s="92" t="str">
        <f>Weekly!G23</f>
        <v/>
      </c>
      <c r="G31" s="92" t="str">
        <f>Weekly!H23</f>
        <v/>
      </c>
      <c r="H31" s="48" t="str">
        <f>IF(AND($H$12&gt;=$F31,$H$12&lt;$G31),$E31,"")</f>
        <v/>
      </c>
      <c r="I31" s="48" t="str">
        <f>IF(AND($I$12&gt;=$F31,$I$12&lt;$G31),$E31,"")</f>
        <v/>
      </c>
      <c r="J31" s="48" t="str">
        <f>IF(AND($J$12&gt;=$F31,$J$12&lt;$G31),$E31,"")</f>
        <v/>
      </c>
      <c r="K31" s="84" t="str">
        <f>IF(AND($K$12&gt;=$F31,$K$12&lt;$G31),$E31,"")</f>
        <v/>
      </c>
      <c r="L31" s="82" t="str">
        <f>IF(AND($L$12&gt;=$F31,$L$12&lt;$G31),$E31,"")</f>
        <v/>
      </c>
      <c r="M31" s="48" t="str">
        <f>IF(AND($M$12&gt;=$F31,$M$12&lt;$G31),$E31,"")</f>
        <v/>
      </c>
      <c r="N31" s="48" t="str">
        <f>IF(AND($N$12&gt;=$F31,$N$12&lt;$G31),$E31,"")</f>
        <v/>
      </c>
      <c r="O31" s="84" t="str">
        <f>IF(AND($O$12&gt;=$F31,$O$12&lt;$G31),$E31,"")</f>
        <v/>
      </c>
      <c r="P31" s="82" t="str">
        <f>IF(AND($P$12&gt;=$F31,$P$12&lt;$G31),$E31,"")</f>
        <v/>
      </c>
      <c r="Q31" s="48" t="str">
        <f>IF(AND($Q$12&gt;=$F31,$Q$12&lt;$G31),$E31,"")</f>
        <v/>
      </c>
      <c r="R31" s="48" t="str">
        <f>IF(AND($R$12&gt;=$F31,$R$12&lt;$G31),$E31,"")</f>
        <v/>
      </c>
      <c r="S31" s="84" t="str">
        <f>IF(AND($S$12&gt;=$F31,$S$12&lt;$G31),$E31,"")</f>
        <v/>
      </c>
      <c r="T31" s="82" t="str">
        <f>IF(AND($T$12&gt;=$F31,$T$12&lt;$G31),$E31,"")</f>
        <v/>
      </c>
      <c r="U31" s="48" t="str">
        <f>IF(AND($U$12&gt;=$F31,$U$12&lt;$G31),$E31,"")</f>
        <v/>
      </c>
      <c r="V31" s="48" t="str">
        <f>IF(AND($V$12&gt;=$F31,$V$12&lt;$G31),$E31,"")</f>
        <v/>
      </c>
      <c r="W31" s="84" t="str">
        <f>IF(AND($W$12&gt;=$F31,$W$12&lt;$G31),$E31,"")</f>
        <v/>
      </c>
      <c r="X31" s="82" t="str">
        <f>IF(AND($X$12&gt;=$F31,$X$12&lt;$G31),$E31,"")</f>
        <v/>
      </c>
      <c r="Y31" s="48" t="str">
        <f>IF(AND($Y$12&gt;=$F31,$Y$12&lt;$G31),$E31,"")</f>
        <v/>
      </c>
      <c r="Z31" s="48" t="str">
        <f>IF(AND($Z$12&gt;=$F31,$Z$12&lt;$G31),$E31,"")</f>
        <v/>
      </c>
      <c r="AA31" s="84" t="str">
        <f>IF(AND($AA$12&gt;=$F31,$AA$12&lt;$G31),$E31,"")</f>
        <v/>
      </c>
      <c r="AB31" s="82" t="str">
        <f>IF(AND($AB$12&gt;=$F31,$AB$12&lt;$G31),$E31,"")</f>
        <v/>
      </c>
      <c r="AC31" s="48" t="str">
        <f>IF(AND($AC$12&gt;=$F31,$AC$12&lt;$G31),$E31,"")</f>
        <v/>
      </c>
      <c r="AD31" s="48" t="str">
        <f>IF(AND($AD$12&gt;=$F31,$AD$12&lt;$G31),$E31,"")</f>
        <v/>
      </c>
      <c r="AE31" s="84" t="str">
        <f>IF(AND($AE$12&gt;=$F31,$AE$12&lt;$G31),$E31,"")</f>
        <v/>
      </c>
      <c r="AF31" s="82" t="str">
        <f>IF(AND($AF$12&gt;=$F31,$AF$12&lt;$G31),$E31,"")</f>
        <v/>
      </c>
      <c r="AG31" s="48" t="str">
        <f>IF(AND($AG$12&gt;=$F31,$AG$12&lt;$G31),$E31,"")</f>
        <v/>
      </c>
      <c r="AH31" s="48" t="str">
        <f>IF(AND($AH$12&gt;=$F31,$AH$12&lt;$G31),$E31,"")</f>
        <v/>
      </c>
      <c r="AI31" s="84" t="str">
        <f>IF(AND($AI$12&gt;=$F31,$AI$12&lt;$G31),$E31,"")</f>
        <v/>
      </c>
      <c r="AJ31" s="82" t="str">
        <f>IF(AND($AJ$12&gt;=$F31,$AJ$12&lt;$G31),$E31,"")</f>
        <v/>
      </c>
      <c r="AK31" s="48" t="str">
        <f>IF(AND($AK$12&gt;=$F31,$AK$12&lt;$G31),$E31,"")</f>
        <v/>
      </c>
      <c r="AL31" s="48" t="str">
        <f>IF(AND($AL$12&gt;=$F31,$AL$12&lt;$G31),$E31,"")</f>
        <v/>
      </c>
      <c r="AM31" s="84" t="str">
        <f>IF(AND($AM$12&gt;=$F31,$AM$12&lt;$G31),$E31,"")</f>
        <v/>
      </c>
      <c r="AN31" s="82" t="str">
        <f>IF(AND($AN$12&gt;=$F31,$AN$12&lt;$G31),$E31,"")</f>
        <v/>
      </c>
      <c r="AO31" s="48" t="str">
        <f>IF(AND($AO$12&gt;=$F31,$AO$12&lt;$G31),$E31,"")</f>
        <v/>
      </c>
      <c r="AP31" s="48" t="str">
        <f>IF(AND($AP$12&gt;=$F31,$AP$12&lt;$G31),$E31,"")</f>
        <v/>
      </c>
      <c r="AQ31" s="84" t="str">
        <f>IF(AND($AQ$12&gt;=$F31,$AQ$12&lt;$G31),$E31,"")</f>
        <v/>
      </c>
      <c r="AR31" s="82" t="str">
        <f>IF(AND($AR$12&gt;=$F31,$AR$12&lt;$G31),$E31,"")</f>
        <v/>
      </c>
      <c r="AS31" s="48" t="str">
        <f>IF(AND($AS$12&gt;=$F31,$AS$12&lt;$G31),$E31,"")</f>
        <v/>
      </c>
      <c r="AT31" s="48" t="str">
        <f>IF(AND($AT$12&gt;=$F31,$AT$12&lt;$G31),$E31,"")</f>
        <v/>
      </c>
      <c r="AU31" s="84" t="str">
        <f>IF(AND($AU$12&gt;=$F31,$AU$12&lt;$G31),$E31,"")</f>
        <v/>
      </c>
      <c r="AV31" s="82" t="str">
        <f>IF(AND($AV$12&gt;=$F31,$AV$12&lt;$G31),$E31,"")</f>
        <v/>
      </c>
      <c r="AW31" s="48" t="str">
        <f>IF(AND($AW$12&gt;=$F31,$AW$12&lt;$G31),$E31,"")</f>
        <v/>
      </c>
      <c r="AX31" s="48" t="str">
        <f>IF(AND($AX$12&gt;=$F31,$AX$12&lt;$G31),$E31,"")</f>
        <v/>
      </c>
      <c r="AY31" s="84" t="str">
        <f>IF(AND($AY$12&gt;=$F31,$AY$12&lt;$G31),$E31,"")</f>
        <v/>
      </c>
      <c r="AZ31" s="82" t="str">
        <f>IF(AND($AZ$12&gt;=$F31,$AZ$12&lt;$G31),$E31,"")</f>
        <v/>
      </c>
      <c r="BA31" s="48" t="str">
        <f>IF(AND($BA$12&gt;=$F31,$BA$12&lt;$G31),$E31,"")</f>
        <v/>
      </c>
      <c r="BB31" s="48" t="str">
        <f>IF(AND($BB$12&gt;=$F31,$BB$12&lt;$G31),$E31,"")</f>
        <v/>
      </c>
      <c r="BC31" s="84" t="str">
        <f>IF(AND($BC$12&gt;=$F31,$BC$12&lt;$G31),$E31,"")</f>
        <v/>
      </c>
      <c r="BD31" s="82" t="str">
        <f>IF(AND($BD$12&gt;=$F31,$BD$12&lt;$G31),$E31,"")</f>
        <v/>
      </c>
      <c r="BE31" s="48" t="str">
        <f>IF(AND($BE$12&gt;=$F31,$BE$12&lt;$G31),$E31,"")</f>
        <v/>
      </c>
      <c r="BF31" s="48" t="str">
        <f>IF(AND($BF$12&gt;=$F31,$BF$12&lt;$G31),$E31,"")</f>
        <v/>
      </c>
      <c r="BG31" s="84" t="str">
        <f>IF(AND($BG$12&gt;=$F31,$BG$12&lt;$G31),$E31,"")</f>
        <v/>
      </c>
      <c r="BH31" s="87" t="str">
        <f>IF(AND($BH$12&gt;=$F31,$BH$12&lt;$G31),$E31,"")</f>
        <v/>
      </c>
      <c r="BI31" s="49" t="str">
        <f>IF(AND($BI$12&gt;=$F31,$BI$12&lt;$G31),$E31,"")</f>
        <v/>
      </c>
      <c r="BJ31" s="49" t="str">
        <f>IF(AND($BJ$12&gt;=$F31,$BJ$12&lt;$G31),$E31,"")</f>
        <v/>
      </c>
      <c r="BK31" s="89" t="str">
        <f>IF(AND($BK$12&gt;=$F31,$BK$12&lt;$G31),$E31,"")</f>
        <v/>
      </c>
      <c r="BL31" s="87" t="str">
        <f>IF(AND($BL$12&gt;=$F31,$BL$12&lt;$G31),$E31,"")</f>
        <v/>
      </c>
      <c r="BM31" s="49" t="str">
        <f>IF(AND($BM$12&gt;=$F31,$BM$12&lt;$G31),$E31,"")</f>
        <v/>
      </c>
      <c r="BN31" s="49" t="str">
        <f>IF(AND($BN$12&gt;=$F31,$BN$12&lt;$G31),$E31,"")</f>
        <v/>
      </c>
      <c r="BO31" s="89" t="str">
        <f>IF(AND($BO$12&gt;=$F31,$BO$12&lt;$G31),$E31,"")</f>
        <v/>
      </c>
      <c r="BP31" s="87" t="str">
        <f>IF(AND($BP$12&gt;=$F31,$BP$12&lt;$G31),$E31,"")</f>
        <v/>
      </c>
      <c r="BQ31" s="49" t="str">
        <f>IF(AND($BQ$12&gt;=$F31,$BQ$12&lt;$G31),$E31,"")</f>
        <v/>
      </c>
      <c r="BR31" s="49" t="str">
        <f>IF(AND($BR$12&gt;=$F31,$BR$12&lt;$G31),$E31,"")</f>
        <v/>
      </c>
      <c r="BS31" s="89" t="str">
        <f>IF(AND($BS$12&gt;=$F31,$BS$12&lt;$G31),$E31,"")</f>
        <v/>
      </c>
      <c r="BT31" s="87" t="str">
        <f>IF(AND($BT$12&gt;=$F31,$BT$12&lt;$G31),$E31,"")</f>
        <v/>
      </c>
    </row>
    <row r="32" spans="2:72" s="93" customFormat="1" ht="12.75">
      <c r="B32" s="81" t="str">
        <f>Weekly!B41</f>
        <v>01517</v>
      </c>
      <c r="C32" s="90" t="str">
        <f>Weekly!C41</f>
        <v>Lona</v>
      </c>
      <c r="D32" s="90">
        <f>Weekly!D79</f>
        <v>0</v>
      </c>
      <c r="E32" s="91" t="str">
        <f>VLOOKUP(B32,Team!$B$4:$E$183,4,FALSE)</f>
        <v>M's</v>
      </c>
      <c r="F32" s="92">
        <f>Weekly!G41</f>
        <v>0.35416666666666602</v>
      </c>
      <c r="G32" s="92">
        <f>Weekly!H41</f>
        <v>0.687499999999999</v>
      </c>
      <c r="H32" s="48" t="str">
        <f>IF(AND($H$12&gt;=$F32,$H$12&lt;$G32),$E32,"")</f>
        <v/>
      </c>
      <c r="I32" s="48" t="str">
        <f>IF(AND($I$12&gt;=$F32,$I$12&lt;$G32),$E32,"")</f>
        <v/>
      </c>
      <c r="J32" s="48" t="str">
        <f>IF(AND($J$12&gt;=$F32,$J$12&lt;$G32),$E32,"")</f>
        <v/>
      </c>
      <c r="K32" s="84" t="str">
        <f>IF(AND($K$12&gt;=$F32,$K$12&lt;$G32),$E32,"")</f>
        <v/>
      </c>
      <c r="L32" s="82" t="str">
        <f>IF(AND($L$12&gt;=$F32,$L$12&lt;$G32),$E32,"")</f>
        <v/>
      </c>
      <c r="M32" s="48" t="str">
        <f>IF(AND($M$12&gt;=$F32,$M$12&lt;$G32),$E32,"")</f>
        <v/>
      </c>
      <c r="N32" s="118" t="s">
        <v>243</v>
      </c>
      <c r="O32" s="120" t="s">
        <v>341</v>
      </c>
      <c r="P32" s="120" t="s">
        <v>341</v>
      </c>
      <c r="Q32" s="120" t="s">
        <v>341</v>
      </c>
      <c r="R32" s="48" t="str">
        <f>IF(AND($R$12&gt;=$F32,$R$12&lt;$G32),$E32,"")</f>
        <v>M's</v>
      </c>
      <c r="S32" s="84" t="str">
        <f>IF(AND($S$12&gt;=$F32,$S$12&lt;$G32),$E32,"")</f>
        <v>M's</v>
      </c>
      <c r="T32" s="82" t="str">
        <f>IF(AND($T$12&gt;=$F32,$T$12&lt;$G32),$E32,"")</f>
        <v>M's</v>
      </c>
      <c r="U32" s="48" t="str">
        <f>IF(AND($U$12&gt;=$F32,$U$12&lt;$G32),$E32,"")</f>
        <v>M's</v>
      </c>
      <c r="V32" s="123" t="s">
        <v>237</v>
      </c>
      <c r="W32" s="123" t="s">
        <v>237</v>
      </c>
      <c r="X32" s="123" t="s">
        <v>237</v>
      </c>
      <c r="Y32" s="121">
        <v>40</v>
      </c>
      <c r="Z32" s="121">
        <v>40</v>
      </c>
      <c r="AA32" s="121">
        <v>40</v>
      </c>
      <c r="AB32" s="82" t="str">
        <f>IF(AND($AB$12&gt;=$F32,$AB$12&lt;$G32),$E32,"")</f>
        <v>M's</v>
      </c>
      <c r="AC32" s="48" t="str">
        <f>IF(AND($AC$12&gt;=$F32,$AC$12&lt;$G32),$E32,"")</f>
        <v>M's</v>
      </c>
      <c r="AD32" s="48" t="str">
        <f>IF(AND($AD$12&gt;=$F32,$AD$12&lt;$G32),$E32,"")</f>
        <v>M's</v>
      </c>
      <c r="AE32" s="84" t="str">
        <f>IF(AND($AE$12&gt;=$F32,$AE$12&lt;$G32),$E32,"")</f>
        <v>M's</v>
      </c>
      <c r="AF32" s="119" t="s">
        <v>235</v>
      </c>
      <c r="AG32" s="119" t="s">
        <v>235</v>
      </c>
      <c r="AH32" s="119" t="s">
        <v>235</v>
      </c>
      <c r="AI32" s="119" t="s">
        <v>235</v>
      </c>
      <c r="AJ32" s="119" t="s">
        <v>235</v>
      </c>
      <c r="AK32" s="121">
        <v>10</v>
      </c>
      <c r="AL32" s="48" t="str">
        <f>IF(AND($AL$12&gt;=$F32,$AL$12&lt;$G32),$E32,"")</f>
        <v>M's</v>
      </c>
      <c r="AM32" s="84" t="str">
        <f>IF(AND($AM$12&gt;=$F32,$AM$12&lt;$G32),$E32,"")</f>
        <v>M's</v>
      </c>
      <c r="AN32" s="82" t="str">
        <f>IF(AND($AN$12&gt;=$F32,$AN$12&lt;$G32),$E32,"")</f>
        <v>M's</v>
      </c>
      <c r="AO32" s="48" t="str">
        <f>IF(AND($AO$12&gt;=$F32,$AO$12&lt;$G32),$E32,"")</f>
        <v>M's</v>
      </c>
      <c r="AP32" s="48" t="str">
        <f>IF(AND($AP$12&gt;=$F32,$AP$12&lt;$G32),$E32,"")</f>
        <v>M's</v>
      </c>
      <c r="AQ32" s="84" t="str">
        <f>IF(AND($AQ$12&gt;=$F32,$AQ$12&lt;$G32),$E32,"")</f>
        <v>M's</v>
      </c>
      <c r="AR32" s="82" t="str">
        <f>IF(AND($AR$12&gt;=$F32,$AR$12&lt;$G32),$E32,"")</f>
        <v>M's</v>
      </c>
      <c r="AS32" s="48" t="str">
        <f>IF(AND($AS$12&gt;=$F32,$AS$12&lt;$G32),$E32,"")</f>
        <v>M's</v>
      </c>
      <c r="AT32" s="48" t="str">
        <f>IF(AND($AT$12&gt;=$F32,$AT$12&lt;$G32),$E32,"")</f>
        <v/>
      </c>
      <c r="AU32" s="84" t="str">
        <f>IF(AND($AU$12&gt;=$F32,$AU$12&lt;$G32),$E32,"")</f>
        <v/>
      </c>
      <c r="AV32" s="82" t="str">
        <f>IF(AND($AV$12&gt;=$F32,$AV$12&lt;$G32),$E32,"")</f>
        <v/>
      </c>
      <c r="AW32" s="48" t="str">
        <f>IF(AND($AW$12&gt;=$F32,$AW$12&lt;$G32),$E32,"")</f>
        <v/>
      </c>
      <c r="AX32" s="48" t="str">
        <f>IF(AND($AX$12&gt;=$F32,$AX$12&lt;$G32),$E32,"")</f>
        <v/>
      </c>
      <c r="AY32" s="84" t="str">
        <f>IF(AND($AY$12&gt;=$F32,$AY$12&lt;$G32),$E32,"")</f>
        <v/>
      </c>
      <c r="AZ32" s="82" t="str">
        <f>IF(AND($AZ$12&gt;=$F32,$AZ$12&lt;$G32),$E32,"")</f>
        <v/>
      </c>
      <c r="BA32" s="48" t="str">
        <f>IF(AND($BA$12&gt;=$F32,$BA$12&lt;$G32),$E32,"")</f>
        <v/>
      </c>
      <c r="BB32" s="48" t="str">
        <f>IF(AND($BB$12&gt;=$F32,$BB$12&lt;$G32),$E32,"")</f>
        <v/>
      </c>
      <c r="BC32" s="84" t="str">
        <f>IF(AND($BC$12&gt;=$F32,$BC$12&lt;$G32),$E32,"")</f>
        <v/>
      </c>
      <c r="BD32" s="82" t="str">
        <f>IF(AND($BD$12&gt;=$F32,$BD$12&lt;$G32),$E32,"")</f>
        <v/>
      </c>
      <c r="BE32" s="48" t="str">
        <f>IF(AND($BE$12&gt;=$F32,$BE$12&lt;$G32),$E32,"")</f>
        <v/>
      </c>
      <c r="BF32" s="48" t="str">
        <f>IF(AND($BF$12&gt;=$F32,$BF$12&lt;$G32),$E32,"")</f>
        <v/>
      </c>
      <c r="BG32" s="84" t="str">
        <f>IF(AND($BG$12&gt;=$F32,$BG$12&lt;$G32),$E32,"")</f>
        <v/>
      </c>
      <c r="BH32" s="87" t="str">
        <f>IF(AND($BH$12&gt;=$F32,$BH$12&lt;$G32),$E32,"")</f>
        <v/>
      </c>
      <c r="BI32" s="49" t="str">
        <f>IF(AND($BI$12&gt;=$F32,$BI$12&lt;$G32),$E32,"")</f>
        <v/>
      </c>
      <c r="BJ32" s="49" t="str">
        <f>IF(AND($BJ$12&gt;=$F32,$BJ$12&lt;$G32),$E32,"")</f>
        <v/>
      </c>
      <c r="BK32" s="89" t="str">
        <f>IF(AND($BK$12&gt;=$F32,$BK$12&lt;$G32),$E32,"")</f>
        <v/>
      </c>
      <c r="BL32" s="87" t="str">
        <f>IF(AND($BL$12&gt;=$F32,$BL$12&lt;$G32),$E32,"")</f>
        <v/>
      </c>
      <c r="BM32" s="49" t="str">
        <f>IF(AND($BM$12&gt;=$F32,$BM$12&lt;$G32),$E32,"")</f>
        <v/>
      </c>
      <c r="BN32" s="49" t="str">
        <f>IF(AND($BN$12&gt;=$F32,$BN$12&lt;$G32),$E32,"")</f>
        <v/>
      </c>
      <c r="BO32" s="89" t="str">
        <f>IF(AND($BO$12&gt;=$F32,$BO$12&lt;$G32),$E32,"")</f>
        <v/>
      </c>
      <c r="BP32" s="87" t="str">
        <f>IF(AND($BP$12&gt;=$F32,$BP$12&lt;$G32),$E32,"")</f>
        <v/>
      </c>
      <c r="BQ32" s="49" t="str">
        <f>IF(AND($BQ$12&gt;=$F32,$BQ$12&lt;$G32),$E32,"")</f>
        <v/>
      </c>
      <c r="BR32" s="49" t="str">
        <f>IF(AND($BR$12&gt;=$F32,$BR$12&lt;$G32),$E32,"")</f>
        <v/>
      </c>
      <c r="BS32" s="89" t="str">
        <f>IF(AND($BS$12&gt;=$F32,$BS$12&lt;$G32),$E32,"")</f>
        <v/>
      </c>
      <c r="BT32" s="87" t="str">
        <f>IF(AND($BT$12&gt;=$F32,$BT$12&lt;$G32),$E32,"")</f>
        <v/>
      </c>
    </row>
    <row r="33" spans="2:72" s="93" customFormat="1" ht="12.75">
      <c r="B33" s="81" t="str">
        <f>Weekly!B42</f>
        <v>882</v>
      </c>
      <c r="C33" s="90" t="str">
        <f>Weekly!C42</f>
        <v>Masami</v>
      </c>
      <c r="D33" s="90">
        <f>Weekly!D80</f>
        <v>0</v>
      </c>
      <c r="E33" s="91" t="str">
        <f>VLOOKUP(B33,Team!$B$4:$E$183,4,FALSE)</f>
        <v>Acc.</v>
      </c>
      <c r="F33" s="92">
        <f>Weekly!G42</f>
        <v>0.35416666666666602</v>
      </c>
      <c r="G33" s="92">
        <f>Weekly!H42</f>
        <v>0.687499999999999</v>
      </c>
      <c r="H33" s="48" t="str">
        <f>IF(AND($H$12&gt;=$F33,$H$12&lt;$G33),$E33,"")</f>
        <v/>
      </c>
      <c r="I33" s="48" t="str">
        <f>IF(AND($I$12&gt;=$F33,$I$12&lt;$G33),$E33,"")</f>
        <v/>
      </c>
      <c r="J33" s="48" t="str">
        <f>IF(AND($J$12&gt;=$F33,$J$12&lt;$G33),$E33,"")</f>
        <v/>
      </c>
      <c r="K33" s="84" t="str">
        <f>IF(AND($K$12&gt;=$F33,$K$12&lt;$G33),$E33,"")</f>
        <v/>
      </c>
      <c r="L33" s="82" t="str">
        <f>IF(AND($L$12&gt;=$F33,$L$12&lt;$G33),$E33,"")</f>
        <v/>
      </c>
      <c r="M33" s="48" t="str">
        <f>IF(AND($M$12&gt;=$F33,$M$12&lt;$G33),$E33,"")</f>
        <v/>
      </c>
      <c r="N33" s="118" t="s">
        <v>243</v>
      </c>
      <c r="O33" s="122" t="s">
        <v>342</v>
      </c>
      <c r="P33" s="122" t="s">
        <v>342</v>
      </c>
      <c r="Q33" s="122" t="s">
        <v>343</v>
      </c>
      <c r="R33" s="123" t="s">
        <v>237</v>
      </c>
      <c r="S33" s="123" t="s">
        <v>237</v>
      </c>
      <c r="T33" s="123" t="s">
        <v>237</v>
      </c>
      <c r="U33" s="123" t="s">
        <v>237</v>
      </c>
      <c r="V33" s="48" t="str">
        <f>IF(AND($V$12&gt;=$F33,$V$12&lt;$G33),$E33,"")</f>
        <v>Acc.</v>
      </c>
      <c r="W33" s="84" t="str">
        <f>IF(AND($W$12&gt;=$F33,$W$12&lt;$G33),$E33,"")</f>
        <v>Acc.</v>
      </c>
      <c r="X33" s="82" t="str">
        <f>IF(AND($X$12&gt;=$F33,$X$12&lt;$G33),$E33,"")</f>
        <v>Acc.</v>
      </c>
      <c r="Y33" s="82" t="str">
        <f t="shared" ref="Y33:AA33" si="70">IF(AND($X$12&gt;=$F33,$X$12&lt;$G33),$E33,"")</f>
        <v>Acc.</v>
      </c>
      <c r="Z33" s="82" t="str">
        <f t="shared" si="70"/>
        <v>Acc.</v>
      </c>
      <c r="AA33" s="82" t="str">
        <f t="shared" si="70"/>
        <v>Acc.</v>
      </c>
      <c r="AB33" s="121">
        <v>40</v>
      </c>
      <c r="AC33" s="121">
        <v>40</v>
      </c>
      <c r="AD33" s="121">
        <v>40</v>
      </c>
      <c r="AE33" s="84" t="str">
        <f>IF(AND($AE$12&gt;=$F33,$AE$12&lt;$G33),$E33,"")</f>
        <v>Acc.</v>
      </c>
      <c r="AF33" s="82" t="str">
        <f>IF(AND($AF$12&gt;=$F33,$AF$12&lt;$G33),$E33,"")</f>
        <v>Acc.</v>
      </c>
      <c r="AG33" s="48" t="str">
        <f>IF(AND($AG$12&gt;=$F33,$AG$12&lt;$G33),$E33,"")</f>
        <v>Acc.</v>
      </c>
      <c r="AH33" s="48" t="str">
        <f>IF(AND($AH$12&gt;=$F33,$AH$12&lt;$G33),$E33,"")</f>
        <v>Acc.</v>
      </c>
      <c r="AI33" s="124" t="s">
        <v>241</v>
      </c>
      <c r="AJ33" s="124" t="s">
        <v>241</v>
      </c>
      <c r="AK33" s="124" t="s">
        <v>241</v>
      </c>
      <c r="AL33" s="124" t="s">
        <v>241</v>
      </c>
      <c r="AM33" s="121">
        <v>10</v>
      </c>
      <c r="AN33" s="120" t="s">
        <v>344</v>
      </c>
      <c r="AO33" s="123" t="s">
        <v>237</v>
      </c>
      <c r="AP33" s="123" t="s">
        <v>237</v>
      </c>
      <c r="AQ33" s="123" t="s">
        <v>237</v>
      </c>
      <c r="AR33" s="123" t="s">
        <v>237</v>
      </c>
      <c r="AS33" s="123" t="s">
        <v>237</v>
      </c>
      <c r="AT33" s="48" t="str">
        <f>IF(AND($AT$12&gt;=$F33,$AT$12&lt;$G33),$E33,"")</f>
        <v/>
      </c>
      <c r="AU33" s="84" t="str">
        <f>IF(AND($AU$12&gt;=$F33,$AU$12&lt;$G33),$E33,"")</f>
        <v/>
      </c>
      <c r="AV33" s="82" t="str">
        <f>IF(AND($AV$12&gt;=$F33,$AV$12&lt;$G33),$E33,"")</f>
        <v/>
      </c>
      <c r="AW33" s="48" t="str">
        <f>IF(AND($AW$12&gt;=$F33,$AW$12&lt;$G33),$E33,"")</f>
        <v/>
      </c>
      <c r="AX33" s="48" t="str">
        <f>IF(AND($AX$12&gt;=$F33,$AX$12&lt;$G33),$E33,"")</f>
        <v/>
      </c>
      <c r="AY33" s="84" t="str">
        <f>IF(AND($AY$12&gt;=$F33,$AY$12&lt;$G33),$E33,"")</f>
        <v/>
      </c>
      <c r="AZ33" s="82" t="str">
        <f>IF(AND($AZ$12&gt;=$F33,$AZ$12&lt;$G33),$E33,"")</f>
        <v/>
      </c>
      <c r="BA33" s="48" t="str">
        <f>IF(AND($BA$12&gt;=$F33,$BA$12&lt;$G33),$E33,"")</f>
        <v/>
      </c>
      <c r="BB33" s="48" t="str">
        <f>IF(AND($BB$12&gt;=$F33,$BB$12&lt;$G33),$E33,"")</f>
        <v/>
      </c>
      <c r="BC33" s="84" t="str">
        <f>IF(AND($BC$12&gt;=$F33,$BC$12&lt;$G33),$E33,"")</f>
        <v/>
      </c>
      <c r="BD33" s="82" t="str">
        <f>IF(AND($BD$12&gt;=$F33,$BD$12&lt;$G33),$E33,"")</f>
        <v/>
      </c>
      <c r="BE33" s="48" t="str">
        <f>IF(AND($BE$12&gt;=$F33,$BE$12&lt;$G33),$E33,"")</f>
        <v/>
      </c>
      <c r="BF33" s="48" t="str">
        <f>IF(AND($BF$12&gt;=$F33,$BF$12&lt;$G33),$E33,"")</f>
        <v/>
      </c>
      <c r="BG33" s="84" t="str">
        <f>IF(AND($BG$12&gt;=$F33,$BG$12&lt;$G33),$E33,"")</f>
        <v/>
      </c>
      <c r="BH33" s="87" t="str">
        <f>IF(AND($BH$12&gt;=$F33,$BH$12&lt;$G33),$E33,"")</f>
        <v/>
      </c>
      <c r="BI33" s="49" t="str">
        <f>IF(AND($BI$12&gt;=$F33,$BI$12&lt;$G33),$E33,"")</f>
        <v/>
      </c>
      <c r="BJ33" s="49" t="str">
        <f>IF(AND($BJ$12&gt;=$F33,$BJ$12&lt;$G33),$E33,"")</f>
        <v/>
      </c>
      <c r="BK33" s="89" t="str">
        <f>IF(AND($BK$12&gt;=$F33,$BK$12&lt;$G33),$E33,"")</f>
        <v/>
      </c>
      <c r="BL33" s="87" t="str">
        <f>IF(AND($BL$12&gt;=$F33,$BL$12&lt;$G33),$E33,"")</f>
        <v/>
      </c>
      <c r="BM33" s="49" t="str">
        <f>IF(AND($BM$12&gt;=$F33,$BM$12&lt;$G33),$E33,"")</f>
        <v/>
      </c>
      <c r="BN33" s="49" t="str">
        <f>IF(AND($BN$12&gt;=$F33,$BN$12&lt;$G33),$E33,"")</f>
        <v/>
      </c>
      <c r="BO33" s="89" t="str">
        <f>IF(AND($BO$12&gt;=$F33,$BO$12&lt;$G33),$E33,"")</f>
        <v/>
      </c>
      <c r="BP33" s="87" t="str">
        <f>IF(AND($BP$12&gt;=$F33,$BP$12&lt;$G33),$E33,"")</f>
        <v/>
      </c>
      <c r="BQ33" s="49" t="str">
        <f>IF(AND($BQ$12&gt;=$F33,$BQ$12&lt;$G33),$E33,"")</f>
        <v/>
      </c>
      <c r="BR33" s="49" t="str">
        <f>IF(AND($BR$12&gt;=$F33,$BR$12&lt;$G33),$E33,"")</f>
        <v/>
      </c>
      <c r="BS33" s="89" t="str">
        <f>IF(AND($BS$12&gt;=$F33,$BS$12&lt;$G33),$E33,"")</f>
        <v/>
      </c>
      <c r="BT33" s="87" t="str">
        <f>IF(AND($BT$12&gt;=$F33,$BT$12&lt;$G33),$E33,"")</f>
        <v/>
      </c>
    </row>
    <row r="34" spans="2:72" s="93" customFormat="1" hidden="1">
      <c r="B34" s="81" t="str">
        <f>Weekly!B26</f>
        <v>01524</v>
      </c>
      <c r="C34" s="90" t="str">
        <f>Weekly!C26</f>
        <v>Isabelle</v>
      </c>
      <c r="D34" s="90" t="str">
        <f>Weekly!D28</f>
        <v>Hui</v>
      </c>
      <c r="E34" s="91" t="str">
        <f>VLOOKUP(B34,Team!$B$4:$E$183,4,FALSE)</f>
        <v>HH</v>
      </c>
      <c r="F34" s="92" t="str">
        <f>Weekly!G26</f>
        <v/>
      </c>
      <c r="G34" s="92" t="str">
        <f>Weekly!H26</f>
        <v/>
      </c>
      <c r="H34" s="48" t="str">
        <f>IF(AND($H$12&gt;=$F34,$H$12&lt;$G34),$E34,"")</f>
        <v/>
      </c>
      <c r="I34" s="48" t="str">
        <f>IF(AND($I$12&gt;=$F34,$I$12&lt;$G34),$E34,"")</f>
        <v/>
      </c>
      <c r="J34" s="48" t="str">
        <f>IF(AND($J$12&gt;=$F34,$J$12&lt;$G34),$E34,"")</f>
        <v/>
      </c>
      <c r="K34" s="84" t="str">
        <f>IF(AND($K$12&gt;=$F34,$K$12&lt;$G34),$E34,"")</f>
        <v/>
      </c>
      <c r="L34" s="82" t="str">
        <f>IF(AND($L$12&gt;=$F34,$L$12&lt;$G34),$E34,"")</f>
        <v/>
      </c>
      <c r="M34" s="48" t="str">
        <f>IF(AND($M$12&gt;=$F34,$M$12&lt;$G34),$E34,"")</f>
        <v/>
      </c>
      <c r="N34" s="48" t="str">
        <f>IF(AND($N$12&gt;=$F34,$N$12&lt;$G34),$E34,"")</f>
        <v/>
      </c>
      <c r="O34" s="84" t="str">
        <f>IF(AND($O$12&gt;=$F34,$O$12&lt;$G34),$E34,"")</f>
        <v/>
      </c>
      <c r="P34" s="82" t="str">
        <f>IF(AND($P$12&gt;=$F34,$P$12&lt;$G34),$E34,"")</f>
        <v/>
      </c>
      <c r="Q34" s="48" t="str">
        <f>IF(AND($Q$12&gt;=$F34,$Q$12&lt;$G34),$E34,"")</f>
        <v/>
      </c>
      <c r="R34" s="48" t="str">
        <f>IF(AND($R$12&gt;=$F34,$R$12&lt;$G34),$E34,"")</f>
        <v/>
      </c>
      <c r="S34" s="84" t="str">
        <f>IF(AND($S$12&gt;=$F34,$S$12&lt;$G34),$E34,"")</f>
        <v/>
      </c>
      <c r="T34" s="82" t="str">
        <f>IF(AND($T$12&gt;=$F34,$T$12&lt;$G34),$E34,"")</f>
        <v/>
      </c>
      <c r="U34" s="48" t="str">
        <f>IF(AND($U$12&gt;=$F34,$U$12&lt;$G34),$E34,"")</f>
        <v/>
      </c>
      <c r="V34" s="48" t="str">
        <f>IF(AND($V$12&gt;=$F34,$V$12&lt;$G34),$E34,"")</f>
        <v/>
      </c>
      <c r="W34" s="84" t="str">
        <f>IF(AND($W$12&gt;=$F34,$W$12&lt;$G34),$E34,"")</f>
        <v/>
      </c>
      <c r="X34" s="82" t="str">
        <f>IF(AND($X$12&gt;=$F34,$X$12&lt;$G34),$E34,"")</f>
        <v/>
      </c>
      <c r="Y34" s="48" t="str">
        <f>IF(AND($Y$12&gt;=$F34,$Y$12&lt;$G34),$E34,"")</f>
        <v/>
      </c>
      <c r="Z34" s="48" t="str">
        <f>IF(AND($Z$12&gt;=$F34,$Z$12&lt;$G34),$E34,"")</f>
        <v/>
      </c>
      <c r="AA34" s="84" t="str">
        <f>IF(AND($AA$12&gt;=$F34,$AA$12&lt;$G34),$E34,"")</f>
        <v/>
      </c>
      <c r="AB34" s="82" t="str">
        <f>IF(AND($AB$12&gt;=$F34,$AB$12&lt;$G34),$E34,"")</f>
        <v/>
      </c>
      <c r="AC34" s="48" t="str">
        <f>IF(AND($AC$12&gt;=$F34,$AC$12&lt;$G34),$E34,"")</f>
        <v/>
      </c>
      <c r="AD34" s="48" t="str">
        <f>IF(AND($AD$12&gt;=$F34,$AD$12&lt;$G34),$E34,"")</f>
        <v/>
      </c>
      <c r="AE34" s="84" t="str">
        <f>IF(AND($AE$12&gt;=$F34,$AE$12&lt;$G34),$E34,"")</f>
        <v/>
      </c>
      <c r="AF34" s="82" t="str">
        <f>IF(AND($AF$12&gt;=$F34,$AF$12&lt;$G34),$E34,"")</f>
        <v/>
      </c>
      <c r="AG34" s="48" t="str">
        <f>IF(AND($AG$12&gt;=$F34,$AG$12&lt;$G34),$E34,"")</f>
        <v/>
      </c>
      <c r="AH34" s="48" t="str">
        <f>IF(AND($AH$12&gt;=$F34,$AH$12&lt;$G34),$E34,"")</f>
        <v/>
      </c>
      <c r="AI34" s="84" t="str">
        <f>IF(AND($AI$12&gt;=$F34,$AI$12&lt;$G34),$E34,"")</f>
        <v/>
      </c>
      <c r="AJ34" s="82" t="str">
        <f>IF(AND($AJ$12&gt;=$F34,$AJ$12&lt;$G34),$E34,"")</f>
        <v/>
      </c>
      <c r="AK34" s="48" t="str">
        <f>IF(AND($AK$12&gt;=$F34,$AK$12&lt;$G34),$E34,"")</f>
        <v/>
      </c>
      <c r="AL34" s="48" t="str">
        <f>IF(AND($AL$12&gt;=$F34,$AL$12&lt;$G34),$E34,"")</f>
        <v/>
      </c>
      <c r="AM34" s="84" t="str">
        <f>IF(AND($AM$12&gt;=$F34,$AM$12&lt;$G34),$E34,"")</f>
        <v/>
      </c>
      <c r="AN34" s="82" t="str">
        <f>IF(AND($AN$12&gt;=$F34,$AN$12&lt;$G34),$E34,"")</f>
        <v/>
      </c>
      <c r="AO34" s="48" t="str">
        <f>IF(AND($AO$12&gt;=$F34,$AO$12&lt;$G34),$E34,"")</f>
        <v/>
      </c>
      <c r="AP34" s="48" t="str">
        <f>IF(AND($AP$12&gt;=$F34,$AP$12&lt;$G34),$E34,"")</f>
        <v/>
      </c>
      <c r="AQ34" s="84" t="str">
        <f>IF(AND($AQ$12&gt;=$F34,$AQ$12&lt;$G34),$E34,"")</f>
        <v/>
      </c>
      <c r="AR34" s="82" t="str">
        <f>IF(AND($AR$12&gt;=$F34,$AR$12&lt;$G34),$E34,"")</f>
        <v/>
      </c>
      <c r="AS34" s="48" t="str">
        <f>IF(AND($AS$12&gt;=$F34,$AS$12&lt;$G34),$E34,"")</f>
        <v/>
      </c>
      <c r="AT34" s="48" t="str">
        <f>IF(AND($AT$12&gt;=$F34,$AT$12&lt;$G34),$E34,"")</f>
        <v/>
      </c>
      <c r="AU34" s="84" t="str">
        <f>IF(AND($AU$12&gt;=$F34,$AU$12&lt;$G34),$E34,"")</f>
        <v/>
      </c>
      <c r="AV34" s="82" t="str">
        <f>IF(AND($AV$12&gt;=$F34,$AV$12&lt;$G34),$E34,"")</f>
        <v/>
      </c>
      <c r="AW34" s="48" t="str">
        <f>IF(AND($AW$12&gt;=$F34,$AW$12&lt;$G34),$E34,"")</f>
        <v/>
      </c>
      <c r="AX34" s="48" t="str">
        <f>IF(AND($AX$12&gt;=$F34,$AX$12&lt;$G34),$E34,"")</f>
        <v/>
      </c>
      <c r="AY34" s="84" t="str">
        <f>IF(AND($AY$12&gt;=$F34,$AY$12&lt;$G34),$E34,"")</f>
        <v/>
      </c>
      <c r="AZ34" s="82" t="str">
        <f>IF(AND($AZ$12&gt;=$F34,$AZ$12&lt;$G34),$E34,"")</f>
        <v/>
      </c>
      <c r="BA34" s="48" t="str">
        <f>IF(AND($BA$12&gt;=$F34,$BA$12&lt;$G34),$E34,"")</f>
        <v/>
      </c>
      <c r="BB34" s="48" t="str">
        <f>IF(AND($BB$12&gt;=$F34,$BB$12&lt;$G34),$E34,"")</f>
        <v/>
      </c>
      <c r="BC34" s="84" t="str">
        <f>IF(AND($BC$12&gt;=$F34,$BC$12&lt;$G34),$E34,"")</f>
        <v/>
      </c>
      <c r="BD34" s="82" t="str">
        <f>IF(AND($BD$12&gt;=$F34,$BD$12&lt;$G34),$E34,"")</f>
        <v/>
      </c>
      <c r="BE34" s="48" t="str">
        <f>IF(AND($BE$12&gt;=$F34,$BE$12&lt;$G34),$E34,"")</f>
        <v/>
      </c>
      <c r="BF34" s="48" t="str">
        <f>IF(AND($BF$12&gt;=$F34,$BF$12&lt;$G34),$E34,"")</f>
        <v/>
      </c>
      <c r="BG34" s="84" t="str">
        <f>IF(AND($BG$12&gt;=$F34,$BG$12&lt;$G34),$E34,"")</f>
        <v/>
      </c>
      <c r="BH34" s="87" t="str">
        <f>IF(AND($BH$12&gt;=$F34,$BH$12&lt;$G34),$E34,"")</f>
        <v/>
      </c>
      <c r="BI34" s="49" t="str">
        <f>IF(AND($BI$12&gt;=$F34,$BI$12&lt;$G34),$E34,"")</f>
        <v/>
      </c>
      <c r="BJ34" s="49" t="str">
        <f>IF(AND($BJ$12&gt;=$F34,$BJ$12&lt;$G34),$E34,"")</f>
        <v/>
      </c>
      <c r="BK34" s="89" t="str">
        <f>IF(AND($BK$12&gt;=$F34,$BK$12&lt;$G34),$E34,"")</f>
        <v/>
      </c>
      <c r="BL34" s="87" t="str">
        <f>IF(AND($BL$12&gt;=$F34,$BL$12&lt;$G34),$E34,"")</f>
        <v/>
      </c>
      <c r="BM34" s="49" t="str">
        <f>IF(AND($BM$12&gt;=$F34,$BM$12&lt;$G34),$E34,"")</f>
        <v/>
      </c>
      <c r="BN34" s="49" t="str">
        <f>IF(AND($BN$12&gt;=$F34,$BN$12&lt;$G34),$E34,"")</f>
        <v/>
      </c>
      <c r="BO34" s="89" t="str">
        <f>IF(AND($BO$12&gt;=$F34,$BO$12&lt;$G34),$E34,"")</f>
        <v/>
      </c>
      <c r="BP34" s="87" t="str">
        <f>IF(AND($BP$12&gt;=$F34,$BP$12&lt;$G34),$E34,"")</f>
        <v/>
      </c>
      <c r="BQ34" s="49" t="str">
        <f>IF(AND($BQ$12&gt;=$F34,$BQ$12&lt;$G34),$E34,"")</f>
        <v/>
      </c>
      <c r="BR34" s="49" t="str">
        <f>IF(AND($BR$12&gt;=$F34,$BR$12&lt;$G34),$E34,"")</f>
        <v/>
      </c>
      <c r="BS34" s="89" t="str">
        <f>IF(AND($BS$12&gt;=$F34,$BS$12&lt;$G34),$E34,"")</f>
        <v/>
      </c>
      <c r="BT34" s="87" t="str">
        <f>IF(AND($BT$12&gt;=$F34,$BT$12&lt;$G34),$E34,"")</f>
        <v/>
      </c>
    </row>
    <row r="35" spans="2:72" s="93" customFormat="1" hidden="1">
      <c r="B35" s="81" t="str">
        <f>Weekly!B27</f>
        <v>1216</v>
      </c>
      <c r="C35" s="90" t="str">
        <f>Weekly!C27</f>
        <v>Janelle</v>
      </c>
      <c r="D35" s="90" t="str">
        <f>Weekly!D45</f>
        <v>Ishikawa</v>
      </c>
      <c r="E35" s="91" t="str">
        <f>VLOOKUP(B35,Team!$B$4:$E$183,4,FALSE)</f>
        <v>M's</v>
      </c>
      <c r="F35" s="92" t="str">
        <f>Weekly!G27</f>
        <v/>
      </c>
      <c r="G35" s="92" t="str">
        <f>Weekly!H27</f>
        <v/>
      </c>
      <c r="H35" s="48" t="str">
        <f>IF(AND($H$12&gt;=$F35,$H$12&lt;$G35),$E35,"")</f>
        <v/>
      </c>
      <c r="I35" s="48" t="str">
        <f>IF(AND($I$12&gt;=$F35,$I$12&lt;$G35),$E35,"")</f>
        <v/>
      </c>
      <c r="J35" s="48" t="str">
        <f>IF(AND($J$12&gt;=$F35,$J$12&lt;$G35),$E35,"")</f>
        <v/>
      </c>
      <c r="K35" s="84" t="str">
        <f>IF(AND($K$12&gt;=$F35,$K$12&lt;$G35),$E35,"")</f>
        <v/>
      </c>
      <c r="L35" s="82" t="str">
        <f>IF(AND($L$12&gt;=$F35,$L$12&lt;$G35),$E35,"")</f>
        <v/>
      </c>
      <c r="M35" s="48" t="str">
        <f>IF(AND($M$12&gt;=$F35,$M$12&lt;$G35),$E35,"")</f>
        <v/>
      </c>
      <c r="N35" s="48" t="str">
        <f>IF(AND($N$12&gt;=$F35,$N$12&lt;$G35),$E35,"")</f>
        <v/>
      </c>
      <c r="O35" s="84" t="str">
        <f>IF(AND($O$12&gt;=$F35,$O$12&lt;$G35),$E35,"")</f>
        <v/>
      </c>
      <c r="P35" s="82" t="str">
        <f>IF(AND($P$12&gt;=$F35,$P$12&lt;$G35),$E35,"")</f>
        <v/>
      </c>
      <c r="Q35" s="48" t="str">
        <f>IF(AND($Q$12&gt;=$F35,$Q$12&lt;$G35),$E35,"")</f>
        <v/>
      </c>
      <c r="R35" s="48" t="str">
        <f>IF(AND($R$12&gt;=$F35,$R$12&lt;$G35),$E35,"")</f>
        <v/>
      </c>
      <c r="S35" s="84" t="str">
        <f>IF(AND($S$12&gt;=$F35,$S$12&lt;$G35),$E35,"")</f>
        <v/>
      </c>
      <c r="T35" s="82" t="str">
        <f>IF(AND($T$12&gt;=$F35,$T$12&lt;$G35),$E35,"")</f>
        <v/>
      </c>
      <c r="U35" s="48" t="str">
        <f>IF(AND($U$12&gt;=$F35,$U$12&lt;$G35),$E35,"")</f>
        <v/>
      </c>
      <c r="V35" s="48" t="str">
        <f>IF(AND($V$12&gt;=$F35,$V$12&lt;$G35),$E35,"")</f>
        <v/>
      </c>
      <c r="W35" s="84" t="str">
        <f>IF(AND($W$12&gt;=$F35,$W$12&lt;$G35),$E35,"")</f>
        <v/>
      </c>
      <c r="X35" s="82" t="str">
        <f>IF(AND($X$12&gt;=$F35,$X$12&lt;$G35),$E35,"")</f>
        <v/>
      </c>
      <c r="Y35" s="48" t="str">
        <f>IF(AND($Y$12&gt;=$F35,$Y$12&lt;$G35),$E35,"")</f>
        <v/>
      </c>
      <c r="Z35" s="48" t="str">
        <f>IF(AND($Z$12&gt;=$F35,$Z$12&lt;$G35),$E35,"")</f>
        <v/>
      </c>
      <c r="AA35" s="84" t="str">
        <f>IF(AND($AA$12&gt;=$F35,$AA$12&lt;$G35),$E35,"")</f>
        <v/>
      </c>
      <c r="AB35" s="82" t="str">
        <f>IF(AND($AB$12&gt;=$F35,$AB$12&lt;$G35),$E35,"")</f>
        <v/>
      </c>
      <c r="AC35" s="48" t="str">
        <f>IF(AND($AC$12&gt;=$F35,$AC$12&lt;$G35),$E35,"")</f>
        <v/>
      </c>
      <c r="AD35" s="48" t="str">
        <f>IF(AND($AD$12&gt;=$F35,$AD$12&lt;$G35),$E35,"")</f>
        <v/>
      </c>
      <c r="AE35" s="84" t="str">
        <f>IF(AND($AE$12&gt;=$F35,$AE$12&lt;$G35),$E35,"")</f>
        <v/>
      </c>
      <c r="AF35" s="82" t="str">
        <f>IF(AND($AF$12&gt;=$F35,$AF$12&lt;$G35),$E35,"")</f>
        <v/>
      </c>
      <c r="AG35" s="48" t="str">
        <f>IF(AND($AG$12&gt;=$F35,$AG$12&lt;$G35),$E35,"")</f>
        <v/>
      </c>
      <c r="AH35" s="48" t="str">
        <f>IF(AND($AH$12&gt;=$F35,$AH$12&lt;$G35),$E35,"")</f>
        <v/>
      </c>
      <c r="AI35" s="84" t="str">
        <f>IF(AND($AI$12&gt;=$F35,$AI$12&lt;$G35),$E35,"")</f>
        <v/>
      </c>
      <c r="AJ35" s="82" t="str">
        <f>IF(AND($AJ$12&gt;=$F35,$AJ$12&lt;$G35),$E35,"")</f>
        <v/>
      </c>
      <c r="AK35" s="48" t="str">
        <f>IF(AND($AK$12&gt;=$F35,$AK$12&lt;$G35),$E35,"")</f>
        <v/>
      </c>
      <c r="AL35" s="48" t="str">
        <f>IF(AND($AL$12&gt;=$F35,$AL$12&lt;$G35),$E35,"")</f>
        <v/>
      </c>
      <c r="AM35" s="84" t="str">
        <f>IF(AND($AM$12&gt;=$F35,$AM$12&lt;$G35),$E35,"")</f>
        <v/>
      </c>
      <c r="AN35" s="82" t="str">
        <f>IF(AND($AN$12&gt;=$F35,$AN$12&lt;$G35),$E35,"")</f>
        <v/>
      </c>
      <c r="AO35" s="48" t="str">
        <f>IF(AND($AO$12&gt;=$F35,$AO$12&lt;$G35),$E35,"")</f>
        <v/>
      </c>
      <c r="AP35" s="48" t="str">
        <f>IF(AND($AP$12&gt;=$F35,$AP$12&lt;$G35),$E35,"")</f>
        <v/>
      </c>
      <c r="AQ35" s="84" t="str">
        <f>IF(AND($AQ$12&gt;=$F35,$AQ$12&lt;$G35),$E35,"")</f>
        <v/>
      </c>
      <c r="AR35" s="82" t="str">
        <f>IF(AND($AR$12&gt;=$F35,$AR$12&lt;$G35),$E35,"")</f>
        <v/>
      </c>
      <c r="AS35" s="48" t="str">
        <f>IF(AND($AS$12&gt;=$F35,$AS$12&lt;$G35),$E35,"")</f>
        <v/>
      </c>
      <c r="AT35" s="48" t="str">
        <f>IF(AND($AT$12&gt;=$F35,$AT$12&lt;$G35),$E35,"")</f>
        <v/>
      </c>
      <c r="AU35" s="84" t="str">
        <f>IF(AND($AU$12&gt;=$F35,$AU$12&lt;$G35),$E35,"")</f>
        <v/>
      </c>
      <c r="AV35" s="82" t="str">
        <f>IF(AND($AV$12&gt;=$F35,$AV$12&lt;$G35),$E35,"")</f>
        <v/>
      </c>
      <c r="AW35" s="48" t="str">
        <f>IF(AND($AW$12&gt;=$F35,$AW$12&lt;$G35),$E35,"")</f>
        <v/>
      </c>
      <c r="AX35" s="48" t="str">
        <f>IF(AND($AX$12&gt;=$F35,$AX$12&lt;$G35),$E35,"")</f>
        <v/>
      </c>
      <c r="AY35" s="84" t="str">
        <f>IF(AND($AY$12&gt;=$F35,$AY$12&lt;$G35),$E35,"")</f>
        <v/>
      </c>
      <c r="AZ35" s="82" t="str">
        <f>IF(AND($AZ$12&gt;=$F35,$AZ$12&lt;$G35),$E35,"")</f>
        <v/>
      </c>
      <c r="BA35" s="48" t="str">
        <f>IF(AND($BA$12&gt;=$F35,$BA$12&lt;$G35),$E35,"")</f>
        <v/>
      </c>
      <c r="BB35" s="48" t="str">
        <f>IF(AND($BB$12&gt;=$F35,$BB$12&lt;$G35),$E35,"")</f>
        <v/>
      </c>
      <c r="BC35" s="84" t="str">
        <f>IF(AND($BC$12&gt;=$F35,$BC$12&lt;$G35),$E35,"")</f>
        <v/>
      </c>
      <c r="BD35" s="82" t="str">
        <f>IF(AND($BD$12&gt;=$F35,$BD$12&lt;$G35),$E35,"")</f>
        <v/>
      </c>
      <c r="BE35" s="48" t="str">
        <f>IF(AND($BE$12&gt;=$F35,$BE$12&lt;$G35),$E35,"")</f>
        <v/>
      </c>
      <c r="BF35" s="48" t="str">
        <f>IF(AND($BF$12&gt;=$F35,$BF$12&lt;$G35),$E35,"")</f>
        <v/>
      </c>
      <c r="BG35" s="84" t="str">
        <f>IF(AND($BG$12&gt;=$F35,$BG$12&lt;$G35),$E35,"")</f>
        <v/>
      </c>
      <c r="BH35" s="87" t="str">
        <f>IF(AND($BH$12&gt;=$F35,$BH$12&lt;$G35),$E35,"")</f>
        <v/>
      </c>
      <c r="BI35" s="49" t="str">
        <f>IF(AND($BI$12&gt;=$F35,$BI$12&lt;$G35),$E35,"")</f>
        <v/>
      </c>
      <c r="BJ35" s="49" t="str">
        <f>IF(AND($BJ$12&gt;=$F35,$BJ$12&lt;$G35),$E35,"")</f>
        <v/>
      </c>
      <c r="BK35" s="89" t="str">
        <f>IF(AND($BK$12&gt;=$F35,$BK$12&lt;$G35),$E35,"")</f>
        <v/>
      </c>
      <c r="BL35" s="87" t="str">
        <f>IF(AND($BL$12&gt;=$F35,$BL$12&lt;$G35),$E35,"")</f>
        <v/>
      </c>
      <c r="BM35" s="49" t="str">
        <f>IF(AND($BM$12&gt;=$F35,$BM$12&lt;$G35),$E35,"")</f>
        <v/>
      </c>
      <c r="BN35" s="49" t="str">
        <f>IF(AND($BN$12&gt;=$F35,$BN$12&lt;$G35),$E35,"")</f>
        <v/>
      </c>
      <c r="BO35" s="89" t="str">
        <f>IF(AND($BO$12&gt;=$F35,$BO$12&lt;$G35),$E35,"")</f>
        <v/>
      </c>
      <c r="BP35" s="87" t="str">
        <f>IF(AND($BP$12&gt;=$F35,$BP$12&lt;$G35),$E35,"")</f>
        <v/>
      </c>
      <c r="BQ35" s="49" t="str">
        <f>IF(AND($BQ$12&gt;=$F35,$BQ$12&lt;$G35),$E35,"")</f>
        <v/>
      </c>
      <c r="BR35" s="49" t="str">
        <f>IF(AND($BR$12&gt;=$F35,$BR$12&lt;$G35),$E35,"")</f>
        <v/>
      </c>
      <c r="BS35" s="89" t="str">
        <f>IF(AND($BS$12&gt;=$F35,$BS$12&lt;$G35),$E35,"")</f>
        <v/>
      </c>
      <c r="BT35" s="87" t="str">
        <f>IF(AND($BT$12&gt;=$F35,$BT$12&lt;$G35),$E35,"")</f>
        <v/>
      </c>
    </row>
    <row r="36" spans="2:72" s="93" customFormat="1" hidden="1">
      <c r="B36" s="81" t="str">
        <f>Weekly!B28</f>
        <v>1228</v>
      </c>
      <c r="C36" s="90" t="str">
        <f>Weekly!C28</f>
        <v>Jared</v>
      </c>
      <c r="D36" s="90" t="str">
        <f>Weekly!D32</f>
        <v>Shue</v>
      </c>
      <c r="E36" s="91" t="str">
        <f>VLOOKUP(B36,Team!$B$4:$E$183,4,FALSE)</f>
        <v>HH</v>
      </c>
      <c r="F36" s="92" t="str">
        <f>Weekly!G28</f>
        <v/>
      </c>
      <c r="G36" s="92" t="str">
        <f>Weekly!H28</f>
        <v/>
      </c>
      <c r="H36" s="48" t="str">
        <f>IF(AND($H$12&gt;=$F36,$H$12&lt;$G36),$E36,"")</f>
        <v/>
      </c>
      <c r="I36" s="48" t="str">
        <f>IF(AND($I$12&gt;=$F36,$I$12&lt;$G36),$E36,"")</f>
        <v/>
      </c>
      <c r="J36" s="48" t="str">
        <f>IF(AND($J$12&gt;=$F36,$J$12&lt;$G36),$E36,"")</f>
        <v/>
      </c>
      <c r="K36" s="84" t="str">
        <f>IF(AND($K$12&gt;=$F36,$K$12&lt;$G36),$E36,"")</f>
        <v/>
      </c>
      <c r="L36" s="82" t="str">
        <f>IF(AND($L$12&gt;=$F36,$L$12&lt;$G36),$E36,"")</f>
        <v/>
      </c>
      <c r="M36" s="48" t="str">
        <f>IF(AND($M$12&gt;=$F36,$M$12&lt;$G36),$E36,"")</f>
        <v/>
      </c>
      <c r="N36" s="48" t="str">
        <f>IF(AND($N$12&gt;=$F36,$N$12&lt;$G36),$E36,"")</f>
        <v/>
      </c>
      <c r="O36" s="84" t="str">
        <f>IF(AND($O$12&gt;=$F36,$O$12&lt;$G36),$E36,"")</f>
        <v/>
      </c>
      <c r="P36" s="82" t="str">
        <f>IF(AND($P$12&gt;=$F36,$P$12&lt;$G36),$E36,"")</f>
        <v/>
      </c>
      <c r="Q36" s="48" t="str">
        <f>IF(AND($Q$12&gt;=$F36,$Q$12&lt;$G36),$E36,"")</f>
        <v/>
      </c>
      <c r="R36" s="48" t="str">
        <f>IF(AND($R$12&gt;=$F36,$R$12&lt;$G36),$E36,"")</f>
        <v/>
      </c>
      <c r="S36" s="84" t="str">
        <f>IF(AND($S$12&gt;=$F36,$S$12&lt;$G36),$E36,"")</f>
        <v/>
      </c>
      <c r="T36" s="82" t="str">
        <f>IF(AND($T$12&gt;=$F36,$T$12&lt;$G36),$E36,"")</f>
        <v/>
      </c>
      <c r="U36" s="48" t="str">
        <f>IF(AND($U$12&gt;=$F36,$U$12&lt;$G36),$E36,"")</f>
        <v/>
      </c>
      <c r="V36" s="48" t="str">
        <f>IF(AND($V$12&gt;=$F36,$V$12&lt;$G36),$E36,"")</f>
        <v/>
      </c>
      <c r="W36" s="84" t="str">
        <f>IF(AND($W$12&gt;=$F36,$W$12&lt;$G36),$E36,"")</f>
        <v/>
      </c>
      <c r="X36" s="82" t="str">
        <f>IF(AND($X$12&gt;=$F36,$X$12&lt;$G36),$E36,"")</f>
        <v/>
      </c>
      <c r="Y36" s="48" t="str">
        <f>IF(AND($Y$12&gt;=$F36,$Y$12&lt;$G36),$E36,"")</f>
        <v/>
      </c>
      <c r="Z36" s="48" t="str">
        <f>IF(AND($Z$12&gt;=$F36,$Z$12&lt;$G36),$E36,"")</f>
        <v/>
      </c>
      <c r="AA36" s="84" t="str">
        <f>IF(AND($AA$12&gt;=$F36,$AA$12&lt;$G36),$E36,"")</f>
        <v/>
      </c>
      <c r="AB36" s="82" t="str">
        <f>IF(AND($AB$12&gt;=$F36,$AB$12&lt;$G36),$E36,"")</f>
        <v/>
      </c>
      <c r="AC36" s="48" t="str">
        <f>IF(AND($AC$12&gt;=$F36,$AC$12&lt;$G36),$E36,"")</f>
        <v/>
      </c>
      <c r="AD36" s="48" t="str">
        <f>IF(AND($AD$12&gt;=$F36,$AD$12&lt;$G36),$E36,"")</f>
        <v/>
      </c>
      <c r="AE36" s="84" t="str">
        <f>IF(AND($AE$12&gt;=$F36,$AE$12&lt;$G36),$E36,"")</f>
        <v/>
      </c>
      <c r="AF36" s="82" t="str">
        <f>IF(AND($AF$12&gt;=$F36,$AF$12&lt;$G36),$E36,"")</f>
        <v/>
      </c>
      <c r="AG36" s="48" t="str">
        <f>IF(AND($AG$12&gt;=$F36,$AG$12&lt;$G36),$E36,"")</f>
        <v/>
      </c>
      <c r="AH36" s="48" t="str">
        <f>IF(AND($AH$12&gt;=$F36,$AH$12&lt;$G36),$E36,"")</f>
        <v/>
      </c>
      <c r="AI36" s="84" t="str">
        <f>IF(AND($AI$12&gt;=$F36,$AI$12&lt;$G36),$E36,"")</f>
        <v/>
      </c>
      <c r="AJ36" s="82" t="str">
        <f>IF(AND($AJ$12&gt;=$F36,$AJ$12&lt;$G36),$E36,"")</f>
        <v/>
      </c>
      <c r="AK36" s="48" t="str">
        <f>IF(AND($AK$12&gt;=$F36,$AK$12&lt;$G36),$E36,"")</f>
        <v/>
      </c>
      <c r="AL36" s="48" t="str">
        <f>IF(AND($AL$12&gt;=$F36,$AL$12&lt;$G36),$E36,"")</f>
        <v/>
      </c>
      <c r="AM36" s="84" t="str">
        <f>IF(AND($AM$12&gt;=$F36,$AM$12&lt;$G36),$E36,"")</f>
        <v/>
      </c>
      <c r="AN36" s="82" t="str">
        <f>IF(AND($AN$12&gt;=$F36,$AN$12&lt;$G36),$E36,"")</f>
        <v/>
      </c>
      <c r="AO36" s="48" t="str">
        <f>IF(AND($AO$12&gt;=$F36,$AO$12&lt;$G36),$E36,"")</f>
        <v/>
      </c>
      <c r="AP36" s="48" t="str">
        <f>IF(AND($AP$12&gt;=$F36,$AP$12&lt;$G36),$E36,"")</f>
        <v/>
      </c>
      <c r="AQ36" s="84" t="str">
        <f>IF(AND($AQ$12&gt;=$F36,$AQ$12&lt;$G36),$E36,"")</f>
        <v/>
      </c>
      <c r="AR36" s="82" t="str">
        <f>IF(AND($AR$12&gt;=$F36,$AR$12&lt;$G36),$E36,"")</f>
        <v/>
      </c>
      <c r="AS36" s="48" t="str">
        <f>IF(AND($AS$12&gt;=$F36,$AS$12&lt;$G36),$E36,"")</f>
        <v/>
      </c>
      <c r="AT36" s="48" t="str">
        <f>IF(AND($AT$12&gt;=$F36,$AT$12&lt;$G36),$E36,"")</f>
        <v/>
      </c>
      <c r="AU36" s="84" t="str">
        <f>IF(AND($AU$12&gt;=$F36,$AU$12&lt;$G36),$E36,"")</f>
        <v/>
      </c>
      <c r="AV36" s="82" t="str">
        <f>IF(AND($AV$12&gt;=$F36,$AV$12&lt;$G36),$E36,"")</f>
        <v/>
      </c>
      <c r="AW36" s="48" t="str">
        <f>IF(AND($AW$12&gt;=$F36,$AW$12&lt;$G36),$E36,"")</f>
        <v/>
      </c>
      <c r="AX36" s="48" t="str">
        <f>IF(AND($AX$12&gt;=$F36,$AX$12&lt;$G36),$E36,"")</f>
        <v/>
      </c>
      <c r="AY36" s="84" t="str">
        <f>IF(AND($AY$12&gt;=$F36,$AY$12&lt;$G36),$E36,"")</f>
        <v/>
      </c>
      <c r="AZ36" s="82" t="str">
        <f>IF(AND($AZ$12&gt;=$F36,$AZ$12&lt;$G36),$E36,"")</f>
        <v/>
      </c>
      <c r="BA36" s="48" t="str">
        <f>IF(AND($BA$12&gt;=$F36,$BA$12&lt;$G36),$E36,"")</f>
        <v/>
      </c>
      <c r="BB36" s="48" t="str">
        <f>IF(AND($BB$12&gt;=$F36,$BB$12&lt;$G36),$E36,"")</f>
        <v/>
      </c>
      <c r="BC36" s="84" t="str">
        <f>IF(AND($BC$12&gt;=$F36,$BC$12&lt;$G36),$E36,"")</f>
        <v/>
      </c>
      <c r="BD36" s="82" t="str">
        <f>IF(AND($BD$12&gt;=$F36,$BD$12&lt;$G36),$E36,"")</f>
        <v/>
      </c>
      <c r="BE36" s="48" t="str">
        <f>IF(AND($BE$12&gt;=$F36,$BE$12&lt;$G36),$E36,"")</f>
        <v/>
      </c>
      <c r="BF36" s="48" t="str">
        <f>IF(AND($BF$12&gt;=$F36,$BF$12&lt;$G36),$E36,"")</f>
        <v/>
      </c>
      <c r="BG36" s="84" t="str">
        <f>IF(AND($BG$12&gt;=$F36,$BG$12&lt;$G36),$E36,"")</f>
        <v/>
      </c>
      <c r="BH36" s="87" t="str">
        <f>IF(AND($BH$12&gt;=$F36,$BH$12&lt;$G36),$E36,"")</f>
        <v/>
      </c>
      <c r="BI36" s="49" t="str">
        <f>IF(AND($BI$12&gt;=$F36,$BI$12&lt;$G36),$E36,"")</f>
        <v/>
      </c>
      <c r="BJ36" s="49" t="str">
        <f>IF(AND($BJ$12&gt;=$F36,$BJ$12&lt;$G36),$E36,"")</f>
        <v/>
      </c>
      <c r="BK36" s="89" t="str">
        <f>IF(AND($BK$12&gt;=$F36,$BK$12&lt;$G36),$E36,"")</f>
        <v/>
      </c>
      <c r="BL36" s="87" t="str">
        <f>IF(AND($BL$12&gt;=$F36,$BL$12&lt;$G36),$E36,"")</f>
        <v/>
      </c>
      <c r="BM36" s="49" t="str">
        <f>IF(AND($BM$12&gt;=$F36,$BM$12&lt;$G36),$E36,"")</f>
        <v/>
      </c>
      <c r="BN36" s="49" t="str">
        <f>IF(AND($BN$12&gt;=$F36,$BN$12&lt;$G36),$E36,"")</f>
        <v/>
      </c>
      <c r="BO36" s="89" t="str">
        <f>IF(AND($BO$12&gt;=$F36,$BO$12&lt;$G36),$E36,"")</f>
        <v/>
      </c>
      <c r="BP36" s="87" t="str">
        <f>IF(AND($BP$12&gt;=$F36,$BP$12&lt;$G36),$E36,"")</f>
        <v/>
      </c>
      <c r="BQ36" s="49" t="str">
        <f>IF(AND($BQ$12&gt;=$F36,$BQ$12&lt;$G36),$E36,"")</f>
        <v/>
      </c>
      <c r="BR36" s="49" t="str">
        <f>IF(AND($BR$12&gt;=$F36,$BR$12&lt;$G36),$E36,"")</f>
        <v/>
      </c>
      <c r="BS36" s="89" t="str">
        <f>IF(AND($BS$12&gt;=$F36,$BS$12&lt;$G36),$E36,"")</f>
        <v/>
      </c>
      <c r="BT36" s="87" t="str">
        <f>IF(AND($BT$12&gt;=$F36,$BT$12&lt;$G36),$E36,"")</f>
        <v/>
      </c>
    </row>
    <row r="37" spans="2:72" s="93" customFormat="1" hidden="1">
      <c r="B37" s="81" t="str">
        <f>Weekly!B29</f>
        <v>1196</v>
      </c>
      <c r="C37" s="90" t="str">
        <f>Weekly!C29</f>
        <v>Jessica</v>
      </c>
      <c r="D37" s="90">
        <f>Weekly!D66</f>
        <v>0</v>
      </c>
      <c r="E37" s="91" t="str">
        <f>VLOOKUP(B37,Team!$B$4:$E$183,4,FALSE)</f>
        <v>SPV</v>
      </c>
      <c r="F37" s="92" t="str">
        <f>Weekly!G29</f>
        <v/>
      </c>
      <c r="G37" s="92" t="str">
        <f>Weekly!H29</f>
        <v/>
      </c>
      <c r="H37" s="48" t="str">
        <f>IF(AND($H$12&gt;=$F37,$H$12&lt;$G37),$E37,"")</f>
        <v/>
      </c>
      <c r="I37" s="48" t="str">
        <f>IF(AND($I$12&gt;=$F37,$I$12&lt;$G37),$E37,"")</f>
        <v/>
      </c>
      <c r="J37" s="48" t="str">
        <f>IF(AND($J$12&gt;=$F37,$J$12&lt;$G37),$E37,"")</f>
        <v/>
      </c>
      <c r="K37" s="84" t="str">
        <f>IF(AND($K$12&gt;=$F37,$K$12&lt;$G37),$E37,"")</f>
        <v/>
      </c>
      <c r="L37" s="82" t="str">
        <f>IF(AND($L$12&gt;=$F37,$L$12&lt;$G37),$E37,"")</f>
        <v/>
      </c>
      <c r="M37" s="48" t="str">
        <f>IF(AND($M$12&gt;=$F37,$M$12&lt;$G37),$E37,"")</f>
        <v/>
      </c>
      <c r="N37" s="48" t="str">
        <f>IF(AND($N$12&gt;=$F37,$N$12&lt;$G37),$E37,"")</f>
        <v/>
      </c>
      <c r="O37" s="84" t="str">
        <f>IF(AND($O$12&gt;=$F37,$O$12&lt;$G37),$E37,"")</f>
        <v/>
      </c>
      <c r="P37" s="82" t="str">
        <f>IF(AND($P$12&gt;=$F37,$P$12&lt;$G37),$E37,"")</f>
        <v/>
      </c>
      <c r="Q37" s="48" t="str">
        <f>IF(AND($Q$12&gt;=$F37,$Q$12&lt;$G37),$E37,"")</f>
        <v/>
      </c>
      <c r="R37" s="48" t="str">
        <f>IF(AND($R$12&gt;=$F37,$R$12&lt;$G37),$E37,"")</f>
        <v/>
      </c>
      <c r="S37" s="84" t="str">
        <f>IF(AND($S$12&gt;=$F37,$S$12&lt;$G37),$E37,"")</f>
        <v/>
      </c>
      <c r="T37" s="82" t="str">
        <f>IF(AND($T$12&gt;=$F37,$T$12&lt;$G37),$E37,"")</f>
        <v/>
      </c>
      <c r="U37" s="48" t="str">
        <f>IF(AND($U$12&gt;=$F37,$U$12&lt;$G37),$E37,"")</f>
        <v/>
      </c>
      <c r="V37" s="48" t="str">
        <f>IF(AND($V$12&gt;=$F37,$V$12&lt;$G37),$E37,"")</f>
        <v/>
      </c>
      <c r="W37" s="84" t="str">
        <f>IF(AND($W$12&gt;=$F37,$W$12&lt;$G37),$E37,"")</f>
        <v/>
      </c>
      <c r="X37" s="82" t="str">
        <f>IF(AND($X$12&gt;=$F37,$X$12&lt;$G37),$E37,"")</f>
        <v/>
      </c>
      <c r="Y37" s="48" t="str">
        <f>IF(AND($Y$12&gt;=$F37,$Y$12&lt;$G37),$E37,"")</f>
        <v/>
      </c>
      <c r="Z37" s="48" t="str">
        <f>IF(AND($Z$12&gt;=$F37,$Z$12&lt;$G37),$E37,"")</f>
        <v/>
      </c>
      <c r="AA37" s="84" t="str">
        <f>IF(AND($AA$12&gt;=$F37,$AA$12&lt;$G37),$E37,"")</f>
        <v/>
      </c>
      <c r="AB37" s="82" t="str">
        <f>IF(AND($AB$12&gt;=$F37,$AB$12&lt;$G37),$E37,"")</f>
        <v/>
      </c>
      <c r="AC37" s="48" t="str">
        <f>IF(AND($AC$12&gt;=$F37,$AC$12&lt;$G37),$E37,"")</f>
        <v/>
      </c>
      <c r="AD37" s="48" t="str">
        <f>IF(AND($AD$12&gt;=$F37,$AD$12&lt;$G37),$E37,"")</f>
        <v/>
      </c>
      <c r="AE37" s="84" t="str">
        <f>IF(AND($AE$12&gt;=$F37,$AE$12&lt;$G37),$E37,"")</f>
        <v/>
      </c>
      <c r="AF37" s="82" t="str">
        <f>IF(AND($AF$12&gt;=$F37,$AF$12&lt;$G37),$E37,"")</f>
        <v/>
      </c>
      <c r="AG37" s="48" t="str">
        <f>IF(AND($AG$12&gt;=$F37,$AG$12&lt;$G37),$E37,"")</f>
        <v/>
      </c>
      <c r="AH37" s="48" t="str">
        <f>IF(AND($AH$12&gt;=$F37,$AH$12&lt;$G37),$E37,"")</f>
        <v/>
      </c>
      <c r="AI37" s="84" t="str">
        <f>IF(AND($AI$12&gt;=$F37,$AI$12&lt;$G37),$E37,"")</f>
        <v/>
      </c>
      <c r="AJ37" s="82" t="str">
        <f>IF(AND($AJ$12&gt;=$F37,$AJ$12&lt;$G37),$E37,"")</f>
        <v/>
      </c>
      <c r="AK37" s="48" t="str">
        <f>IF(AND($AK$12&gt;=$F37,$AK$12&lt;$G37),$E37,"")</f>
        <v/>
      </c>
      <c r="AL37" s="48" t="str">
        <f>IF(AND($AL$12&gt;=$F37,$AL$12&lt;$G37),$E37,"")</f>
        <v/>
      </c>
      <c r="AM37" s="84" t="str">
        <f>IF(AND($AM$12&gt;=$F37,$AM$12&lt;$G37),$E37,"")</f>
        <v/>
      </c>
      <c r="AN37" s="82" t="str">
        <f>IF(AND($AN$12&gt;=$F37,$AN$12&lt;$G37),$E37,"")</f>
        <v/>
      </c>
      <c r="AO37" s="48" t="str">
        <f>IF(AND($AO$12&gt;=$F37,$AO$12&lt;$G37),$E37,"")</f>
        <v/>
      </c>
      <c r="AP37" s="48" t="str">
        <f>IF(AND($AP$12&gt;=$F37,$AP$12&lt;$G37),$E37,"")</f>
        <v/>
      </c>
      <c r="AQ37" s="84" t="str">
        <f>IF(AND($AQ$12&gt;=$F37,$AQ$12&lt;$G37),$E37,"")</f>
        <v/>
      </c>
      <c r="AR37" s="82" t="str">
        <f>IF(AND($AR$12&gt;=$F37,$AR$12&lt;$G37),$E37,"")</f>
        <v/>
      </c>
      <c r="AS37" s="48" t="str">
        <f>IF(AND($AS$12&gt;=$F37,$AS$12&lt;$G37),$E37,"")</f>
        <v/>
      </c>
      <c r="AT37" s="48" t="str">
        <f>IF(AND($AT$12&gt;=$F37,$AT$12&lt;$G37),$E37,"")</f>
        <v/>
      </c>
      <c r="AU37" s="84" t="str">
        <f>IF(AND($AU$12&gt;=$F37,$AU$12&lt;$G37),$E37,"")</f>
        <v/>
      </c>
      <c r="AV37" s="82" t="str">
        <f>IF(AND($AV$12&gt;=$F37,$AV$12&lt;$G37),$E37,"")</f>
        <v/>
      </c>
      <c r="AW37" s="48" t="str">
        <f>IF(AND($AW$12&gt;=$F37,$AW$12&lt;$G37),$E37,"")</f>
        <v/>
      </c>
      <c r="AX37" s="48" t="str">
        <f>IF(AND($AX$12&gt;=$F37,$AX$12&lt;$G37),$E37,"")</f>
        <v/>
      </c>
      <c r="AY37" s="84" t="str">
        <f>IF(AND($AY$12&gt;=$F37,$AY$12&lt;$G37),$E37,"")</f>
        <v/>
      </c>
      <c r="AZ37" s="82" t="str">
        <f>IF(AND($AZ$12&gt;=$F37,$AZ$12&lt;$G37),$E37,"")</f>
        <v/>
      </c>
      <c r="BA37" s="48" t="str">
        <f>IF(AND($BA$12&gt;=$F37,$BA$12&lt;$G37),$E37,"")</f>
        <v/>
      </c>
      <c r="BB37" s="48" t="str">
        <f>IF(AND($BB$12&gt;=$F37,$BB$12&lt;$G37),$E37,"")</f>
        <v/>
      </c>
      <c r="BC37" s="84" t="str">
        <f>IF(AND($BC$12&gt;=$F37,$BC$12&lt;$G37),$E37,"")</f>
        <v/>
      </c>
      <c r="BD37" s="82" t="str">
        <f>IF(AND($BD$12&gt;=$F37,$BD$12&lt;$G37),$E37,"")</f>
        <v/>
      </c>
      <c r="BE37" s="48" t="str">
        <f>IF(AND($BE$12&gt;=$F37,$BE$12&lt;$G37),$E37,"")</f>
        <v/>
      </c>
      <c r="BF37" s="48" t="str">
        <f>IF(AND($BF$12&gt;=$F37,$BF$12&lt;$G37),$E37,"")</f>
        <v/>
      </c>
      <c r="BG37" s="84" t="str">
        <f>IF(AND($BG$12&gt;=$F37,$BG$12&lt;$G37),$E37,"")</f>
        <v/>
      </c>
      <c r="BH37" s="87" t="str">
        <f>IF(AND($BH$12&gt;=$F37,$BH$12&lt;$G37),$E37,"")</f>
        <v/>
      </c>
      <c r="BI37" s="49" t="str">
        <f>IF(AND($BI$12&gt;=$F37,$BI$12&lt;$G37),$E37,"")</f>
        <v/>
      </c>
      <c r="BJ37" s="49" t="str">
        <f>IF(AND($BJ$12&gt;=$F37,$BJ$12&lt;$G37),$E37,"")</f>
        <v/>
      </c>
      <c r="BK37" s="89" t="str">
        <f>IF(AND($BK$12&gt;=$F37,$BK$12&lt;$G37),$E37,"")</f>
        <v/>
      </c>
      <c r="BL37" s="87" t="str">
        <f>IF(AND($BL$12&gt;=$F37,$BL$12&lt;$G37),$E37,"")</f>
        <v/>
      </c>
      <c r="BM37" s="49" t="str">
        <f>IF(AND($BM$12&gt;=$F37,$BM$12&lt;$G37),$E37,"")</f>
        <v/>
      </c>
      <c r="BN37" s="49" t="str">
        <f>IF(AND($BN$12&gt;=$F37,$BN$12&lt;$G37),$E37,"")</f>
        <v/>
      </c>
      <c r="BO37" s="89" t="str">
        <f>IF(AND($BO$12&gt;=$F37,$BO$12&lt;$G37),$E37,"")</f>
        <v/>
      </c>
      <c r="BP37" s="87" t="str">
        <f>IF(AND($BP$12&gt;=$F37,$BP$12&lt;$G37),$E37,"")</f>
        <v/>
      </c>
      <c r="BQ37" s="49" t="str">
        <f>IF(AND($BQ$12&gt;=$F37,$BQ$12&lt;$G37),$E37,"")</f>
        <v/>
      </c>
      <c r="BR37" s="49" t="str">
        <f>IF(AND($BR$12&gt;=$F37,$BR$12&lt;$G37),$E37,"")</f>
        <v/>
      </c>
      <c r="BS37" s="89" t="str">
        <f>IF(AND($BS$12&gt;=$F37,$BS$12&lt;$G37),$E37,"")</f>
        <v/>
      </c>
      <c r="BT37" s="87" t="str">
        <f>IF(AND($BT$12&gt;=$F37,$BT$12&lt;$G37),$E37,"")</f>
        <v/>
      </c>
    </row>
    <row r="38" spans="2:72" s="93" customFormat="1" hidden="1">
      <c r="B38" s="81">
        <f>Weekly!B67</f>
        <v>0</v>
      </c>
      <c r="C38" s="90">
        <f>Weekly!C67</f>
        <v>0</v>
      </c>
      <c r="D38" s="90">
        <f>Weekly!D67</f>
        <v>0</v>
      </c>
      <c r="E38" s="91" t="e">
        <f>VLOOKUP(B38,Team!$B$4:$E$183,4,FALSE)</f>
        <v>#N/A</v>
      </c>
      <c r="F38" s="92" t="str">
        <f>Weekly!G67</f>
        <v/>
      </c>
      <c r="G38" s="92" t="str">
        <f>Weekly!H67</f>
        <v/>
      </c>
      <c r="H38" s="48" t="str">
        <f>IF(AND($H$12&gt;=$F38,$H$12&lt;$G38),$E38,"")</f>
        <v/>
      </c>
      <c r="I38" s="48" t="str">
        <f>IF(AND($I$12&gt;=$F38,$I$12&lt;$G38),$E38,"")</f>
        <v/>
      </c>
      <c r="J38" s="48" t="str">
        <f>IF(AND($J$12&gt;=$F38,$J$12&lt;$G38),$E38,"")</f>
        <v/>
      </c>
      <c r="K38" s="84" t="str">
        <f>IF(AND($K$12&gt;=$F38,$K$12&lt;$G38),$E38,"")</f>
        <v/>
      </c>
      <c r="L38" s="82" t="str">
        <f>IF(AND($L$12&gt;=$F38,$L$12&lt;$G38),$E38,"")</f>
        <v/>
      </c>
      <c r="M38" s="48" t="str">
        <f>IF(AND($M$12&gt;=$F38,$M$12&lt;$G38),$E38,"")</f>
        <v/>
      </c>
      <c r="N38" s="48" t="str">
        <f>IF(AND($N$12&gt;=$F38,$N$12&lt;$G38),$E38,"")</f>
        <v/>
      </c>
      <c r="O38" s="84" t="str">
        <f>IF(AND($O$12&gt;=$F38,$O$12&lt;$G38),$E38,"")</f>
        <v/>
      </c>
      <c r="P38" s="82" t="str">
        <f>IF(AND($P$12&gt;=$F38,$P$12&lt;$G38),$E38,"")</f>
        <v/>
      </c>
      <c r="Q38" s="48" t="str">
        <f>IF(AND($Q$12&gt;=$F38,$Q$12&lt;$G38),$E38,"")</f>
        <v/>
      </c>
      <c r="R38" s="48" t="str">
        <f>IF(AND($R$12&gt;=$F38,$R$12&lt;$G38),$E38,"")</f>
        <v/>
      </c>
      <c r="S38" s="84" t="str">
        <f>IF(AND($S$12&gt;=$F38,$S$12&lt;$G38),$E38,"")</f>
        <v/>
      </c>
      <c r="T38" s="82" t="str">
        <f>IF(AND($T$12&gt;=$F38,$T$12&lt;$G38),$E38,"")</f>
        <v/>
      </c>
      <c r="U38" s="48" t="str">
        <f>IF(AND($U$12&gt;=$F38,$U$12&lt;$G38),$E38,"")</f>
        <v/>
      </c>
      <c r="V38" s="48" t="str">
        <f>IF(AND($V$12&gt;=$F38,$V$12&lt;$G38),$E38,"")</f>
        <v/>
      </c>
      <c r="W38" s="84" t="str">
        <f>IF(AND($W$12&gt;=$F38,$W$12&lt;$G38),$E38,"")</f>
        <v/>
      </c>
      <c r="X38" s="82" t="str">
        <f>IF(AND($X$12&gt;=$F38,$X$12&lt;$G38),$E38,"")</f>
        <v/>
      </c>
      <c r="Y38" s="48" t="str">
        <f>IF(AND($Y$12&gt;=$F38,$Y$12&lt;$G38),$E38,"")</f>
        <v/>
      </c>
      <c r="Z38" s="48" t="str">
        <f>IF(AND($Z$12&gt;=$F38,$Z$12&lt;$G38),$E38,"")</f>
        <v/>
      </c>
      <c r="AA38" s="84" t="str">
        <f>IF(AND($AA$12&gt;=$F38,$AA$12&lt;$G38),$E38,"")</f>
        <v/>
      </c>
      <c r="AB38" s="82" t="str">
        <f>IF(AND($AB$12&gt;=$F38,$AB$12&lt;$G38),$E38,"")</f>
        <v/>
      </c>
      <c r="AC38" s="48" t="str">
        <f>IF(AND($AC$12&gt;=$F38,$AC$12&lt;$G38),$E38,"")</f>
        <v/>
      </c>
      <c r="AD38" s="48" t="str">
        <f>IF(AND($AD$12&gt;=$F38,$AD$12&lt;$G38),$E38,"")</f>
        <v/>
      </c>
      <c r="AE38" s="84" t="str">
        <f>IF(AND($AE$12&gt;=$F38,$AE$12&lt;$G38),$E38,"")</f>
        <v/>
      </c>
      <c r="AF38" s="82" t="str">
        <f>IF(AND($AF$12&gt;=$F38,$AF$12&lt;$G38),$E38,"")</f>
        <v/>
      </c>
      <c r="AG38" s="48" t="str">
        <f>IF(AND($AG$12&gt;=$F38,$AG$12&lt;$G38),$E38,"")</f>
        <v/>
      </c>
      <c r="AH38" s="48" t="str">
        <f>IF(AND($AH$12&gt;=$F38,$AH$12&lt;$G38),$E38,"")</f>
        <v/>
      </c>
      <c r="AI38" s="84" t="str">
        <f>IF(AND($AI$12&gt;=$F38,$AI$12&lt;$G38),$E38,"")</f>
        <v/>
      </c>
      <c r="AJ38" s="82" t="str">
        <f>IF(AND($AJ$12&gt;=$F38,$AJ$12&lt;$G38),$E38,"")</f>
        <v/>
      </c>
      <c r="AK38" s="48" t="str">
        <f>IF(AND($AK$12&gt;=$F38,$AK$12&lt;$G38),$E38,"")</f>
        <v/>
      </c>
      <c r="AL38" s="48" t="str">
        <f>IF(AND($AL$12&gt;=$F38,$AL$12&lt;$G38),$E38,"")</f>
        <v/>
      </c>
      <c r="AM38" s="84" t="str">
        <f>IF(AND($AM$12&gt;=$F38,$AM$12&lt;$G38),$E38,"")</f>
        <v/>
      </c>
      <c r="AN38" s="82" t="str">
        <f>IF(AND($AN$12&gt;=$F38,$AN$12&lt;$G38),$E38,"")</f>
        <v/>
      </c>
      <c r="AO38" s="48" t="str">
        <f>IF(AND($AO$12&gt;=$F38,$AO$12&lt;$G38),$E38,"")</f>
        <v/>
      </c>
      <c r="AP38" s="48" t="str">
        <f>IF(AND($AP$12&gt;=$F38,$AP$12&lt;$G38),$E38,"")</f>
        <v/>
      </c>
      <c r="AQ38" s="84" t="str">
        <f>IF(AND($AQ$12&gt;=$F38,$AQ$12&lt;$G38),$E38,"")</f>
        <v/>
      </c>
      <c r="AR38" s="82" t="str">
        <f>IF(AND($AR$12&gt;=$F38,$AR$12&lt;$G38),$E38,"")</f>
        <v/>
      </c>
      <c r="AS38" s="48" t="str">
        <f>IF(AND($AS$12&gt;=$F38,$AS$12&lt;$G38),$E38,"")</f>
        <v/>
      </c>
      <c r="AT38" s="48" t="str">
        <f>IF(AND($AT$12&gt;=$F38,$AT$12&lt;$G38),$E38,"")</f>
        <v/>
      </c>
      <c r="AU38" s="84" t="str">
        <f>IF(AND($AU$12&gt;=$F38,$AU$12&lt;$G38),$E38,"")</f>
        <v/>
      </c>
      <c r="AV38" s="82" t="str">
        <f>IF(AND($AV$12&gt;=$F38,$AV$12&lt;$G38),$E38,"")</f>
        <v/>
      </c>
      <c r="AW38" s="48" t="str">
        <f>IF(AND($AW$12&gt;=$F38,$AW$12&lt;$G38),$E38,"")</f>
        <v/>
      </c>
      <c r="AX38" s="48" t="str">
        <f>IF(AND($AX$12&gt;=$F38,$AX$12&lt;$G38),$E38,"")</f>
        <v/>
      </c>
      <c r="AY38" s="84" t="str">
        <f>IF(AND($AY$12&gt;=$F38,$AY$12&lt;$G38),$E38,"")</f>
        <v/>
      </c>
      <c r="AZ38" s="82" t="str">
        <f>IF(AND($AZ$12&gt;=$F38,$AZ$12&lt;$G38),$E38,"")</f>
        <v/>
      </c>
      <c r="BA38" s="48" t="str">
        <f>IF(AND($BA$12&gt;=$F38,$BA$12&lt;$G38),$E38,"")</f>
        <v/>
      </c>
      <c r="BB38" s="48" t="str">
        <f>IF(AND($BB$12&gt;=$F38,$BB$12&lt;$G38),$E38,"")</f>
        <v/>
      </c>
      <c r="BC38" s="84" t="str">
        <f>IF(AND($BC$12&gt;=$F38,$BC$12&lt;$G38),$E38,"")</f>
        <v/>
      </c>
      <c r="BD38" s="82" t="str">
        <f>IF(AND($BD$12&gt;=$F38,$BD$12&lt;$G38),$E38,"")</f>
        <v/>
      </c>
      <c r="BE38" s="48" t="str">
        <f>IF(AND($BE$12&gt;=$F38,$BE$12&lt;$G38),$E38,"")</f>
        <v/>
      </c>
      <c r="BF38" s="48" t="str">
        <f>IF(AND($BF$12&gt;=$F38,$BF$12&lt;$G38),$E38,"")</f>
        <v/>
      </c>
      <c r="BG38" s="84" t="str">
        <f>IF(AND($BG$12&gt;=$F38,$BG$12&lt;$G38),$E38,"")</f>
        <v/>
      </c>
      <c r="BH38" s="87" t="str">
        <f>IF(AND($BH$12&gt;=$F38,$BH$12&lt;$G38),$E38,"")</f>
        <v/>
      </c>
      <c r="BI38" s="49" t="str">
        <f>IF(AND($BI$12&gt;=$F38,$BI$12&lt;$G38),$E38,"")</f>
        <v/>
      </c>
      <c r="BJ38" s="49" t="str">
        <f>IF(AND($BJ$12&gt;=$F38,$BJ$12&lt;$G38),$E38,"")</f>
        <v/>
      </c>
      <c r="BK38" s="89" t="str">
        <f>IF(AND($BK$12&gt;=$F38,$BK$12&lt;$G38),$E38,"")</f>
        <v/>
      </c>
      <c r="BL38" s="87" t="str">
        <f>IF(AND($BL$12&gt;=$F38,$BL$12&lt;$G38),$E38,"")</f>
        <v/>
      </c>
      <c r="BM38" s="49" t="str">
        <f>IF(AND($BM$12&gt;=$F38,$BM$12&lt;$G38),$E38,"")</f>
        <v/>
      </c>
      <c r="BN38" s="49" t="str">
        <f>IF(AND($BN$12&gt;=$F38,$BN$12&lt;$G38),$E38,"")</f>
        <v/>
      </c>
      <c r="BO38" s="89" t="str">
        <f>IF(AND($BO$12&gt;=$F38,$BO$12&lt;$G38),$E38,"")</f>
        <v/>
      </c>
      <c r="BP38" s="87" t="str">
        <f>IF(AND($BP$12&gt;=$F38,$BP$12&lt;$G38),$E38,"")</f>
        <v/>
      </c>
      <c r="BQ38" s="49" t="str">
        <f>IF(AND($BQ$12&gt;=$F38,$BQ$12&lt;$G38),$E38,"")</f>
        <v/>
      </c>
      <c r="BR38" s="49" t="str">
        <f>IF(AND($BR$12&gt;=$F38,$BR$12&lt;$G38),$E38,"")</f>
        <v/>
      </c>
      <c r="BS38" s="89" t="str">
        <f>IF(AND($BS$12&gt;=$F38,$BS$12&lt;$G38),$E38,"")</f>
        <v/>
      </c>
      <c r="BT38" s="87" t="str">
        <f>IF(AND($BT$12&gt;=$F38,$BT$12&lt;$G38),$E38,"")</f>
        <v/>
      </c>
    </row>
    <row r="39" spans="2:72" s="93" customFormat="1" hidden="1">
      <c r="B39" s="81" t="str">
        <f>Weekly!B31</f>
        <v>01505</v>
      </c>
      <c r="C39" s="90" t="str">
        <f>Weekly!C31</f>
        <v>Jewel</v>
      </c>
      <c r="D39" s="90">
        <f>Weekly!D69</f>
        <v>0</v>
      </c>
      <c r="E39" s="91" t="str">
        <f>VLOOKUP(B39,Team!$B$4:$E$183,4,FALSE)</f>
        <v>L's</v>
      </c>
      <c r="F39" s="92" t="str">
        <f>Weekly!G31</f>
        <v/>
      </c>
      <c r="G39" s="92" t="str">
        <f>Weekly!H31</f>
        <v/>
      </c>
      <c r="H39" s="48" t="str">
        <f>IF(AND($H$12&gt;=$F39,$H$12&lt;$G39),$E39,"")</f>
        <v/>
      </c>
      <c r="I39" s="48" t="str">
        <f>IF(AND($I$12&gt;=$F39,$I$12&lt;$G39),$E39,"")</f>
        <v/>
      </c>
      <c r="J39" s="48" t="str">
        <f>IF(AND($J$12&gt;=$F39,$J$12&lt;$G39),$E39,"")</f>
        <v/>
      </c>
      <c r="K39" s="84" t="str">
        <f>IF(AND($K$12&gt;=$F39,$K$12&lt;$G39),$E39,"")</f>
        <v/>
      </c>
      <c r="L39" s="82" t="str">
        <f>IF(AND($L$12&gt;=$F39,$L$12&lt;$G39),$E39,"")</f>
        <v/>
      </c>
      <c r="M39" s="48" t="str">
        <f>IF(AND($M$12&gt;=$F39,$M$12&lt;$G39),$E39,"")</f>
        <v/>
      </c>
      <c r="N39" s="48" t="str">
        <f>IF(AND($N$12&gt;=$F39,$N$12&lt;$G39),$E39,"")</f>
        <v/>
      </c>
      <c r="O39" s="84" t="str">
        <f>IF(AND($O$12&gt;=$F39,$O$12&lt;$G39),$E39,"")</f>
        <v/>
      </c>
      <c r="P39" s="82" t="str">
        <f>IF(AND($P$12&gt;=$F39,$P$12&lt;$G39),$E39,"")</f>
        <v/>
      </c>
      <c r="Q39" s="48" t="str">
        <f>IF(AND($Q$12&gt;=$F39,$Q$12&lt;$G39),$E39,"")</f>
        <v/>
      </c>
      <c r="R39" s="48" t="str">
        <f>IF(AND($R$12&gt;=$F39,$R$12&lt;$G39),$E39,"")</f>
        <v/>
      </c>
      <c r="S39" s="84" t="str">
        <f>IF(AND($S$12&gt;=$F39,$S$12&lt;$G39),$E39,"")</f>
        <v/>
      </c>
      <c r="T39" s="82" t="str">
        <f>IF(AND($T$12&gt;=$F39,$T$12&lt;$G39),$E39,"")</f>
        <v/>
      </c>
      <c r="U39" s="48" t="str">
        <f>IF(AND($U$12&gt;=$F39,$U$12&lt;$G39),$E39,"")</f>
        <v/>
      </c>
      <c r="V39" s="48" t="str">
        <f>IF(AND($V$12&gt;=$F39,$V$12&lt;$G39),$E39,"")</f>
        <v/>
      </c>
      <c r="W39" s="84" t="str">
        <f>IF(AND($W$12&gt;=$F39,$W$12&lt;$G39),$E39,"")</f>
        <v/>
      </c>
      <c r="X39" s="82" t="str">
        <f>IF(AND($X$12&gt;=$F39,$X$12&lt;$G39),$E39,"")</f>
        <v/>
      </c>
      <c r="Y39" s="48" t="str">
        <f>IF(AND($Y$12&gt;=$F39,$Y$12&lt;$G39),$E39,"")</f>
        <v/>
      </c>
      <c r="Z39" s="48" t="str">
        <f>IF(AND($Z$12&gt;=$F39,$Z$12&lt;$G39),$E39,"")</f>
        <v/>
      </c>
      <c r="AA39" s="84" t="str">
        <f>IF(AND($AA$12&gt;=$F39,$AA$12&lt;$G39),$E39,"")</f>
        <v/>
      </c>
      <c r="AB39" s="82" t="str">
        <f>IF(AND($AB$12&gt;=$F39,$AB$12&lt;$G39),$E39,"")</f>
        <v/>
      </c>
      <c r="AC39" s="48" t="str">
        <f>IF(AND($AC$12&gt;=$F39,$AC$12&lt;$G39),$E39,"")</f>
        <v/>
      </c>
      <c r="AD39" s="48" t="str">
        <f>IF(AND($AD$12&gt;=$F39,$AD$12&lt;$G39),$E39,"")</f>
        <v/>
      </c>
      <c r="AE39" s="84" t="str">
        <f>IF(AND($AE$12&gt;=$F39,$AE$12&lt;$G39),$E39,"")</f>
        <v/>
      </c>
      <c r="AF39" s="82" t="str">
        <f>IF(AND($AF$12&gt;=$F39,$AF$12&lt;$G39),$E39,"")</f>
        <v/>
      </c>
      <c r="AG39" s="48" t="str">
        <f>IF(AND($AG$12&gt;=$F39,$AG$12&lt;$G39),$E39,"")</f>
        <v/>
      </c>
      <c r="AH39" s="48" t="str">
        <f>IF(AND($AH$12&gt;=$F39,$AH$12&lt;$G39),$E39,"")</f>
        <v/>
      </c>
      <c r="AI39" s="84" t="str">
        <f>IF(AND($AI$12&gt;=$F39,$AI$12&lt;$G39),$E39,"")</f>
        <v/>
      </c>
      <c r="AJ39" s="82" t="str">
        <f>IF(AND($AJ$12&gt;=$F39,$AJ$12&lt;$G39),$E39,"")</f>
        <v/>
      </c>
      <c r="AK39" s="48" t="str">
        <f>IF(AND($AK$12&gt;=$F39,$AK$12&lt;$G39),$E39,"")</f>
        <v/>
      </c>
      <c r="AL39" s="48" t="str">
        <f>IF(AND($AL$12&gt;=$F39,$AL$12&lt;$G39),$E39,"")</f>
        <v/>
      </c>
      <c r="AM39" s="84" t="str">
        <f>IF(AND($AM$12&gt;=$F39,$AM$12&lt;$G39),$E39,"")</f>
        <v/>
      </c>
      <c r="AN39" s="82" t="str">
        <f>IF(AND($AN$12&gt;=$F39,$AN$12&lt;$G39),$E39,"")</f>
        <v/>
      </c>
      <c r="AO39" s="48" t="str">
        <f>IF(AND($AO$12&gt;=$F39,$AO$12&lt;$G39),$E39,"")</f>
        <v/>
      </c>
      <c r="AP39" s="48" t="str">
        <f>IF(AND($AP$12&gt;=$F39,$AP$12&lt;$G39),$E39,"")</f>
        <v/>
      </c>
      <c r="AQ39" s="84" t="str">
        <f>IF(AND($AQ$12&gt;=$F39,$AQ$12&lt;$G39),$E39,"")</f>
        <v/>
      </c>
      <c r="AR39" s="82" t="str">
        <f>IF(AND($AR$12&gt;=$F39,$AR$12&lt;$G39),$E39,"")</f>
        <v/>
      </c>
      <c r="AS39" s="48" t="str">
        <f>IF(AND($AS$12&gt;=$F39,$AS$12&lt;$G39),$E39,"")</f>
        <v/>
      </c>
      <c r="AT39" s="48" t="str">
        <f>IF(AND($AT$12&gt;=$F39,$AT$12&lt;$G39),$E39,"")</f>
        <v/>
      </c>
      <c r="AU39" s="84" t="str">
        <f>IF(AND($AU$12&gt;=$F39,$AU$12&lt;$G39),$E39,"")</f>
        <v/>
      </c>
      <c r="AV39" s="82" t="str">
        <f>IF(AND($AV$12&gt;=$F39,$AV$12&lt;$G39),$E39,"")</f>
        <v/>
      </c>
      <c r="AW39" s="48" t="str">
        <f>IF(AND($AW$12&gt;=$F39,$AW$12&lt;$G39),$E39,"")</f>
        <v/>
      </c>
      <c r="AX39" s="48" t="str">
        <f>IF(AND($AX$12&gt;=$F39,$AX$12&lt;$G39),$E39,"")</f>
        <v/>
      </c>
      <c r="AY39" s="84" t="str">
        <f>IF(AND($AY$12&gt;=$F39,$AY$12&lt;$G39),$E39,"")</f>
        <v/>
      </c>
      <c r="AZ39" s="82" t="str">
        <f>IF(AND($AZ$12&gt;=$F39,$AZ$12&lt;$G39),$E39,"")</f>
        <v/>
      </c>
      <c r="BA39" s="48" t="str">
        <f>IF(AND($BA$12&gt;=$F39,$BA$12&lt;$G39),$E39,"")</f>
        <v/>
      </c>
      <c r="BB39" s="48" t="str">
        <f>IF(AND($BB$12&gt;=$F39,$BB$12&lt;$G39),$E39,"")</f>
        <v/>
      </c>
      <c r="BC39" s="84" t="str">
        <f>IF(AND($BC$12&gt;=$F39,$BC$12&lt;$G39),$E39,"")</f>
        <v/>
      </c>
      <c r="BD39" s="82" t="str">
        <f>IF(AND($BD$12&gt;=$F39,$BD$12&lt;$G39),$E39,"")</f>
        <v/>
      </c>
      <c r="BE39" s="48" t="str">
        <f>IF(AND($BE$12&gt;=$F39,$BE$12&lt;$G39),$E39,"")</f>
        <v/>
      </c>
      <c r="BF39" s="48" t="str">
        <f>IF(AND($BF$12&gt;=$F39,$BF$12&lt;$G39),$E39,"")</f>
        <v/>
      </c>
      <c r="BG39" s="84" t="str">
        <f>IF(AND($BG$12&gt;=$F39,$BG$12&lt;$G39),$E39,"")</f>
        <v/>
      </c>
      <c r="BH39" s="87" t="str">
        <f>IF(AND($BH$12&gt;=$F39,$BH$12&lt;$G39),$E39,"")</f>
        <v/>
      </c>
      <c r="BI39" s="49" t="str">
        <f>IF(AND($BI$12&gt;=$F39,$BI$12&lt;$G39),$E39,"")</f>
        <v/>
      </c>
      <c r="BJ39" s="49" t="str">
        <f>IF(AND($BJ$12&gt;=$F39,$BJ$12&lt;$G39),$E39,"")</f>
        <v/>
      </c>
      <c r="BK39" s="89" t="str">
        <f>IF(AND($BK$12&gt;=$F39,$BK$12&lt;$G39),$E39,"")</f>
        <v/>
      </c>
      <c r="BL39" s="87" t="str">
        <f>IF(AND($BL$12&gt;=$F39,$BL$12&lt;$G39),$E39,"")</f>
        <v/>
      </c>
      <c r="BM39" s="49" t="str">
        <f>IF(AND($BM$12&gt;=$F39,$BM$12&lt;$G39),$E39,"")</f>
        <v/>
      </c>
      <c r="BN39" s="49" t="str">
        <f>IF(AND($BN$12&gt;=$F39,$BN$12&lt;$G39),$E39,"")</f>
        <v/>
      </c>
      <c r="BO39" s="89" t="str">
        <f>IF(AND($BO$12&gt;=$F39,$BO$12&lt;$G39),$E39,"")</f>
        <v/>
      </c>
      <c r="BP39" s="87" t="str">
        <f>IF(AND($BP$12&gt;=$F39,$BP$12&lt;$G39),$E39,"")</f>
        <v/>
      </c>
      <c r="BQ39" s="49" t="str">
        <f>IF(AND($BQ$12&gt;=$F39,$BQ$12&lt;$G39),$E39,"")</f>
        <v/>
      </c>
      <c r="BR39" s="49" t="str">
        <f>IF(AND($BR$12&gt;=$F39,$BR$12&lt;$G39),$E39,"")</f>
        <v/>
      </c>
      <c r="BS39" s="89" t="str">
        <f>IF(AND($BS$12&gt;=$F39,$BS$12&lt;$G39),$E39,"")</f>
        <v/>
      </c>
      <c r="BT39" s="87" t="str">
        <f>IF(AND($BT$12&gt;=$F39,$BT$12&lt;$G39),$E39,"")</f>
        <v/>
      </c>
    </row>
    <row r="40" spans="2:72" s="93" customFormat="1" hidden="1">
      <c r="B40" s="81" t="str">
        <f>Weekly!B51</f>
        <v>303</v>
      </c>
      <c r="C40" s="90" t="str">
        <f>Weekly!C51</f>
        <v>Rachel</v>
      </c>
      <c r="D40" s="90">
        <f>Weekly!D89</f>
        <v>0</v>
      </c>
      <c r="E40" s="91" t="str">
        <f>VLOOKUP(B40,Team!$B$4:$E$183,4,FALSE)</f>
        <v>ADM</v>
      </c>
      <c r="F40" s="92" t="str">
        <f>Weekly!G51</f>
        <v/>
      </c>
      <c r="G40" s="92" t="str">
        <f>Weekly!H51</f>
        <v/>
      </c>
      <c r="H40" s="48" t="str">
        <f>IF(AND($H$12&gt;=$F40,$H$12&lt;$G40),$E40,"")</f>
        <v/>
      </c>
      <c r="I40" s="48" t="str">
        <f>IF(AND($I$12&gt;=$F40,$I$12&lt;$G40),$E40,"")</f>
        <v/>
      </c>
      <c r="J40" s="48" t="str">
        <f>IF(AND($J$12&gt;=$F40,$J$12&lt;$G40),$E40,"")</f>
        <v/>
      </c>
      <c r="K40" s="84" t="str">
        <f>IF(AND($K$12&gt;=$F40,$K$12&lt;$G40),$E40,"")</f>
        <v/>
      </c>
      <c r="L40" s="82" t="str">
        <f>IF(AND($L$12&gt;=$F40,$L$12&lt;$G40),$E40,"")</f>
        <v/>
      </c>
      <c r="M40" s="48" t="str">
        <f>IF(AND($M$12&gt;=$F40,$M$12&lt;$G40),$E40,"")</f>
        <v/>
      </c>
      <c r="N40" s="48" t="str">
        <f>IF(AND($N$12&gt;=$F40,$N$12&lt;$G40),$E40,"")</f>
        <v/>
      </c>
      <c r="O40" s="84" t="str">
        <f>IF(AND($O$12&gt;=$F40,$O$12&lt;$G40),$E40,"")</f>
        <v/>
      </c>
      <c r="P40" s="82" t="str">
        <f>IF(AND($P$12&gt;=$F40,$P$12&lt;$G40),$E40,"")</f>
        <v/>
      </c>
      <c r="Q40" s="48" t="str">
        <f>IF(AND($Q$12&gt;=$F40,$Q$12&lt;$G40),$E40,"")</f>
        <v/>
      </c>
      <c r="R40" s="48" t="str">
        <f>IF(AND($R$12&gt;=$F40,$R$12&lt;$G40),$E40,"")</f>
        <v/>
      </c>
      <c r="S40" s="84" t="str">
        <f>IF(AND($S$12&gt;=$F40,$S$12&lt;$G40),$E40,"")</f>
        <v/>
      </c>
      <c r="T40" s="82" t="str">
        <f>IF(AND($T$12&gt;=$F40,$T$12&lt;$G40),$E40,"")</f>
        <v/>
      </c>
      <c r="U40" s="48" t="str">
        <f>IF(AND($U$12&gt;=$F40,$U$12&lt;$G40),$E40,"")</f>
        <v/>
      </c>
      <c r="V40" s="48" t="str">
        <f>IF(AND($V$12&gt;=$F40,$V$12&lt;$G40),$E40,"")</f>
        <v/>
      </c>
      <c r="W40" s="84" t="str">
        <f>IF(AND($W$12&gt;=$F40,$W$12&lt;$G40),$E40,"")</f>
        <v/>
      </c>
      <c r="X40" s="82" t="str">
        <f>IF(AND($X$12&gt;=$F40,$X$12&lt;$G40),$E40,"")</f>
        <v/>
      </c>
      <c r="Y40" s="48" t="str">
        <f>IF(AND($Y$12&gt;=$F40,$Y$12&lt;$G40),$E40,"")</f>
        <v/>
      </c>
      <c r="Z40" s="48" t="str">
        <f>IF(AND($Z$12&gt;=$F40,$Z$12&lt;$G40),$E40,"")</f>
        <v/>
      </c>
      <c r="AA40" s="84" t="str">
        <f>IF(AND($AA$12&gt;=$F40,$AA$12&lt;$G40),$E40,"")</f>
        <v/>
      </c>
      <c r="AB40" s="82" t="str">
        <f>IF(AND($AB$12&gt;=$F40,$AB$12&lt;$G40),$E40,"")</f>
        <v/>
      </c>
      <c r="AC40" s="48" t="str">
        <f>IF(AND($AC$12&gt;=$F40,$AC$12&lt;$G40),$E40,"")</f>
        <v/>
      </c>
      <c r="AD40" s="48" t="str">
        <f>IF(AND($AD$12&gt;=$F40,$AD$12&lt;$G40),$E40,"")</f>
        <v/>
      </c>
      <c r="AE40" s="84" t="str">
        <f>IF(AND($AE$12&gt;=$F40,$AE$12&lt;$G40),$E40,"")</f>
        <v/>
      </c>
      <c r="AF40" s="82" t="str">
        <f>IF(AND($AF$12&gt;=$F40,$AF$12&lt;$G40),$E40,"")</f>
        <v/>
      </c>
      <c r="AG40" s="48" t="str">
        <f>IF(AND($AG$12&gt;=$F40,$AG$12&lt;$G40),$E40,"")</f>
        <v/>
      </c>
      <c r="AH40" s="48" t="str">
        <f>IF(AND($AH$12&gt;=$F40,$AH$12&lt;$G40),$E40,"")</f>
        <v/>
      </c>
      <c r="AI40" s="84" t="str">
        <f>IF(AND($AI$12&gt;=$F40,$AI$12&lt;$G40),$E40,"")</f>
        <v/>
      </c>
      <c r="AJ40" s="82" t="str">
        <f>IF(AND($AJ$12&gt;=$F40,$AJ$12&lt;$G40),$E40,"")</f>
        <v/>
      </c>
      <c r="AK40" s="48" t="str">
        <f>IF(AND($AK$12&gt;=$F40,$AK$12&lt;$G40),$E40,"")</f>
        <v/>
      </c>
      <c r="AL40" s="48" t="str">
        <f>IF(AND($AL$12&gt;=$F40,$AL$12&lt;$G40),$E40,"")</f>
        <v/>
      </c>
      <c r="AM40" s="84" t="str">
        <f>IF(AND($AM$12&gt;=$F40,$AM$12&lt;$G40),$E40,"")</f>
        <v/>
      </c>
      <c r="AN40" s="82" t="str">
        <f>IF(AND($AN$12&gt;=$F40,$AN$12&lt;$G40),$E40,"")</f>
        <v/>
      </c>
      <c r="AO40" s="48" t="str">
        <f>IF(AND($AO$12&gt;=$F40,$AO$12&lt;$G40),$E40,"")</f>
        <v/>
      </c>
      <c r="AP40" s="48" t="str">
        <f>IF(AND($AP$12&gt;=$F40,$AP$12&lt;$G40),$E40,"")</f>
        <v/>
      </c>
      <c r="AQ40" s="84" t="str">
        <f>IF(AND($AQ$12&gt;=$F40,$AQ$12&lt;$G40),$E40,"")</f>
        <v/>
      </c>
      <c r="AR40" s="82" t="str">
        <f>IF(AND($AR$12&gt;=$F40,$AR$12&lt;$G40),$E40,"")</f>
        <v/>
      </c>
      <c r="AS40" s="48" t="str">
        <f>IF(AND($AS$12&gt;=$F40,$AS$12&lt;$G40),$E40,"")</f>
        <v/>
      </c>
      <c r="AT40" s="48" t="str">
        <f>IF(AND($AT$12&gt;=$F40,$AT$12&lt;$G40),$E40,"")</f>
        <v/>
      </c>
      <c r="AU40" s="84" t="str">
        <f>IF(AND($AU$12&gt;=$F40,$AU$12&lt;$G40),$E40,"")</f>
        <v/>
      </c>
      <c r="AV40" s="82" t="str">
        <f>IF(AND($AV$12&gt;=$F40,$AV$12&lt;$G40),$E40,"")</f>
        <v/>
      </c>
      <c r="AW40" s="48" t="str">
        <f>IF(AND($AW$12&gt;=$F40,$AW$12&lt;$G40),$E40,"")</f>
        <v/>
      </c>
      <c r="AX40" s="48" t="str">
        <f>IF(AND($AX$12&gt;=$F40,$AX$12&lt;$G40),$E40,"")</f>
        <v/>
      </c>
      <c r="AY40" s="84" t="str">
        <f>IF(AND($AY$12&gt;=$F40,$AY$12&lt;$G40),$E40,"")</f>
        <v/>
      </c>
      <c r="AZ40" s="82" t="str">
        <f>IF(AND($AZ$12&gt;=$F40,$AZ$12&lt;$G40),$E40,"")</f>
        <v/>
      </c>
      <c r="BA40" s="48" t="str">
        <f>IF(AND($BA$12&gt;=$F40,$BA$12&lt;$G40),$E40,"")</f>
        <v/>
      </c>
      <c r="BB40" s="48" t="str">
        <f>IF(AND($BB$12&gt;=$F40,$BB$12&lt;$G40),$E40,"")</f>
        <v/>
      </c>
      <c r="BC40" s="84" t="str">
        <f>IF(AND($BC$12&gt;=$F40,$BC$12&lt;$G40),$E40,"")</f>
        <v/>
      </c>
      <c r="BD40" s="82" t="str">
        <f>IF(AND($BD$12&gt;=$F40,$BD$12&lt;$G40),$E40,"")</f>
        <v/>
      </c>
      <c r="BE40" s="48" t="str">
        <f>IF(AND($BE$12&gt;=$F40,$BE$12&lt;$G40),$E40,"")</f>
        <v/>
      </c>
      <c r="BF40" s="48" t="str">
        <f>IF(AND($BF$12&gt;=$F40,$BF$12&lt;$G40),$E40,"")</f>
        <v/>
      </c>
      <c r="BG40" s="84" t="str">
        <f>IF(AND($BG$12&gt;=$F40,$BG$12&lt;$G40),$E40,"")</f>
        <v/>
      </c>
      <c r="BH40" s="87" t="str">
        <f>IF(AND($BH$12&gt;=$F40,$BH$12&lt;$G40),$E40,"")</f>
        <v/>
      </c>
      <c r="BI40" s="49" t="str">
        <f>IF(AND($BI$12&gt;=$F40,$BI$12&lt;$G40),$E40,"")</f>
        <v/>
      </c>
      <c r="BJ40" s="49" t="str">
        <f>IF(AND($BJ$12&gt;=$F40,$BJ$12&lt;$G40),$E40,"")</f>
        <v/>
      </c>
      <c r="BK40" s="89" t="str">
        <f>IF(AND($BK$12&gt;=$F40,$BK$12&lt;$G40),$E40,"")</f>
        <v/>
      </c>
      <c r="BL40" s="87" t="str">
        <f>IF(AND($BL$12&gt;=$F40,$BL$12&lt;$G40),$E40,"")</f>
        <v/>
      </c>
      <c r="BM40" s="49" t="str">
        <f>IF(AND($BM$12&gt;=$F40,$BM$12&lt;$G40),$E40,"")</f>
        <v/>
      </c>
      <c r="BN40" s="49" t="str">
        <f>IF(AND($BN$12&gt;=$F40,$BN$12&lt;$G40),$E40,"")</f>
        <v/>
      </c>
      <c r="BO40" s="89" t="str">
        <f>IF(AND($BO$12&gt;=$F40,$BO$12&lt;$G40),$E40,"")</f>
        <v/>
      </c>
      <c r="BP40" s="87" t="str">
        <f>IF(AND($BP$12&gt;=$F40,$BP$12&lt;$G40),$E40,"")</f>
        <v/>
      </c>
      <c r="BQ40" s="49" t="str">
        <f>IF(AND($BQ$12&gt;=$F40,$BQ$12&lt;$G40),$E40,"")</f>
        <v/>
      </c>
      <c r="BR40" s="49" t="str">
        <f>IF(AND($BR$12&gt;=$F40,$BR$12&lt;$G40),$E40,"")</f>
        <v/>
      </c>
      <c r="BS40" s="89" t="str">
        <f>IF(AND($BS$12&gt;=$F40,$BS$12&lt;$G40),$E40,"")</f>
        <v/>
      </c>
      <c r="BT40" s="87" t="str">
        <f>IF(AND($BT$12&gt;=$F40,$BT$12&lt;$G40),$E40,"")</f>
        <v/>
      </c>
    </row>
    <row r="41" spans="2:72" s="93" customFormat="1" hidden="1">
      <c r="B41" s="81" t="str">
        <f>Weekly!B33</f>
        <v>1094</v>
      </c>
      <c r="C41" s="90" t="str">
        <f>Weekly!C33</f>
        <v>Joslyn</v>
      </c>
      <c r="D41" s="90">
        <f>Weekly!D71</f>
        <v>0</v>
      </c>
      <c r="E41" s="91" t="str">
        <f>VLOOKUP(B41,Team!$B$4:$E$183,4,FALSE)</f>
        <v>HH</v>
      </c>
      <c r="F41" s="92" t="str">
        <f>Weekly!G33</f>
        <v/>
      </c>
      <c r="G41" s="92" t="str">
        <f>Weekly!H33</f>
        <v/>
      </c>
      <c r="H41" s="48" t="str">
        <f>IF(AND($H$12&gt;=$F41,$H$12&lt;$G41),$E41,"")</f>
        <v/>
      </c>
      <c r="I41" s="48" t="str">
        <f>IF(AND($I$12&gt;=$F41,$I$12&lt;$G41),$E41,"")</f>
        <v/>
      </c>
      <c r="J41" s="48" t="str">
        <f>IF(AND($J$12&gt;=$F41,$J$12&lt;$G41),$E41,"")</f>
        <v/>
      </c>
      <c r="K41" s="84" t="str">
        <f>IF(AND($K$12&gt;=$F41,$K$12&lt;$G41),$E41,"")</f>
        <v/>
      </c>
      <c r="L41" s="82" t="str">
        <f>IF(AND($L$12&gt;=$F41,$L$12&lt;$G41),$E41,"")</f>
        <v/>
      </c>
      <c r="M41" s="48" t="str">
        <f>IF(AND($M$12&gt;=$F41,$M$12&lt;$G41),$E41,"")</f>
        <v/>
      </c>
      <c r="N41" s="48" t="str">
        <f>IF(AND($N$12&gt;=$F41,$N$12&lt;$G41),$E41,"")</f>
        <v/>
      </c>
      <c r="O41" s="84" t="str">
        <f>IF(AND($O$12&gt;=$F41,$O$12&lt;$G41),$E41,"")</f>
        <v/>
      </c>
      <c r="P41" s="82" t="str">
        <f>IF(AND($P$12&gt;=$F41,$P$12&lt;$G41),$E41,"")</f>
        <v/>
      </c>
      <c r="Q41" s="48" t="str">
        <f>IF(AND($Q$12&gt;=$F41,$Q$12&lt;$G41),$E41,"")</f>
        <v/>
      </c>
      <c r="R41" s="48" t="str">
        <f>IF(AND($R$12&gt;=$F41,$R$12&lt;$G41),$E41,"")</f>
        <v/>
      </c>
      <c r="S41" s="84" t="str">
        <f>IF(AND($S$12&gt;=$F41,$S$12&lt;$G41),$E41,"")</f>
        <v/>
      </c>
      <c r="T41" s="82" t="str">
        <f>IF(AND($T$12&gt;=$F41,$T$12&lt;$G41),$E41,"")</f>
        <v/>
      </c>
      <c r="U41" s="48" t="str">
        <f>IF(AND($U$12&gt;=$F41,$U$12&lt;$G41),$E41,"")</f>
        <v/>
      </c>
      <c r="V41" s="48" t="str">
        <f>IF(AND($V$12&gt;=$F41,$V$12&lt;$G41),$E41,"")</f>
        <v/>
      </c>
      <c r="W41" s="84" t="str">
        <f>IF(AND($W$12&gt;=$F41,$W$12&lt;$G41),$E41,"")</f>
        <v/>
      </c>
      <c r="X41" s="82" t="str">
        <f>IF(AND($X$12&gt;=$F41,$X$12&lt;$G41),$E41,"")</f>
        <v/>
      </c>
      <c r="Y41" s="48" t="str">
        <f>IF(AND($Y$12&gt;=$F41,$Y$12&lt;$G41),$E41,"")</f>
        <v/>
      </c>
      <c r="Z41" s="48" t="str">
        <f>IF(AND($Z$12&gt;=$F41,$Z$12&lt;$G41),$E41,"")</f>
        <v/>
      </c>
      <c r="AA41" s="84" t="str">
        <f>IF(AND($AA$12&gt;=$F41,$AA$12&lt;$G41),$E41,"")</f>
        <v/>
      </c>
      <c r="AB41" s="82" t="str">
        <f>IF(AND($AB$12&gt;=$F41,$AB$12&lt;$G41),$E41,"")</f>
        <v/>
      </c>
      <c r="AC41" s="48" t="str">
        <f>IF(AND($AC$12&gt;=$F41,$AC$12&lt;$G41),$E41,"")</f>
        <v/>
      </c>
      <c r="AD41" s="48" t="str">
        <f>IF(AND($AD$12&gt;=$F41,$AD$12&lt;$G41),$E41,"")</f>
        <v/>
      </c>
      <c r="AE41" s="84" t="str">
        <f>IF(AND($AE$12&gt;=$F41,$AE$12&lt;$G41),$E41,"")</f>
        <v/>
      </c>
      <c r="AF41" s="82" t="str">
        <f>IF(AND($AF$12&gt;=$F41,$AF$12&lt;$G41),$E41,"")</f>
        <v/>
      </c>
      <c r="AG41" s="48" t="str">
        <f>IF(AND($AG$12&gt;=$F41,$AG$12&lt;$G41),$E41,"")</f>
        <v/>
      </c>
      <c r="AH41" s="48" t="str">
        <f>IF(AND($AH$12&gt;=$F41,$AH$12&lt;$G41),$E41,"")</f>
        <v/>
      </c>
      <c r="AI41" s="84" t="str">
        <f>IF(AND($AI$12&gt;=$F41,$AI$12&lt;$G41),$E41,"")</f>
        <v/>
      </c>
      <c r="AJ41" s="82" t="str">
        <f>IF(AND($AJ$12&gt;=$F41,$AJ$12&lt;$G41),$E41,"")</f>
        <v/>
      </c>
      <c r="AK41" s="48" t="str">
        <f>IF(AND($AK$12&gt;=$F41,$AK$12&lt;$G41),$E41,"")</f>
        <v/>
      </c>
      <c r="AL41" s="48" t="str">
        <f>IF(AND($AL$12&gt;=$F41,$AL$12&lt;$G41),$E41,"")</f>
        <v/>
      </c>
      <c r="AM41" s="84" t="str">
        <f>IF(AND($AM$12&gt;=$F41,$AM$12&lt;$G41),$E41,"")</f>
        <v/>
      </c>
      <c r="AN41" s="82" t="str">
        <f>IF(AND($AN$12&gt;=$F41,$AN$12&lt;$G41),$E41,"")</f>
        <v/>
      </c>
      <c r="AO41" s="48" t="str">
        <f>IF(AND($AO$12&gt;=$F41,$AO$12&lt;$G41),$E41,"")</f>
        <v/>
      </c>
      <c r="AP41" s="48" t="str">
        <f>IF(AND($AP$12&gt;=$F41,$AP$12&lt;$G41),$E41,"")</f>
        <v/>
      </c>
      <c r="AQ41" s="84" t="str">
        <f>IF(AND($AQ$12&gt;=$F41,$AQ$12&lt;$G41),$E41,"")</f>
        <v/>
      </c>
      <c r="AR41" s="82" t="str">
        <f>IF(AND($AR$12&gt;=$F41,$AR$12&lt;$G41),$E41,"")</f>
        <v/>
      </c>
      <c r="AS41" s="48" t="str">
        <f>IF(AND($AS$12&gt;=$F41,$AS$12&lt;$G41),$E41,"")</f>
        <v/>
      </c>
      <c r="AT41" s="48" t="str">
        <f>IF(AND($AT$12&gt;=$F41,$AT$12&lt;$G41),$E41,"")</f>
        <v/>
      </c>
      <c r="AU41" s="84" t="str">
        <f>IF(AND($AU$12&gt;=$F41,$AU$12&lt;$G41),$E41,"")</f>
        <v/>
      </c>
      <c r="AV41" s="82" t="str">
        <f>IF(AND($AV$12&gt;=$F41,$AV$12&lt;$G41),$E41,"")</f>
        <v/>
      </c>
      <c r="AW41" s="48" t="str">
        <f>IF(AND($AW$12&gt;=$F41,$AW$12&lt;$G41),$E41,"")</f>
        <v/>
      </c>
      <c r="AX41" s="48" t="str">
        <f>IF(AND($AX$12&gt;=$F41,$AX$12&lt;$G41),$E41,"")</f>
        <v/>
      </c>
      <c r="AY41" s="84" t="str">
        <f>IF(AND($AY$12&gt;=$F41,$AY$12&lt;$G41),$E41,"")</f>
        <v/>
      </c>
      <c r="AZ41" s="82" t="str">
        <f>IF(AND($AZ$12&gt;=$F41,$AZ$12&lt;$G41),$E41,"")</f>
        <v/>
      </c>
      <c r="BA41" s="48" t="str">
        <f>IF(AND($BA$12&gt;=$F41,$BA$12&lt;$G41),$E41,"")</f>
        <v/>
      </c>
      <c r="BB41" s="48" t="str">
        <f>IF(AND($BB$12&gt;=$F41,$BB$12&lt;$G41),$E41,"")</f>
        <v/>
      </c>
      <c r="BC41" s="84" t="str">
        <f>IF(AND($BC$12&gt;=$F41,$BC$12&lt;$G41),$E41,"")</f>
        <v/>
      </c>
      <c r="BD41" s="82" t="str">
        <f>IF(AND($BD$12&gt;=$F41,$BD$12&lt;$G41),$E41,"")</f>
        <v/>
      </c>
      <c r="BE41" s="48" t="str">
        <f>IF(AND($BE$12&gt;=$F41,$BE$12&lt;$G41),$E41,"")</f>
        <v/>
      </c>
      <c r="BF41" s="48" t="str">
        <f>IF(AND($BF$12&gt;=$F41,$BF$12&lt;$G41),$E41,"")</f>
        <v/>
      </c>
      <c r="BG41" s="84" t="str">
        <f>IF(AND($BG$12&gt;=$F41,$BG$12&lt;$G41),$E41,"")</f>
        <v/>
      </c>
      <c r="BH41" s="87" t="str">
        <f>IF(AND($BH$12&gt;=$F41,$BH$12&lt;$G41),$E41,"")</f>
        <v/>
      </c>
      <c r="BI41" s="49" t="str">
        <f>IF(AND($BI$12&gt;=$F41,$BI$12&lt;$G41),$E41,"")</f>
        <v/>
      </c>
      <c r="BJ41" s="49" t="str">
        <f>IF(AND($BJ$12&gt;=$F41,$BJ$12&lt;$G41),$E41,"")</f>
        <v/>
      </c>
      <c r="BK41" s="89" t="str">
        <f>IF(AND($BK$12&gt;=$F41,$BK$12&lt;$G41),$E41,"")</f>
        <v/>
      </c>
      <c r="BL41" s="87" t="str">
        <f>IF(AND($BL$12&gt;=$F41,$BL$12&lt;$G41),$E41,"")</f>
        <v/>
      </c>
      <c r="BM41" s="49" t="str">
        <f>IF(AND($BM$12&gt;=$F41,$BM$12&lt;$G41),$E41,"")</f>
        <v/>
      </c>
      <c r="BN41" s="49" t="str">
        <f>IF(AND($BN$12&gt;=$F41,$BN$12&lt;$G41),$E41,"")</f>
        <v/>
      </c>
      <c r="BO41" s="89" t="str">
        <f>IF(AND($BO$12&gt;=$F41,$BO$12&lt;$G41),$E41,"")</f>
        <v/>
      </c>
      <c r="BP41" s="87" t="str">
        <f>IF(AND($BP$12&gt;=$F41,$BP$12&lt;$G41),$E41,"")</f>
        <v/>
      </c>
      <c r="BQ41" s="49" t="str">
        <f>IF(AND($BQ$12&gt;=$F41,$BQ$12&lt;$G41),$E41,"")</f>
        <v/>
      </c>
      <c r="BR41" s="49" t="str">
        <f>IF(AND($BR$12&gt;=$F41,$BR$12&lt;$G41),$E41,"")</f>
        <v/>
      </c>
      <c r="BS41" s="89" t="str">
        <f>IF(AND($BS$12&gt;=$F41,$BS$12&lt;$G41),$E41,"")</f>
        <v/>
      </c>
      <c r="BT41" s="87" t="str">
        <f>IF(AND($BT$12&gt;=$F41,$BT$12&lt;$G41),$E41,"")</f>
        <v/>
      </c>
    </row>
    <row r="42" spans="2:72" s="93" customFormat="1" hidden="1">
      <c r="B42" s="81" t="str">
        <f>Weekly!B52</f>
        <v>1142</v>
      </c>
      <c r="C42" s="90" t="str">
        <f>Weekly!C52</f>
        <v>Ralph</v>
      </c>
      <c r="D42" s="90">
        <f>Weekly!D90</f>
        <v>0</v>
      </c>
      <c r="E42" s="91" t="str">
        <f>VLOOKUP(B42,Team!$B$4:$E$183,4,FALSE)</f>
        <v>L's</v>
      </c>
      <c r="F42" s="92" t="str">
        <f>Weekly!G52</f>
        <v/>
      </c>
      <c r="G42" s="92" t="str">
        <f>Weekly!H52</f>
        <v/>
      </c>
      <c r="H42" s="48" t="str">
        <f>IF(AND($H$12&gt;=$F42,$H$12&lt;$G42),$E42,"")</f>
        <v/>
      </c>
      <c r="I42" s="48" t="str">
        <f>IF(AND($I$12&gt;=$F42,$I$12&lt;$G42),$E42,"")</f>
        <v/>
      </c>
      <c r="J42" s="48" t="str">
        <f>IF(AND($J$12&gt;=$F42,$J$12&lt;$G42),$E42,"")</f>
        <v/>
      </c>
      <c r="K42" s="84" t="str">
        <f>IF(AND($K$12&gt;=$F42,$K$12&lt;$G42),$E42,"")</f>
        <v/>
      </c>
      <c r="L42" s="82" t="str">
        <f>IF(AND($L$12&gt;=$F42,$L$12&lt;$G42),$E42,"")</f>
        <v/>
      </c>
      <c r="M42" s="48" t="str">
        <f>IF(AND($M$12&gt;=$F42,$M$12&lt;$G42),$E42,"")</f>
        <v/>
      </c>
      <c r="N42" s="48" t="str">
        <f>IF(AND($N$12&gt;=$F42,$N$12&lt;$G42),$E42,"")</f>
        <v/>
      </c>
      <c r="O42" s="84" t="str">
        <f>IF(AND($O$12&gt;=$F42,$O$12&lt;$G42),$E42,"")</f>
        <v/>
      </c>
      <c r="P42" s="82" t="str">
        <f>IF(AND($P$12&gt;=$F42,$P$12&lt;$G42),$E42,"")</f>
        <v/>
      </c>
      <c r="Q42" s="48" t="str">
        <f>IF(AND($Q$12&gt;=$F42,$Q$12&lt;$G42),$E42,"")</f>
        <v/>
      </c>
      <c r="R42" s="48" t="str">
        <f>IF(AND($R$12&gt;=$F42,$R$12&lt;$G42),$E42,"")</f>
        <v/>
      </c>
      <c r="S42" s="84" t="str">
        <f>IF(AND($S$12&gt;=$F42,$S$12&lt;$G42),$E42,"")</f>
        <v/>
      </c>
      <c r="T42" s="82" t="str">
        <f>IF(AND($T$12&gt;=$F42,$T$12&lt;$G42),$E42,"")</f>
        <v/>
      </c>
      <c r="U42" s="48" t="str">
        <f>IF(AND($U$12&gt;=$F42,$U$12&lt;$G42),$E42,"")</f>
        <v/>
      </c>
      <c r="V42" s="48" t="str">
        <f>IF(AND($V$12&gt;=$F42,$V$12&lt;$G42),$E42,"")</f>
        <v/>
      </c>
      <c r="W42" s="84" t="str">
        <f>IF(AND($W$12&gt;=$F42,$W$12&lt;$G42),$E42,"")</f>
        <v/>
      </c>
      <c r="X42" s="82" t="str">
        <f>IF(AND($X$12&gt;=$F42,$X$12&lt;$G42),$E42,"")</f>
        <v/>
      </c>
      <c r="Y42" s="48" t="str">
        <f>IF(AND($Y$12&gt;=$F42,$Y$12&lt;$G42),$E42,"")</f>
        <v/>
      </c>
      <c r="Z42" s="48" t="str">
        <f>IF(AND($Z$12&gt;=$F42,$Z$12&lt;$G42),$E42,"")</f>
        <v/>
      </c>
      <c r="AA42" s="84" t="str">
        <f>IF(AND($AA$12&gt;=$F42,$AA$12&lt;$G42),$E42,"")</f>
        <v/>
      </c>
      <c r="AB42" s="82" t="str">
        <f>IF(AND($AB$12&gt;=$F42,$AB$12&lt;$G42),$E42,"")</f>
        <v/>
      </c>
      <c r="AC42" s="48" t="str">
        <f>IF(AND($AC$12&gt;=$F42,$AC$12&lt;$G42),$E42,"")</f>
        <v/>
      </c>
      <c r="AD42" s="48" t="str">
        <f>IF(AND($AD$12&gt;=$F42,$AD$12&lt;$G42),$E42,"")</f>
        <v/>
      </c>
      <c r="AE42" s="84" t="str">
        <f>IF(AND($AE$12&gt;=$F42,$AE$12&lt;$G42),$E42,"")</f>
        <v/>
      </c>
      <c r="AF42" s="82" t="str">
        <f>IF(AND($AF$12&gt;=$F42,$AF$12&lt;$G42),$E42,"")</f>
        <v/>
      </c>
      <c r="AG42" s="48" t="str">
        <f>IF(AND($AG$12&gt;=$F42,$AG$12&lt;$G42),$E42,"")</f>
        <v/>
      </c>
      <c r="AH42" s="48" t="str">
        <f>IF(AND($AH$12&gt;=$F42,$AH$12&lt;$G42),$E42,"")</f>
        <v/>
      </c>
      <c r="AI42" s="84" t="str">
        <f>IF(AND($AI$12&gt;=$F42,$AI$12&lt;$G42),$E42,"")</f>
        <v/>
      </c>
      <c r="AJ42" s="82" t="str">
        <f>IF(AND($AJ$12&gt;=$F42,$AJ$12&lt;$G42),$E42,"")</f>
        <v/>
      </c>
      <c r="AK42" s="48" t="str">
        <f>IF(AND($AK$12&gt;=$F42,$AK$12&lt;$G42),$E42,"")</f>
        <v/>
      </c>
      <c r="AL42" s="48" t="str">
        <f>IF(AND($AL$12&gt;=$F42,$AL$12&lt;$G42),$E42,"")</f>
        <v/>
      </c>
      <c r="AM42" s="84" t="str">
        <f>IF(AND($AM$12&gt;=$F42,$AM$12&lt;$G42),$E42,"")</f>
        <v/>
      </c>
      <c r="AN42" s="82" t="str">
        <f>IF(AND($AN$12&gt;=$F42,$AN$12&lt;$G42),$E42,"")</f>
        <v/>
      </c>
      <c r="AO42" s="48" t="str">
        <f>IF(AND($AO$12&gt;=$F42,$AO$12&lt;$G42),$E42,"")</f>
        <v/>
      </c>
      <c r="AP42" s="48" t="str">
        <f>IF(AND($AP$12&gt;=$F42,$AP$12&lt;$G42),$E42,"")</f>
        <v/>
      </c>
      <c r="AQ42" s="84" t="str">
        <f>IF(AND($AQ$12&gt;=$F42,$AQ$12&lt;$G42),$E42,"")</f>
        <v/>
      </c>
      <c r="AR42" s="82" t="str">
        <f>IF(AND($AR$12&gt;=$F42,$AR$12&lt;$G42),$E42,"")</f>
        <v/>
      </c>
      <c r="AS42" s="48" t="str">
        <f>IF(AND($AS$12&gt;=$F42,$AS$12&lt;$G42),$E42,"")</f>
        <v/>
      </c>
      <c r="AT42" s="48" t="str">
        <f>IF(AND($AT$12&gt;=$F42,$AT$12&lt;$G42),$E42,"")</f>
        <v/>
      </c>
      <c r="AU42" s="84" t="str">
        <f>IF(AND($AU$12&gt;=$F42,$AU$12&lt;$G42),$E42,"")</f>
        <v/>
      </c>
      <c r="AV42" s="82" t="str">
        <f>IF(AND($AV$12&gt;=$F42,$AV$12&lt;$G42),$E42,"")</f>
        <v/>
      </c>
      <c r="AW42" s="48" t="str">
        <f>IF(AND($AW$12&gt;=$F42,$AW$12&lt;$G42),$E42,"")</f>
        <v/>
      </c>
      <c r="AX42" s="48" t="str">
        <f>IF(AND($AX$12&gt;=$F42,$AX$12&lt;$G42),$E42,"")</f>
        <v/>
      </c>
      <c r="AY42" s="84" t="str">
        <f>IF(AND($AY$12&gt;=$F42,$AY$12&lt;$G42),$E42,"")</f>
        <v/>
      </c>
      <c r="AZ42" s="82" t="str">
        <f>IF(AND($AZ$12&gt;=$F42,$AZ$12&lt;$G42),$E42,"")</f>
        <v/>
      </c>
      <c r="BA42" s="48" t="str">
        <f>IF(AND($BA$12&gt;=$F42,$BA$12&lt;$G42),$E42,"")</f>
        <v/>
      </c>
      <c r="BB42" s="48" t="str">
        <f>IF(AND($BB$12&gt;=$F42,$BB$12&lt;$G42),$E42,"")</f>
        <v/>
      </c>
      <c r="BC42" s="84" t="str">
        <f>IF(AND($BC$12&gt;=$F42,$BC$12&lt;$G42),$E42,"")</f>
        <v/>
      </c>
      <c r="BD42" s="82" t="str">
        <f>IF(AND($BD$12&gt;=$F42,$BD$12&lt;$G42),$E42,"")</f>
        <v/>
      </c>
      <c r="BE42" s="48" t="str">
        <f>IF(AND($BE$12&gt;=$F42,$BE$12&lt;$G42),$E42,"")</f>
        <v/>
      </c>
      <c r="BF42" s="48" t="str">
        <f>IF(AND($BF$12&gt;=$F42,$BF$12&lt;$G42),$E42,"")</f>
        <v/>
      </c>
      <c r="BG42" s="84" t="str">
        <f>IF(AND($BG$12&gt;=$F42,$BG$12&lt;$G42),$E42,"")</f>
        <v/>
      </c>
      <c r="BH42" s="87" t="str">
        <f>IF(AND($BH$12&gt;=$F42,$BH$12&lt;$G42),$E42,"")</f>
        <v/>
      </c>
      <c r="BI42" s="49" t="str">
        <f>IF(AND($BI$12&gt;=$F42,$BI$12&lt;$G42),$E42,"")</f>
        <v/>
      </c>
      <c r="BJ42" s="49" t="str">
        <f>IF(AND($BJ$12&gt;=$F42,$BJ$12&lt;$G42),$E42,"")</f>
        <v/>
      </c>
      <c r="BK42" s="89" t="str">
        <f>IF(AND($BK$12&gt;=$F42,$BK$12&lt;$G42),$E42,"")</f>
        <v/>
      </c>
      <c r="BL42" s="87" t="str">
        <f>IF(AND($BL$12&gt;=$F42,$BL$12&lt;$G42),$E42,"")</f>
        <v/>
      </c>
      <c r="BM42" s="49" t="str">
        <f>IF(AND($BM$12&gt;=$F42,$BM$12&lt;$G42),$E42,"")</f>
        <v/>
      </c>
      <c r="BN42" s="49" t="str">
        <f>IF(AND($BN$12&gt;=$F42,$BN$12&lt;$G42),$E42,"")</f>
        <v/>
      </c>
      <c r="BO42" s="89" t="str">
        <f>IF(AND($BO$12&gt;=$F42,$BO$12&lt;$G42),$E42,"")</f>
        <v/>
      </c>
      <c r="BP42" s="87" t="str">
        <f>IF(AND($BP$12&gt;=$F42,$BP$12&lt;$G42),$E42,"")</f>
        <v/>
      </c>
      <c r="BQ42" s="49" t="str">
        <f>IF(AND($BQ$12&gt;=$F42,$BQ$12&lt;$G42),$E42,"")</f>
        <v/>
      </c>
      <c r="BR42" s="49" t="str">
        <f>IF(AND($BR$12&gt;=$F42,$BR$12&lt;$G42),$E42,"")</f>
        <v/>
      </c>
      <c r="BS42" s="89" t="str">
        <f>IF(AND($BS$12&gt;=$F42,$BS$12&lt;$G42),$E42,"")</f>
        <v/>
      </c>
      <c r="BT42" s="87" t="str">
        <f>IF(AND($BT$12&gt;=$F42,$BT$12&lt;$G42),$E42,"")</f>
        <v/>
      </c>
    </row>
    <row r="43" spans="2:72" s="93" customFormat="1" ht="12.75">
      <c r="B43" s="81" t="str">
        <f>Weekly!B59</f>
        <v>1062</v>
      </c>
      <c r="C43" s="90" t="str">
        <f>Weekly!C59</f>
        <v>Tomoko</v>
      </c>
      <c r="D43" s="90">
        <f>Weekly!D68</f>
        <v>0</v>
      </c>
      <c r="E43" s="91" t="str">
        <f>VLOOKUP(B43,Team!$B$4:$E$183,4,FALSE)</f>
        <v>L's</v>
      </c>
      <c r="F43" s="92">
        <f>Weekly!G59</f>
        <v>0.35416666666666602</v>
      </c>
      <c r="G43" s="92">
        <f>Weekly!H59</f>
        <v>0.687499999999999</v>
      </c>
      <c r="H43" s="48" t="str">
        <f>IF(AND($H$12&gt;=$F43,$H$12&lt;$G43),$E43,"")</f>
        <v/>
      </c>
      <c r="I43" s="48" t="str">
        <f>IF(AND($I$12&gt;=$F43,$I$12&lt;$G43),$E43,"")</f>
        <v/>
      </c>
      <c r="J43" s="48" t="str">
        <f>IF(AND($J$12&gt;=$F43,$J$12&lt;$G43),$E43,"")</f>
        <v/>
      </c>
      <c r="K43" s="84" t="str">
        <f>IF(AND($K$12&gt;=$F43,$K$12&lt;$G43),$E43,"")</f>
        <v/>
      </c>
      <c r="L43" s="82" t="str">
        <f>IF(AND($L$12&gt;=$F43,$L$12&lt;$G43),$E43,"")</f>
        <v/>
      </c>
      <c r="M43" s="48" t="str">
        <f>IF(AND($M$12&gt;=$F43,$M$12&lt;$G43),$E43,"")</f>
        <v/>
      </c>
      <c r="N43" s="118" t="s">
        <v>243</v>
      </c>
      <c r="O43" s="122" t="s">
        <v>345</v>
      </c>
      <c r="P43" s="122" t="s">
        <v>345</v>
      </c>
      <c r="Q43" s="122" t="s">
        <v>345</v>
      </c>
      <c r="R43" s="48" t="str">
        <f>IF(AND($R$12&gt;=$F43,$R$12&lt;$G43),$E43,"")</f>
        <v>L's</v>
      </c>
      <c r="S43" s="84" t="str">
        <f>IF(AND($S$12&gt;=$F43,$S$12&lt;$G43),$E43,"")</f>
        <v>L's</v>
      </c>
      <c r="T43" s="82" t="str">
        <f>IF(AND($T$12&gt;=$F43,$T$12&lt;$G43),$E43,"")</f>
        <v>L's</v>
      </c>
      <c r="U43" s="48" t="str">
        <f>IF(AND($U$12&gt;=$F43,$U$12&lt;$G43),$E43,"")</f>
        <v>L's</v>
      </c>
      <c r="V43" s="119" t="s">
        <v>235</v>
      </c>
      <c r="W43" s="119" t="s">
        <v>235</v>
      </c>
      <c r="X43" s="119" t="s">
        <v>235</v>
      </c>
      <c r="Y43" s="119" t="s">
        <v>235</v>
      </c>
      <c r="Z43" s="119" t="s">
        <v>235</v>
      </c>
      <c r="AA43" s="119" t="s">
        <v>235</v>
      </c>
      <c r="AB43" s="121">
        <v>40</v>
      </c>
      <c r="AC43" s="121">
        <v>40</v>
      </c>
      <c r="AD43" s="121">
        <v>40</v>
      </c>
      <c r="AE43" s="123" t="s">
        <v>237</v>
      </c>
      <c r="AF43" s="123" t="s">
        <v>237</v>
      </c>
      <c r="AG43" s="123" t="s">
        <v>237</v>
      </c>
      <c r="AH43" s="123" t="s">
        <v>237</v>
      </c>
      <c r="AI43" s="123" t="s">
        <v>237</v>
      </c>
      <c r="AJ43" s="82" t="str">
        <f>IF(AND($AJ$12&gt;=$F43,$AJ$12&lt;$G43),$E43,"")</f>
        <v>L's</v>
      </c>
      <c r="AK43" s="48" t="str">
        <f>IF(AND($AK$12&gt;=$F43,$AK$12&lt;$G43),$E43,"")</f>
        <v>L's</v>
      </c>
      <c r="AL43" s="48" t="str">
        <f>IF(AND($AL$12&gt;=$F43,$AL$12&lt;$G43),$E43,"")</f>
        <v>L's</v>
      </c>
      <c r="AM43" s="82" t="str">
        <f>IF(AND($AN$12&gt;=$F43,$AN$12&lt;$G43),$E43,"")</f>
        <v>L's</v>
      </c>
      <c r="AN43" s="82" t="str">
        <f>IF(AND($AN$12&gt;=$F43,$AN$12&lt;$G43),$E43,"")</f>
        <v>L's</v>
      </c>
      <c r="AO43" s="121">
        <v>10</v>
      </c>
      <c r="AP43" s="124" t="s">
        <v>241</v>
      </c>
      <c r="AQ43" s="124" t="s">
        <v>241</v>
      </c>
      <c r="AR43" s="124" t="s">
        <v>241</v>
      </c>
      <c r="AS43" s="124" t="s">
        <v>241</v>
      </c>
      <c r="AT43" s="48" t="str">
        <f>IF(AND($AT$12&gt;=$F43,$AT$12&lt;$G43),$E43,"")</f>
        <v/>
      </c>
      <c r="AU43" s="84" t="str">
        <f>IF(AND($AU$12&gt;=$F43,$AU$12&lt;$G43),$E43,"")</f>
        <v/>
      </c>
      <c r="AV43" s="82" t="str">
        <f>IF(AND($AV$12&gt;=$F43,$AV$12&lt;$G43),$E43,"")</f>
        <v/>
      </c>
      <c r="AW43" s="48" t="str">
        <f>IF(AND($AW$12&gt;=$F43,$AW$12&lt;$G43),$E43,"")</f>
        <v/>
      </c>
      <c r="AX43" s="48" t="str">
        <f>IF(AND($AX$12&gt;=$F43,$AX$12&lt;$G43),$E43,"")</f>
        <v/>
      </c>
      <c r="AY43" s="84" t="str">
        <f>IF(AND($AY$12&gt;=$F43,$AY$12&lt;$G43),$E43,"")</f>
        <v/>
      </c>
      <c r="AZ43" s="82" t="str">
        <f>IF(AND($AZ$12&gt;=$F43,$AZ$12&lt;$G43),$E43,"")</f>
        <v/>
      </c>
      <c r="BA43" s="48" t="str">
        <f>IF(AND($BA$12&gt;=$F43,$BA$12&lt;$G43),$E43,"")</f>
        <v/>
      </c>
      <c r="BB43" s="48" t="str">
        <f>IF(AND($BB$12&gt;=$F43,$BB$12&lt;$G43),$E43,"")</f>
        <v/>
      </c>
      <c r="BC43" s="84" t="str">
        <f>IF(AND($BC$12&gt;=$F43,$BC$12&lt;$G43),$E43,"")</f>
        <v/>
      </c>
      <c r="BD43" s="82" t="str">
        <f>IF(AND($BD$12&gt;=$F43,$BD$12&lt;$G43),$E43,"")</f>
        <v/>
      </c>
      <c r="BE43" s="48" t="str">
        <f>IF(AND($BE$12&gt;=$F43,$BE$12&lt;$G43),$E43,"")</f>
        <v/>
      </c>
      <c r="BF43" s="48" t="str">
        <f>IF(AND($BF$12&gt;=$F43,$BF$12&lt;$G43),$E43,"")</f>
        <v/>
      </c>
      <c r="BG43" s="84" t="str">
        <f>IF(AND($BG$12&gt;=$F43,$BG$12&lt;$G43),$E43,"")</f>
        <v/>
      </c>
      <c r="BH43" s="87" t="str">
        <f>IF(AND($BH$12&gt;=$F43,$BH$12&lt;$G43),$E43,"")</f>
        <v/>
      </c>
      <c r="BI43" s="49" t="str">
        <f>IF(AND($BI$12&gt;=$F43,$BI$12&lt;$G43),$E43,"")</f>
        <v/>
      </c>
      <c r="BJ43" s="49" t="str">
        <f>IF(AND($BJ$12&gt;=$F43,$BJ$12&lt;$G43),$E43,"")</f>
        <v/>
      </c>
      <c r="BK43" s="89" t="str">
        <f>IF(AND($BK$12&gt;=$F43,$BK$12&lt;$G43),$E43,"")</f>
        <v/>
      </c>
      <c r="BL43" s="87" t="str">
        <f>IF(AND($BL$12&gt;=$F43,$BL$12&lt;$G43),$E43,"")</f>
        <v/>
      </c>
      <c r="BM43" s="49" t="str">
        <f>IF(AND($BM$12&gt;=$F43,$BM$12&lt;$G43),$E43,"")</f>
        <v/>
      </c>
      <c r="BN43" s="49" t="str">
        <f>IF(AND($BN$12&gt;=$F43,$BN$12&lt;$G43),$E43,"")</f>
        <v/>
      </c>
      <c r="BO43" s="89" t="str">
        <f>IF(AND($BO$12&gt;=$F43,$BO$12&lt;$G43),$E43,"")</f>
        <v/>
      </c>
      <c r="BP43" s="87" t="str">
        <f>IF(AND($BP$12&gt;=$F43,$BP$12&lt;$G43),$E43,"")</f>
        <v/>
      </c>
      <c r="BQ43" s="49" t="str">
        <f>IF(AND($BQ$12&gt;=$F43,$BQ$12&lt;$G43),$E43,"")</f>
        <v/>
      </c>
      <c r="BR43" s="49" t="str">
        <f>IF(AND($BR$12&gt;=$F43,$BR$12&lt;$G43),$E43,"")</f>
        <v/>
      </c>
      <c r="BS43" s="89" t="str">
        <f>IF(AND($BS$12&gt;=$F43,$BS$12&lt;$G43),$E43,"")</f>
        <v/>
      </c>
      <c r="BT43" s="87" t="str">
        <f>IF(AND($BT$12&gt;=$F43,$BT$12&lt;$G43),$E43,"")</f>
        <v/>
      </c>
    </row>
    <row r="44" spans="2:72" s="93" customFormat="1" hidden="1">
      <c r="B44" s="81" t="str">
        <f>Weekly!B36</f>
        <v>01527</v>
      </c>
      <c r="C44" s="90" t="str">
        <f>Weekly!C36</f>
        <v>Justine</v>
      </c>
      <c r="D44" s="90">
        <f>Weekly!D74</f>
        <v>0</v>
      </c>
      <c r="E44" s="91" t="str">
        <f>VLOOKUP(B44,Team!$B$4:$E$183,4,FALSE)</f>
        <v>Stat.</v>
      </c>
      <c r="F44" s="92" t="str">
        <f>Weekly!G36</f>
        <v/>
      </c>
      <c r="G44" s="92" t="str">
        <f>Weekly!H36</f>
        <v/>
      </c>
      <c r="H44" s="48" t="str">
        <f>IF(AND($H$12&gt;=$F44,$H$12&lt;$G44),$E44,"")</f>
        <v/>
      </c>
      <c r="I44" s="48" t="str">
        <f>IF(AND($I$12&gt;=$F44,$I$12&lt;$G44),$E44,"")</f>
        <v/>
      </c>
      <c r="J44" s="48" t="str">
        <f>IF(AND($J$12&gt;=$F44,$J$12&lt;$G44),$E44,"")</f>
        <v/>
      </c>
      <c r="K44" s="84" t="str">
        <f>IF(AND($K$12&gt;=$F44,$K$12&lt;$G44),$E44,"")</f>
        <v/>
      </c>
      <c r="L44" s="82" t="str">
        <f>IF(AND($L$12&gt;=$F44,$L$12&lt;$G44),$E44,"")</f>
        <v/>
      </c>
      <c r="M44" s="48" t="str">
        <f>IF(AND($M$12&gt;=$F44,$M$12&lt;$G44),$E44,"")</f>
        <v/>
      </c>
      <c r="N44" s="48" t="str">
        <f>IF(AND($N$12&gt;=$F44,$N$12&lt;$G44),$E44,"")</f>
        <v/>
      </c>
      <c r="O44" s="84" t="str">
        <f>IF(AND($O$12&gt;=$F44,$O$12&lt;$G44),$E44,"")</f>
        <v/>
      </c>
      <c r="P44" s="82" t="str">
        <f>IF(AND($P$12&gt;=$F44,$P$12&lt;$G44),$E44,"")</f>
        <v/>
      </c>
      <c r="Q44" s="48" t="str">
        <f>IF(AND($Q$12&gt;=$F44,$Q$12&lt;$G44),$E44,"")</f>
        <v/>
      </c>
      <c r="R44" s="48" t="str">
        <f>IF(AND($R$12&gt;=$F44,$R$12&lt;$G44),$E44,"")</f>
        <v/>
      </c>
      <c r="S44" s="84" t="str">
        <f>IF(AND($S$12&gt;=$F44,$S$12&lt;$G44),$E44,"")</f>
        <v/>
      </c>
      <c r="T44" s="82" t="str">
        <f>IF(AND($T$12&gt;=$F44,$T$12&lt;$G44),$E44,"")</f>
        <v/>
      </c>
      <c r="U44" s="48" t="str">
        <f>IF(AND($U$12&gt;=$F44,$U$12&lt;$G44),$E44,"")</f>
        <v/>
      </c>
      <c r="V44" s="48" t="str">
        <f>IF(AND($V$12&gt;=$F44,$V$12&lt;$G44),$E44,"")</f>
        <v/>
      </c>
      <c r="W44" s="84" t="str">
        <f>IF(AND($W$12&gt;=$F44,$W$12&lt;$G44),$E44,"")</f>
        <v/>
      </c>
      <c r="X44" s="82" t="str">
        <f>IF(AND($X$12&gt;=$F44,$X$12&lt;$G44),$E44,"")</f>
        <v/>
      </c>
      <c r="Y44" s="48" t="str">
        <f>IF(AND($Y$12&gt;=$F44,$Y$12&lt;$G44),$E44,"")</f>
        <v/>
      </c>
      <c r="Z44" s="48" t="str">
        <f>IF(AND($Z$12&gt;=$F44,$Z$12&lt;$G44),$E44,"")</f>
        <v/>
      </c>
      <c r="AA44" s="84" t="str">
        <f>IF(AND($AA$12&gt;=$F44,$AA$12&lt;$G44),$E44,"")</f>
        <v/>
      </c>
      <c r="AB44" s="82" t="str">
        <f>IF(AND($AB$12&gt;=$F44,$AB$12&lt;$G44),$E44,"")</f>
        <v/>
      </c>
      <c r="AC44" s="48" t="str">
        <f>IF(AND($AC$12&gt;=$F44,$AC$12&lt;$G44),$E44,"")</f>
        <v/>
      </c>
      <c r="AD44" s="48" t="str">
        <f>IF(AND($AD$12&gt;=$F44,$AD$12&lt;$G44),$E44,"")</f>
        <v/>
      </c>
      <c r="AE44" s="84" t="str">
        <f>IF(AND($AE$12&gt;=$F44,$AE$12&lt;$G44),$E44,"")</f>
        <v/>
      </c>
      <c r="AF44" s="82" t="str">
        <f>IF(AND($AF$12&gt;=$F44,$AF$12&lt;$G44),$E44,"")</f>
        <v/>
      </c>
      <c r="AG44" s="48" t="str">
        <f>IF(AND($AG$12&gt;=$F44,$AG$12&lt;$G44),$E44,"")</f>
        <v/>
      </c>
      <c r="AH44" s="48" t="str">
        <f>IF(AND($AH$12&gt;=$F44,$AH$12&lt;$G44),$E44,"")</f>
        <v/>
      </c>
      <c r="AI44" s="84" t="str">
        <f>IF(AND($AI$12&gt;=$F44,$AI$12&lt;$G44),$E44,"")</f>
        <v/>
      </c>
      <c r="AJ44" s="82" t="str">
        <f>IF(AND($AJ$12&gt;=$F44,$AJ$12&lt;$G44),$E44,"")</f>
        <v/>
      </c>
      <c r="AK44" s="48" t="str">
        <f>IF(AND($AK$12&gt;=$F44,$AK$12&lt;$G44),$E44,"")</f>
        <v/>
      </c>
      <c r="AL44" s="48" t="str">
        <f>IF(AND($AL$12&gt;=$F44,$AL$12&lt;$G44),$E44,"")</f>
        <v/>
      </c>
      <c r="AM44" s="84" t="str">
        <f>IF(AND($AM$12&gt;=$F44,$AM$12&lt;$G44),$E44,"")</f>
        <v/>
      </c>
      <c r="AN44" s="82" t="str">
        <f>IF(AND($AN$12&gt;=$F44,$AN$12&lt;$G44),$E44,"")</f>
        <v/>
      </c>
      <c r="AO44" s="48" t="str">
        <f>IF(AND($AO$12&gt;=$F44,$AO$12&lt;$G44),$E44,"")</f>
        <v/>
      </c>
      <c r="AP44" s="48" t="str">
        <f>IF(AND($AP$12&gt;=$F44,$AP$12&lt;$G44),$E44,"")</f>
        <v/>
      </c>
      <c r="AQ44" s="84" t="str">
        <f>IF(AND($AQ$12&gt;=$F44,$AQ$12&lt;$G44),$E44,"")</f>
        <v/>
      </c>
      <c r="AR44" s="82" t="str">
        <f>IF(AND($AR$12&gt;=$F44,$AR$12&lt;$G44),$E44,"")</f>
        <v/>
      </c>
      <c r="AS44" s="48" t="str">
        <f>IF(AND($AS$12&gt;=$F44,$AS$12&lt;$G44),$E44,"")</f>
        <v/>
      </c>
      <c r="AT44" s="48" t="str">
        <f>IF(AND($AT$12&gt;=$F44,$AT$12&lt;$G44),$E44,"")</f>
        <v/>
      </c>
      <c r="AU44" s="84" t="str">
        <f>IF(AND($AU$12&gt;=$F44,$AU$12&lt;$G44),$E44,"")</f>
        <v/>
      </c>
      <c r="AV44" s="82" t="str">
        <f>IF(AND($AV$12&gt;=$F44,$AV$12&lt;$G44),$E44,"")</f>
        <v/>
      </c>
      <c r="AW44" s="48" t="str">
        <f>IF(AND($AW$12&gt;=$F44,$AW$12&lt;$G44),$E44,"")</f>
        <v/>
      </c>
      <c r="AX44" s="48" t="str">
        <f>IF(AND($AX$12&gt;=$F44,$AX$12&lt;$G44),$E44,"")</f>
        <v/>
      </c>
      <c r="AY44" s="84" t="str">
        <f>IF(AND($AY$12&gt;=$F44,$AY$12&lt;$G44),$E44,"")</f>
        <v/>
      </c>
      <c r="AZ44" s="82" t="str">
        <f>IF(AND($AZ$12&gt;=$F44,$AZ$12&lt;$G44),$E44,"")</f>
        <v/>
      </c>
      <c r="BA44" s="48" t="str">
        <f>IF(AND($BA$12&gt;=$F44,$BA$12&lt;$G44),$E44,"")</f>
        <v/>
      </c>
      <c r="BB44" s="48" t="str">
        <f>IF(AND($BB$12&gt;=$F44,$BB$12&lt;$G44),$E44,"")</f>
        <v/>
      </c>
      <c r="BC44" s="84" t="str">
        <f>IF(AND($BC$12&gt;=$F44,$BC$12&lt;$G44),$E44,"")</f>
        <v/>
      </c>
      <c r="BD44" s="82" t="str">
        <f>IF(AND($BD$12&gt;=$F44,$BD$12&lt;$G44),$E44,"")</f>
        <v/>
      </c>
      <c r="BE44" s="48" t="str">
        <f>IF(AND($BE$12&gt;=$F44,$BE$12&lt;$G44),$E44,"")</f>
        <v/>
      </c>
      <c r="BF44" s="48" t="str">
        <f>IF(AND($BF$12&gt;=$F44,$BF$12&lt;$G44),$E44,"")</f>
        <v/>
      </c>
      <c r="BG44" s="84" t="str">
        <f>IF(AND($BG$12&gt;=$F44,$BG$12&lt;$G44),$E44,"")</f>
        <v/>
      </c>
      <c r="BH44" s="87" t="str">
        <f>IF(AND($BH$12&gt;=$F44,$BH$12&lt;$G44),$E44,"")</f>
        <v/>
      </c>
      <c r="BI44" s="49" t="str">
        <f>IF(AND($BI$12&gt;=$F44,$BI$12&lt;$G44),$E44,"")</f>
        <v/>
      </c>
      <c r="BJ44" s="49" t="str">
        <f>IF(AND($BJ$12&gt;=$F44,$BJ$12&lt;$G44),$E44,"")</f>
        <v/>
      </c>
      <c r="BK44" s="89" t="str">
        <f>IF(AND($BK$12&gt;=$F44,$BK$12&lt;$G44),$E44,"")</f>
        <v/>
      </c>
      <c r="BL44" s="87" t="str">
        <f>IF(AND($BL$12&gt;=$F44,$BL$12&lt;$G44),$E44,"")</f>
        <v/>
      </c>
      <c r="BM44" s="49" t="str">
        <f>IF(AND($BM$12&gt;=$F44,$BM$12&lt;$G44),$E44,"")</f>
        <v/>
      </c>
      <c r="BN44" s="49" t="str">
        <f>IF(AND($BN$12&gt;=$F44,$BN$12&lt;$G44),$E44,"")</f>
        <v/>
      </c>
      <c r="BO44" s="89" t="str">
        <f>IF(AND($BO$12&gt;=$F44,$BO$12&lt;$G44),$E44,"")</f>
        <v/>
      </c>
      <c r="BP44" s="87" t="str">
        <f>IF(AND($BP$12&gt;=$F44,$BP$12&lt;$G44),$E44,"")</f>
        <v/>
      </c>
      <c r="BQ44" s="49" t="str">
        <f>IF(AND($BQ$12&gt;=$F44,$BQ$12&lt;$G44),$E44,"")</f>
        <v/>
      </c>
      <c r="BR44" s="49" t="str">
        <f>IF(AND($BR$12&gt;=$F44,$BR$12&lt;$G44),$E44,"")</f>
        <v/>
      </c>
      <c r="BS44" s="89" t="str">
        <f>IF(AND($BS$12&gt;=$F44,$BS$12&lt;$G44),$E44,"")</f>
        <v/>
      </c>
      <c r="BT44" s="87" t="str">
        <f>IF(AND($BT$12&gt;=$F44,$BT$12&lt;$G44),$E44,"")</f>
        <v/>
      </c>
    </row>
    <row r="45" spans="2:72" s="93" customFormat="1" hidden="1">
      <c r="B45" s="81" t="str">
        <f>Weekly!B37</f>
        <v>01519</v>
      </c>
      <c r="C45" s="90" t="str">
        <f>Weekly!C37</f>
        <v>Kathy</v>
      </c>
      <c r="D45" s="90">
        <f>Weekly!D75</f>
        <v>0</v>
      </c>
      <c r="E45" s="91" t="str">
        <f>VLOOKUP(B45,Team!$B$4:$E$183,4,FALSE)</f>
        <v>Stat.</v>
      </c>
      <c r="F45" s="92" t="str">
        <f>Weekly!G37</f>
        <v/>
      </c>
      <c r="G45" s="92" t="str">
        <f>Weekly!H37</f>
        <v/>
      </c>
      <c r="H45" s="48" t="str">
        <f>IF(AND($H$12&gt;=$F45,$H$12&lt;$G45),$E45,"")</f>
        <v/>
      </c>
      <c r="I45" s="48" t="str">
        <f>IF(AND($I$12&gt;=$F45,$I$12&lt;$G45),$E45,"")</f>
        <v/>
      </c>
      <c r="J45" s="48" t="str">
        <f>IF(AND($J$12&gt;=$F45,$J$12&lt;$G45),$E45,"")</f>
        <v/>
      </c>
      <c r="K45" s="84" t="str">
        <f>IF(AND($K$12&gt;=$F45,$K$12&lt;$G45),$E45,"")</f>
        <v/>
      </c>
      <c r="L45" s="82" t="str">
        <f>IF(AND($L$12&gt;=$F45,$L$12&lt;$G45),$E45,"")</f>
        <v/>
      </c>
      <c r="M45" s="48" t="str">
        <f>IF(AND($M$12&gt;=$F45,$M$12&lt;$G45),$E45,"")</f>
        <v/>
      </c>
      <c r="N45" s="48" t="str">
        <f>IF(AND($N$12&gt;=$F45,$N$12&lt;$G45),$E45,"")</f>
        <v/>
      </c>
      <c r="O45" s="84" t="str">
        <f>IF(AND($O$12&gt;=$F45,$O$12&lt;$G45),$E45,"")</f>
        <v/>
      </c>
      <c r="P45" s="82" t="str">
        <f>IF(AND($P$12&gt;=$F45,$P$12&lt;$G45),$E45,"")</f>
        <v/>
      </c>
      <c r="Q45" s="48" t="str">
        <f>IF(AND($Q$12&gt;=$F45,$Q$12&lt;$G45),$E45,"")</f>
        <v/>
      </c>
      <c r="R45" s="48" t="str">
        <f>IF(AND($R$12&gt;=$F45,$R$12&lt;$G45),$E45,"")</f>
        <v/>
      </c>
      <c r="S45" s="84" t="str">
        <f>IF(AND($S$12&gt;=$F45,$S$12&lt;$G45),$E45,"")</f>
        <v/>
      </c>
      <c r="T45" s="82" t="str">
        <f>IF(AND($T$12&gt;=$F45,$T$12&lt;$G45),$E45,"")</f>
        <v/>
      </c>
      <c r="U45" s="48" t="str">
        <f>IF(AND($U$12&gt;=$F45,$U$12&lt;$G45),$E45,"")</f>
        <v/>
      </c>
      <c r="V45" s="48" t="str">
        <f>IF(AND($V$12&gt;=$F45,$V$12&lt;$G45),$E45,"")</f>
        <v/>
      </c>
      <c r="W45" s="84" t="str">
        <f>IF(AND($W$12&gt;=$F45,$W$12&lt;$G45),$E45,"")</f>
        <v/>
      </c>
      <c r="X45" s="82" t="str">
        <f>IF(AND($X$12&gt;=$F45,$X$12&lt;$G45),$E45,"")</f>
        <v/>
      </c>
      <c r="Y45" s="48" t="str">
        <f>IF(AND($Y$12&gt;=$F45,$Y$12&lt;$G45),$E45,"")</f>
        <v/>
      </c>
      <c r="Z45" s="48" t="str">
        <f>IF(AND($Z$12&gt;=$F45,$Z$12&lt;$G45),$E45,"")</f>
        <v/>
      </c>
      <c r="AA45" s="84" t="str">
        <f>IF(AND($AA$12&gt;=$F45,$AA$12&lt;$G45),$E45,"")</f>
        <v/>
      </c>
      <c r="AB45" s="82" t="str">
        <f>IF(AND($AB$12&gt;=$F45,$AB$12&lt;$G45),$E45,"")</f>
        <v/>
      </c>
      <c r="AC45" s="48" t="str">
        <f>IF(AND($AC$12&gt;=$F45,$AC$12&lt;$G45),$E45,"")</f>
        <v/>
      </c>
      <c r="AD45" s="48" t="str">
        <f>IF(AND($AD$12&gt;=$F45,$AD$12&lt;$G45),$E45,"")</f>
        <v/>
      </c>
      <c r="AE45" s="84" t="str">
        <f>IF(AND($AE$12&gt;=$F45,$AE$12&lt;$G45),$E45,"")</f>
        <v/>
      </c>
      <c r="AF45" s="82" t="str">
        <f>IF(AND($AF$12&gt;=$F45,$AF$12&lt;$G45),$E45,"")</f>
        <v/>
      </c>
      <c r="AG45" s="48" t="str">
        <f>IF(AND($AG$12&gt;=$F45,$AG$12&lt;$G45),$E45,"")</f>
        <v/>
      </c>
      <c r="AH45" s="48" t="str">
        <f>IF(AND($AH$12&gt;=$F45,$AH$12&lt;$G45),$E45,"")</f>
        <v/>
      </c>
      <c r="AI45" s="84" t="str">
        <f>IF(AND($AI$12&gt;=$F45,$AI$12&lt;$G45),$E45,"")</f>
        <v/>
      </c>
      <c r="AJ45" s="82" t="str">
        <f>IF(AND($AJ$12&gt;=$F45,$AJ$12&lt;$G45),$E45,"")</f>
        <v/>
      </c>
      <c r="AK45" s="48" t="str">
        <f>IF(AND($AK$12&gt;=$F45,$AK$12&lt;$G45),$E45,"")</f>
        <v/>
      </c>
      <c r="AL45" s="48" t="str">
        <f>IF(AND($AL$12&gt;=$F45,$AL$12&lt;$G45),$E45,"")</f>
        <v/>
      </c>
      <c r="AM45" s="84" t="str">
        <f>IF(AND($AM$12&gt;=$F45,$AM$12&lt;$G45),$E45,"")</f>
        <v/>
      </c>
      <c r="AN45" s="82" t="str">
        <f>IF(AND($AN$12&gt;=$F45,$AN$12&lt;$G45),$E45,"")</f>
        <v/>
      </c>
      <c r="AO45" s="48" t="str">
        <f>IF(AND($AO$12&gt;=$F45,$AO$12&lt;$G45),$E45,"")</f>
        <v/>
      </c>
      <c r="AP45" s="48" t="str">
        <f>IF(AND($AP$12&gt;=$F45,$AP$12&lt;$G45),$E45,"")</f>
        <v/>
      </c>
      <c r="AQ45" s="84" t="str">
        <f>IF(AND($AQ$12&gt;=$F45,$AQ$12&lt;$G45),$E45,"")</f>
        <v/>
      </c>
      <c r="AR45" s="82" t="str">
        <f>IF(AND($AR$12&gt;=$F45,$AR$12&lt;$G45),$E45,"")</f>
        <v/>
      </c>
      <c r="AS45" s="48" t="str">
        <f>IF(AND($AS$12&gt;=$F45,$AS$12&lt;$G45),$E45,"")</f>
        <v/>
      </c>
      <c r="AT45" s="48" t="str">
        <f>IF(AND($AT$12&gt;=$F45,$AT$12&lt;$G45),$E45,"")</f>
        <v/>
      </c>
      <c r="AU45" s="84" t="str">
        <f>IF(AND($AU$12&gt;=$F45,$AU$12&lt;$G45),$E45,"")</f>
        <v/>
      </c>
      <c r="AV45" s="82" t="str">
        <f>IF(AND($AV$12&gt;=$F45,$AV$12&lt;$G45),$E45,"")</f>
        <v/>
      </c>
      <c r="AW45" s="48" t="str">
        <f>IF(AND($AW$12&gt;=$F45,$AW$12&lt;$G45),$E45,"")</f>
        <v/>
      </c>
      <c r="AX45" s="48" t="str">
        <f>IF(AND($AX$12&gt;=$F45,$AX$12&lt;$G45),$E45,"")</f>
        <v/>
      </c>
      <c r="AY45" s="84" t="str">
        <f>IF(AND($AY$12&gt;=$F45,$AY$12&lt;$G45),$E45,"")</f>
        <v/>
      </c>
      <c r="AZ45" s="82" t="str">
        <f>IF(AND($AZ$12&gt;=$F45,$AZ$12&lt;$G45),$E45,"")</f>
        <v/>
      </c>
      <c r="BA45" s="48" t="str">
        <f>IF(AND($BA$12&gt;=$F45,$BA$12&lt;$G45),$E45,"")</f>
        <v/>
      </c>
      <c r="BB45" s="48" t="str">
        <f>IF(AND($BB$12&gt;=$F45,$BB$12&lt;$G45),$E45,"")</f>
        <v/>
      </c>
      <c r="BC45" s="84" t="str">
        <f>IF(AND($BC$12&gt;=$F45,$BC$12&lt;$G45),$E45,"")</f>
        <v/>
      </c>
      <c r="BD45" s="82" t="str">
        <f>IF(AND($BD$12&gt;=$F45,$BD$12&lt;$G45),$E45,"")</f>
        <v/>
      </c>
      <c r="BE45" s="48" t="str">
        <f>IF(AND($BE$12&gt;=$F45,$BE$12&lt;$G45),$E45,"")</f>
        <v/>
      </c>
      <c r="BF45" s="48" t="str">
        <f>IF(AND($BF$12&gt;=$F45,$BF$12&lt;$G45),$E45,"")</f>
        <v/>
      </c>
      <c r="BG45" s="84" t="str">
        <f>IF(AND($BG$12&gt;=$F45,$BG$12&lt;$G45),$E45,"")</f>
        <v/>
      </c>
      <c r="BH45" s="87" t="str">
        <f>IF(AND($BH$12&gt;=$F45,$BH$12&lt;$G45),$E45,"")</f>
        <v/>
      </c>
      <c r="BI45" s="49" t="str">
        <f>IF(AND($BI$12&gt;=$F45,$BI$12&lt;$G45),$E45,"")</f>
        <v/>
      </c>
      <c r="BJ45" s="49" t="str">
        <f>IF(AND($BJ$12&gt;=$F45,$BJ$12&lt;$G45),$E45,"")</f>
        <v/>
      </c>
      <c r="BK45" s="89" t="str">
        <f>IF(AND($BK$12&gt;=$F45,$BK$12&lt;$G45),$E45,"")</f>
        <v/>
      </c>
      <c r="BL45" s="87" t="str">
        <f>IF(AND($BL$12&gt;=$F45,$BL$12&lt;$G45),$E45,"")</f>
        <v/>
      </c>
      <c r="BM45" s="49" t="str">
        <f>IF(AND($BM$12&gt;=$F45,$BM$12&lt;$G45),$E45,"")</f>
        <v/>
      </c>
      <c r="BN45" s="49" t="str">
        <f>IF(AND($BN$12&gt;=$F45,$BN$12&lt;$G45),$E45,"")</f>
        <v/>
      </c>
      <c r="BO45" s="89" t="str">
        <f>IF(AND($BO$12&gt;=$F45,$BO$12&lt;$G45),$E45,"")</f>
        <v/>
      </c>
      <c r="BP45" s="87" t="str">
        <f>IF(AND($BP$12&gt;=$F45,$BP$12&lt;$G45),$E45,"")</f>
        <v/>
      </c>
      <c r="BQ45" s="49" t="str">
        <f>IF(AND($BQ$12&gt;=$F45,$BQ$12&lt;$G45),$E45,"")</f>
        <v/>
      </c>
      <c r="BR45" s="49" t="str">
        <f>IF(AND($BR$12&gt;=$F45,$BR$12&lt;$G45),$E45,"")</f>
        <v/>
      </c>
      <c r="BS45" s="89" t="str">
        <f>IF(AND($BS$12&gt;=$F45,$BS$12&lt;$G45),$E45,"")</f>
        <v/>
      </c>
      <c r="BT45" s="87" t="str">
        <f>IF(AND($BT$12&gt;=$F45,$BT$12&lt;$G45),$E45,"")</f>
        <v/>
      </c>
    </row>
    <row r="46" spans="2:72" s="93" customFormat="1" hidden="1">
      <c r="B46" s="81" t="str">
        <f>Weekly!B38</f>
        <v>1143</v>
      </c>
      <c r="C46" s="90" t="str">
        <f>Weekly!C38</f>
        <v>Kaye</v>
      </c>
      <c r="D46" s="90">
        <f>Weekly!D76</f>
        <v>0</v>
      </c>
      <c r="E46" s="91" t="str">
        <f>VLOOKUP(B46,Team!$B$4:$E$183,4,FALSE)</f>
        <v>L's</v>
      </c>
      <c r="F46" s="92" t="str">
        <f>Weekly!G38</f>
        <v/>
      </c>
      <c r="G46" s="92" t="str">
        <f>Weekly!H38</f>
        <v/>
      </c>
      <c r="H46" s="48" t="str">
        <f>IF(AND($H$12&gt;=$F46,$H$12&lt;$G46),$E46,"")</f>
        <v/>
      </c>
      <c r="I46" s="48" t="str">
        <f>IF(AND($I$12&gt;=$F46,$I$12&lt;$G46),$E46,"")</f>
        <v/>
      </c>
      <c r="J46" s="48" t="str">
        <f>IF(AND($J$12&gt;=$F46,$J$12&lt;$G46),$E46,"")</f>
        <v/>
      </c>
      <c r="K46" s="84" t="str">
        <f>IF(AND($K$12&gt;=$F46,$K$12&lt;$G46),$E46,"")</f>
        <v/>
      </c>
      <c r="L46" s="82" t="str">
        <f>IF(AND($L$12&gt;=$F46,$L$12&lt;$G46),$E46,"")</f>
        <v/>
      </c>
      <c r="M46" s="48" t="str">
        <f>IF(AND($M$12&gt;=$F46,$M$12&lt;$G46),$E46,"")</f>
        <v/>
      </c>
      <c r="N46" s="48" t="str">
        <f>IF(AND($N$12&gt;=$F46,$N$12&lt;$G46),$E46,"")</f>
        <v/>
      </c>
      <c r="O46" s="84" t="str">
        <f>IF(AND($O$12&gt;=$F46,$O$12&lt;$G46),$E46,"")</f>
        <v/>
      </c>
      <c r="P46" s="82" t="str">
        <f>IF(AND($P$12&gt;=$F46,$P$12&lt;$G46),$E46,"")</f>
        <v/>
      </c>
      <c r="Q46" s="48" t="str">
        <f>IF(AND($Q$12&gt;=$F46,$Q$12&lt;$G46),$E46,"")</f>
        <v/>
      </c>
      <c r="R46" s="48" t="str">
        <f>IF(AND($R$12&gt;=$F46,$R$12&lt;$G46),$E46,"")</f>
        <v/>
      </c>
      <c r="S46" s="84" t="str">
        <f>IF(AND($S$12&gt;=$F46,$S$12&lt;$G46),$E46,"")</f>
        <v/>
      </c>
      <c r="T46" s="82" t="str">
        <f>IF(AND($T$12&gt;=$F46,$T$12&lt;$G46),$E46,"")</f>
        <v/>
      </c>
      <c r="U46" s="48" t="str">
        <f>IF(AND($U$12&gt;=$F46,$U$12&lt;$G46),$E46,"")</f>
        <v/>
      </c>
      <c r="V46" s="48" t="str">
        <f>IF(AND($V$12&gt;=$F46,$V$12&lt;$G46),$E46,"")</f>
        <v/>
      </c>
      <c r="W46" s="84" t="str">
        <f>IF(AND($W$12&gt;=$F46,$W$12&lt;$G46),$E46,"")</f>
        <v/>
      </c>
      <c r="X46" s="82" t="str">
        <f>IF(AND($X$12&gt;=$F46,$X$12&lt;$G46),$E46,"")</f>
        <v/>
      </c>
      <c r="Y46" s="48" t="str">
        <f>IF(AND($Y$12&gt;=$F46,$Y$12&lt;$G46),$E46,"")</f>
        <v/>
      </c>
      <c r="Z46" s="48" t="str">
        <f>IF(AND($Z$12&gt;=$F46,$Z$12&lt;$G46),$E46,"")</f>
        <v/>
      </c>
      <c r="AA46" s="84" t="str">
        <f>IF(AND($AA$12&gt;=$F46,$AA$12&lt;$G46),$E46,"")</f>
        <v/>
      </c>
      <c r="AB46" s="82" t="str">
        <f>IF(AND($AB$12&gt;=$F46,$AB$12&lt;$G46),$E46,"")</f>
        <v/>
      </c>
      <c r="AC46" s="48" t="str">
        <f>IF(AND($AC$12&gt;=$F46,$AC$12&lt;$G46),$E46,"")</f>
        <v/>
      </c>
      <c r="AD46" s="48" t="str">
        <f>IF(AND($AD$12&gt;=$F46,$AD$12&lt;$G46),$E46,"")</f>
        <v/>
      </c>
      <c r="AE46" s="84" t="str">
        <f>IF(AND($AE$12&gt;=$F46,$AE$12&lt;$G46),$E46,"")</f>
        <v/>
      </c>
      <c r="AF46" s="82" t="str">
        <f>IF(AND($AF$12&gt;=$F46,$AF$12&lt;$G46),$E46,"")</f>
        <v/>
      </c>
      <c r="AG46" s="48" t="str">
        <f>IF(AND($AG$12&gt;=$F46,$AG$12&lt;$G46),$E46,"")</f>
        <v/>
      </c>
      <c r="AH46" s="48" t="str">
        <f>IF(AND($AH$12&gt;=$F46,$AH$12&lt;$G46),$E46,"")</f>
        <v/>
      </c>
      <c r="AI46" s="84" t="str">
        <f>IF(AND($AI$12&gt;=$F46,$AI$12&lt;$G46),$E46,"")</f>
        <v/>
      </c>
      <c r="AJ46" s="82" t="str">
        <f>IF(AND($AJ$12&gt;=$F46,$AJ$12&lt;$G46),$E46,"")</f>
        <v/>
      </c>
      <c r="AK46" s="48" t="str">
        <f>IF(AND($AK$12&gt;=$F46,$AK$12&lt;$G46),$E46,"")</f>
        <v/>
      </c>
      <c r="AL46" s="48" t="str">
        <f>IF(AND($AL$12&gt;=$F46,$AL$12&lt;$G46),$E46,"")</f>
        <v/>
      </c>
      <c r="AM46" s="84" t="str">
        <f>IF(AND($AM$12&gt;=$F46,$AM$12&lt;$G46),$E46,"")</f>
        <v/>
      </c>
      <c r="AN46" s="82" t="str">
        <f>IF(AND($AN$12&gt;=$F46,$AN$12&lt;$G46),$E46,"")</f>
        <v/>
      </c>
      <c r="AO46" s="48" t="str">
        <f>IF(AND($AO$12&gt;=$F46,$AO$12&lt;$G46),$E46,"")</f>
        <v/>
      </c>
      <c r="AP46" s="48" t="str">
        <f>IF(AND($AP$12&gt;=$F46,$AP$12&lt;$G46),$E46,"")</f>
        <v/>
      </c>
      <c r="AQ46" s="84" t="str">
        <f>IF(AND($AQ$12&gt;=$F46,$AQ$12&lt;$G46),$E46,"")</f>
        <v/>
      </c>
      <c r="AR46" s="82" t="str">
        <f>IF(AND($AR$12&gt;=$F46,$AR$12&lt;$G46),$E46,"")</f>
        <v/>
      </c>
      <c r="AS46" s="48" t="str">
        <f>IF(AND($AS$12&gt;=$F46,$AS$12&lt;$G46),$E46,"")</f>
        <v/>
      </c>
      <c r="AT46" s="48" t="str">
        <f>IF(AND($AT$12&gt;=$F46,$AT$12&lt;$G46),$E46,"")</f>
        <v/>
      </c>
      <c r="AU46" s="84" t="str">
        <f>IF(AND($AU$12&gt;=$F46,$AU$12&lt;$G46),$E46,"")</f>
        <v/>
      </c>
      <c r="AV46" s="82" t="str">
        <f>IF(AND($AV$12&gt;=$F46,$AV$12&lt;$G46),$E46,"")</f>
        <v/>
      </c>
      <c r="AW46" s="48" t="str">
        <f>IF(AND($AW$12&gt;=$F46,$AW$12&lt;$G46),$E46,"")</f>
        <v/>
      </c>
      <c r="AX46" s="48" t="str">
        <f>IF(AND($AX$12&gt;=$F46,$AX$12&lt;$G46),$E46,"")</f>
        <v/>
      </c>
      <c r="AY46" s="84" t="str">
        <f>IF(AND($AY$12&gt;=$F46,$AY$12&lt;$G46),$E46,"")</f>
        <v/>
      </c>
      <c r="AZ46" s="82" t="str">
        <f>IF(AND($AZ$12&gt;=$F46,$AZ$12&lt;$G46),$E46,"")</f>
        <v/>
      </c>
      <c r="BA46" s="48" t="str">
        <f>IF(AND($BA$12&gt;=$F46,$BA$12&lt;$G46),$E46,"")</f>
        <v/>
      </c>
      <c r="BB46" s="48" t="str">
        <f>IF(AND($BB$12&gt;=$F46,$BB$12&lt;$G46),$E46,"")</f>
        <v/>
      </c>
      <c r="BC46" s="84" t="str">
        <f>IF(AND($BC$12&gt;=$F46,$BC$12&lt;$G46),$E46,"")</f>
        <v/>
      </c>
      <c r="BD46" s="82" t="str">
        <f>IF(AND($BD$12&gt;=$F46,$BD$12&lt;$G46),$E46,"")</f>
        <v/>
      </c>
      <c r="BE46" s="48" t="str">
        <f>IF(AND($BE$12&gt;=$F46,$BE$12&lt;$G46),$E46,"")</f>
        <v/>
      </c>
      <c r="BF46" s="48" t="str">
        <f>IF(AND($BF$12&gt;=$F46,$BF$12&lt;$G46),$E46,"")</f>
        <v/>
      </c>
      <c r="BG46" s="84" t="str">
        <f>IF(AND($BG$12&gt;=$F46,$BG$12&lt;$G46),$E46,"")</f>
        <v/>
      </c>
      <c r="BH46" s="87" t="str">
        <f>IF(AND($BH$12&gt;=$F46,$BH$12&lt;$G46),$E46,"")</f>
        <v/>
      </c>
      <c r="BI46" s="49" t="str">
        <f>IF(AND($BI$12&gt;=$F46,$BI$12&lt;$G46),$E46,"")</f>
        <v/>
      </c>
      <c r="BJ46" s="49" t="str">
        <f>IF(AND($BJ$12&gt;=$F46,$BJ$12&lt;$G46),$E46,"")</f>
        <v/>
      </c>
      <c r="BK46" s="89" t="str">
        <f>IF(AND($BK$12&gt;=$F46,$BK$12&lt;$G46),$E46,"")</f>
        <v/>
      </c>
      <c r="BL46" s="87" t="str">
        <f>IF(AND($BL$12&gt;=$F46,$BL$12&lt;$G46),$E46,"")</f>
        <v/>
      </c>
      <c r="BM46" s="49" t="str">
        <f>IF(AND($BM$12&gt;=$F46,$BM$12&lt;$G46),$E46,"")</f>
        <v/>
      </c>
      <c r="BN46" s="49" t="str">
        <f>IF(AND($BN$12&gt;=$F46,$BN$12&lt;$G46),$E46,"")</f>
        <v/>
      </c>
      <c r="BO46" s="89" t="str">
        <f>IF(AND($BO$12&gt;=$F46,$BO$12&lt;$G46),$E46,"")</f>
        <v/>
      </c>
      <c r="BP46" s="87" t="str">
        <f>IF(AND($BP$12&gt;=$F46,$BP$12&lt;$G46),$E46,"")</f>
        <v/>
      </c>
      <c r="BQ46" s="49" t="str">
        <f>IF(AND($BQ$12&gt;=$F46,$BQ$12&lt;$G46),$E46,"")</f>
        <v/>
      </c>
      <c r="BR46" s="49" t="str">
        <f>IF(AND($BR$12&gt;=$F46,$BR$12&lt;$G46),$E46,"")</f>
        <v/>
      </c>
      <c r="BS46" s="89" t="str">
        <f>IF(AND($BS$12&gt;=$F46,$BS$12&lt;$G46),$E46,"")</f>
        <v/>
      </c>
      <c r="BT46" s="87" t="str">
        <f>IF(AND($BT$12&gt;=$F46,$BT$12&lt;$G46),$E46,"")</f>
        <v/>
      </c>
    </row>
    <row r="47" spans="2:72" s="93" customFormat="1" hidden="1">
      <c r="B47" s="81" t="str">
        <f>Weekly!B39</f>
        <v>01523</v>
      </c>
      <c r="C47" s="90" t="str">
        <f>Weekly!C39</f>
        <v>Lachlan</v>
      </c>
      <c r="D47" s="90">
        <f>Weekly!D77</f>
        <v>0</v>
      </c>
      <c r="E47" s="91" t="str">
        <f>VLOOKUP(B47,Team!$B$4:$E$183,4,FALSE)</f>
        <v>L's</v>
      </c>
      <c r="F47" s="92" t="str">
        <f>Weekly!G39</f>
        <v/>
      </c>
      <c r="G47" s="92" t="str">
        <f>Weekly!H39</f>
        <v/>
      </c>
      <c r="H47" s="48" t="str">
        <f>IF(AND($H$12&gt;=$F47,$H$12&lt;$G47),$E47,"")</f>
        <v/>
      </c>
      <c r="I47" s="48" t="str">
        <f>IF(AND($I$12&gt;=$F47,$I$12&lt;$G47),$E47,"")</f>
        <v/>
      </c>
      <c r="J47" s="48" t="str">
        <f>IF(AND($J$12&gt;=$F47,$J$12&lt;$G47),$E47,"")</f>
        <v/>
      </c>
      <c r="K47" s="84" t="str">
        <f>IF(AND($K$12&gt;=$F47,$K$12&lt;$G47),$E47,"")</f>
        <v/>
      </c>
      <c r="L47" s="82" t="str">
        <f>IF(AND($L$12&gt;=$F47,$L$12&lt;$G47),$E47,"")</f>
        <v/>
      </c>
      <c r="M47" s="48" t="str">
        <f>IF(AND($M$12&gt;=$F47,$M$12&lt;$G47),$E47,"")</f>
        <v/>
      </c>
      <c r="N47" s="48" t="str">
        <f>IF(AND($N$12&gt;=$F47,$N$12&lt;$G47),$E47,"")</f>
        <v/>
      </c>
      <c r="O47" s="84" t="str">
        <f>IF(AND($O$12&gt;=$F47,$O$12&lt;$G47),$E47,"")</f>
        <v/>
      </c>
      <c r="P47" s="82" t="str">
        <f>IF(AND($P$12&gt;=$F47,$P$12&lt;$G47),$E47,"")</f>
        <v/>
      </c>
      <c r="Q47" s="48" t="str">
        <f>IF(AND($Q$12&gt;=$F47,$Q$12&lt;$G47),$E47,"")</f>
        <v/>
      </c>
      <c r="R47" s="48" t="str">
        <f>IF(AND($R$12&gt;=$F47,$R$12&lt;$G47),$E47,"")</f>
        <v/>
      </c>
      <c r="S47" s="84" t="str">
        <f>IF(AND($S$12&gt;=$F47,$S$12&lt;$G47),$E47,"")</f>
        <v/>
      </c>
      <c r="T47" s="82" t="str">
        <f>IF(AND($T$12&gt;=$F47,$T$12&lt;$G47),$E47,"")</f>
        <v/>
      </c>
      <c r="U47" s="48" t="str">
        <f>IF(AND($U$12&gt;=$F47,$U$12&lt;$G47),$E47,"")</f>
        <v/>
      </c>
      <c r="V47" s="48" t="str">
        <f>IF(AND($V$12&gt;=$F47,$V$12&lt;$G47),$E47,"")</f>
        <v/>
      </c>
      <c r="W47" s="84" t="str">
        <f>IF(AND($W$12&gt;=$F47,$W$12&lt;$G47),$E47,"")</f>
        <v/>
      </c>
      <c r="X47" s="82" t="str">
        <f>IF(AND($X$12&gt;=$F47,$X$12&lt;$G47),$E47,"")</f>
        <v/>
      </c>
      <c r="Y47" s="48" t="str">
        <f>IF(AND($Y$12&gt;=$F47,$Y$12&lt;$G47),$E47,"")</f>
        <v/>
      </c>
      <c r="Z47" s="48" t="str">
        <f>IF(AND($Z$12&gt;=$F47,$Z$12&lt;$G47),$E47,"")</f>
        <v/>
      </c>
      <c r="AA47" s="84" t="str">
        <f>IF(AND($AA$12&gt;=$F47,$AA$12&lt;$G47),$E47,"")</f>
        <v/>
      </c>
      <c r="AB47" s="82" t="str">
        <f>IF(AND($AB$12&gt;=$F47,$AB$12&lt;$G47),$E47,"")</f>
        <v/>
      </c>
      <c r="AC47" s="48" t="str">
        <f>IF(AND($AC$12&gt;=$F47,$AC$12&lt;$G47),$E47,"")</f>
        <v/>
      </c>
      <c r="AD47" s="48" t="str">
        <f>IF(AND($AD$12&gt;=$F47,$AD$12&lt;$G47),$E47,"")</f>
        <v/>
      </c>
      <c r="AE47" s="84" t="str">
        <f>IF(AND($AE$12&gt;=$F47,$AE$12&lt;$G47),$E47,"")</f>
        <v/>
      </c>
      <c r="AF47" s="82" t="str">
        <f>IF(AND($AF$12&gt;=$F47,$AF$12&lt;$G47),$E47,"")</f>
        <v/>
      </c>
      <c r="AG47" s="48" t="str">
        <f>IF(AND($AG$12&gt;=$F47,$AG$12&lt;$G47),$E47,"")</f>
        <v/>
      </c>
      <c r="AH47" s="48" t="str">
        <f>IF(AND($AH$12&gt;=$F47,$AH$12&lt;$G47),$E47,"")</f>
        <v/>
      </c>
      <c r="AI47" s="84" t="str">
        <f>IF(AND($AI$12&gt;=$F47,$AI$12&lt;$G47),$E47,"")</f>
        <v/>
      </c>
      <c r="AJ47" s="82" t="str">
        <f>IF(AND($AJ$12&gt;=$F47,$AJ$12&lt;$G47),$E47,"")</f>
        <v/>
      </c>
      <c r="AK47" s="48" t="str">
        <f>IF(AND($AK$12&gt;=$F47,$AK$12&lt;$G47),$E47,"")</f>
        <v/>
      </c>
      <c r="AL47" s="48" t="str">
        <f>IF(AND($AL$12&gt;=$F47,$AL$12&lt;$G47),$E47,"")</f>
        <v/>
      </c>
      <c r="AM47" s="84" t="str">
        <f>IF(AND($AM$12&gt;=$F47,$AM$12&lt;$G47),$E47,"")</f>
        <v/>
      </c>
      <c r="AN47" s="82" t="str">
        <f>IF(AND($AN$12&gt;=$F47,$AN$12&lt;$G47),$E47,"")</f>
        <v/>
      </c>
      <c r="AO47" s="48" t="str">
        <f>IF(AND($AO$12&gt;=$F47,$AO$12&lt;$G47),$E47,"")</f>
        <v/>
      </c>
      <c r="AP47" s="48" t="str">
        <f>IF(AND($AP$12&gt;=$F47,$AP$12&lt;$G47),$E47,"")</f>
        <v/>
      </c>
      <c r="AQ47" s="84" t="str">
        <f>IF(AND($AQ$12&gt;=$F47,$AQ$12&lt;$G47),$E47,"")</f>
        <v/>
      </c>
      <c r="AR47" s="82" t="str">
        <f>IF(AND($AR$12&gt;=$F47,$AR$12&lt;$G47),$E47,"")</f>
        <v/>
      </c>
      <c r="AS47" s="48" t="str">
        <f>IF(AND($AS$12&gt;=$F47,$AS$12&lt;$G47),$E47,"")</f>
        <v/>
      </c>
      <c r="AT47" s="48" t="str">
        <f>IF(AND($AT$12&gt;=$F47,$AT$12&lt;$G47),$E47,"")</f>
        <v/>
      </c>
      <c r="AU47" s="84" t="str">
        <f>IF(AND($AU$12&gt;=$F47,$AU$12&lt;$G47),$E47,"")</f>
        <v/>
      </c>
      <c r="AV47" s="82" t="str">
        <f>IF(AND($AV$12&gt;=$F47,$AV$12&lt;$G47),$E47,"")</f>
        <v/>
      </c>
      <c r="AW47" s="48" t="str">
        <f>IF(AND($AW$12&gt;=$F47,$AW$12&lt;$G47),$E47,"")</f>
        <v/>
      </c>
      <c r="AX47" s="48" t="str">
        <f>IF(AND($AX$12&gt;=$F47,$AX$12&lt;$G47),$E47,"")</f>
        <v/>
      </c>
      <c r="AY47" s="84" t="str">
        <f>IF(AND($AY$12&gt;=$F47,$AY$12&lt;$G47),$E47,"")</f>
        <v/>
      </c>
      <c r="AZ47" s="82" t="str">
        <f>IF(AND($AZ$12&gt;=$F47,$AZ$12&lt;$G47),$E47,"")</f>
        <v/>
      </c>
      <c r="BA47" s="48" t="str">
        <f>IF(AND($BA$12&gt;=$F47,$BA$12&lt;$G47),$E47,"")</f>
        <v/>
      </c>
      <c r="BB47" s="48" t="str">
        <f>IF(AND($BB$12&gt;=$F47,$BB$12&lt;$G47),$E47,"")</f>
        <v/>
      </c>
      <c r="BC47" s="84" t="str">
        <f>IF(AND($BC$12&gt;=$F47,$BC$12&lt;$G47),$E47,"")</f>
        <v/>
      </c>
      <c r="BD47" s="82" t="str">
        <f>IF(AND($BD$12&gt;=$F47,$BD$12&lt;$G47),$E47,"")</f>
        <v/>
      </c>
      <c r="BE47" s="48" t="str">
        <f>IF(AND($BE$12&gt;=$F47,$BE$12&lt;$G47),$E47,"")</f>
        <v/>
      </c>
      <c r="BF47" s="48" t="str">
        <f>IF(AND($BF$12&gt;=$F47,$BF$12&lt;$G47),$E47,"")</f>
        <v/>
      </c>
      <c r="BG47" s="84" t="str">
        <f>IF(AND($BG$12&gt;=$F47,$BG$12&lt;$G47),$E47,"")</f>
        <v/>
      </c>
      <c r="BH47" s="87" t="str">
        <f>IF(AND($BH$12&gt;=$F47,$BH$12&lt;$G47),$E47,"")</f>
        <v/>
      </c>
      <c r="BI47" s="49" t="str">
        <f>IF(AND($BI$12&gt;=$F47,$BI$12&lt;$G47),$E47,"")</f>
        <v/>
      </c>
      <c r="BJ47" s="49" t="str">
        <f>IF(AND($BJ$12&gt;=$F47,$BJ$12&lt;$G47),$E47,"")</f>
        <v/>
      </c>
      <c r="BK47" s="89" t="str">
        <f>IF(AND($BK$12&gt;=$F47,$BK$12&lt;$G47),$E47,"")</f>
        <v/>
      </c>
      <c r="BL47" s="87" t="str">
        <f>IF(AND($BL$12&gt;=$F47,$BL$12&lt;$G47),$E47,"")</f>
        <v/>
      </c>
      <c r="BM47" s="49" t="str">
        <f>IF(AND($BM$12&gt;=$F47,$BM$12&lt;$G47),$E47,"")</f>
        <v/>
      </c>
      <c r="BN47" s="49" t="str">
        <f>IF(AND($BN$12&gt;=$F47,$BN$12&lt;$G47),$E47,"")</f>
        <v/>
      </c>
      <c r="BO47" s="89" t="str">
        <f>IF(AND($BO$12&gt;=$F47,$BO$12&lt;$G47),$E47,"")</f>
        <v/>
      </c>
      <c r="BP47" s="87" t="str">
        <f>IF(AND($BP$12&gt;=$F47,$BP$12&lt;$G47),$E47,"")</f>
        <v/>
      </c>
      <c r="BQ47" s="49" t="str">
        <f>IF(AND($BQ$12&gt;=$F47,$BQ$12&lt;$G47),$E47,"")</f>
        <v/>
      </c>
      <c r="BR47" s="49" t="str">
        <f>IF(AND($BR$12&gt;=$F47,$BR$12&lt;$G47),$E47,"")</f>
        <v/>
      </c>
      <c r="BS47" s="89" t="str">
        <f>IF(AND($BS$12&gt;=$F47,$BS$12&lt;$G47),$E47,"")</f>
        <v/>
      </c>
      <c r="BT47" s="87" t="str">
        <f>IF(AND($BT$12&gt;=$F47,$BT$12&lt;$G47),$E47,"")</f>
        <v/>
      </c>
    </row>
    <row r="48" spans="2:72" s="93" customFormat="1" hidden="1">
      <c r="B48" s="81" t="str">
        <f>Weekly!B40</f>
        <v>614</v>
      </c>
      <c r="C48" s="90" t="str">
        <f>Weekly!C40</f>
        <v>Lauren</v>
      </c>
      <c r="D48" s="90">
        <f>Weekly!D78</f>
        <v>0</v>
      </c>
      <c r="E48" s="91" t="str">
        <f>VLOOKUP(B48,Team!$B$4:$E$183,4,FALSE)</f>
        <v>L's</v>
      </c>
      <c r="F48" s="92" t="str">
        <f>Weekly!G40</f>
        <v/>
      </c>
      <c r="G48" s="92" t="str">
        <f>Weekly!H40</f>
        <v/>
      </c>
      <c r="H48" s="48" t="str">
        <f>IF(AND($H$12&gt;=$F48,$H$12&lt;$G48),$E48,"")</f>
        <v/>
      </c>
      <c r="I48" s="48" t="str">
        <f>IF(AND($I$12&gt;=$F48,$I$12&lt;$G48),$E48,"")</f>
        <v/>
      </c>
      <c r="J48" s="48" t="str">
        <f>IF(AND($J$12&gt;=$F48,$J$12&lt;$G48),$E48,"")</f>
        <v/>
      </c>
      <c r="K48" s="84" t="str">
        <f>IF(AND($K$12&gt;=$F48,$K$12&lt;$G48),$E48,"")</f>
        <v/>
      </c>
      <c r="L48" s="82" t="str">
        <f>IF(AND($L$12&gt;=$F48,$L$12&lt;$G48),$E48,"")</f>
        <v/>
      </c>
      <c r="M48" s="48" t="str">
        <f>IF(AND($M$12&gt;=$F48,$M$12&lt;$G48),$E48,"")</f>
        <v/>
      </c>
      <c r="N48" s="48" t="str">
        <f>IF(AND($N$12&gt;=$F48,$N$12&lt;$G48),$E48,"")</f>
        <v/>
      </c>
      <c r="O48" s="84" t="str">
        <f>IF(AND($O$12&gt;=$F48,$O$12&lt;$G48),$E48,"")</f>
        <v/>
      </c>
      <c r="P48" s="82" t="str">
        <f>IF(AND($P$12&gt;=$F48,$P$12&lt;$G48),$E48,"")</f>
        <v/>
      </c>
      <c r="Q48" s="48" t="str">
        <f>IF(AND($Q$12&gt;=$F48,$Q$12&lt;$G48),$E48,"")</f>
        <v/>
      </c>
      <c r="R48" s="48" t="str">
        <f>IF(AND($R$12&gt;=$F48,$R$12&lt;$G48),$E48,"")</f>
        <v/>
      </c>
      <c r="S48" s="84" t="str">
        <f>IF(AND($S$12&gt;=$F48,$S$12&lt;$G48),$E48,"")</f>
        <v/>
      </c>
      <c r="T48" s="82" t="str">
        <f>IF(AND($T$12&gt;=$F48,$T$12&lt;$G48),$E48,"")</f>
        <v/>
      </c>
      <c r="U48" s="48" t="str">
        <f>IF(AND($U$12&gt;=$F48,$U$12&lt;$G48),$E48,"")</f>
        <v/>
      </c>
      <c r="V48" s="48" t="str">
        <f>IF(AND($V$12&gt;=$F48,$V$12&lt;$G48),$E48,"")</f>
        <v/>
      </c>
      <c r="W48" s="84" t="str">
        <f>IF(AND($W$12&gt;=$F48,$W$12&lt;$G48),$E48,"")</f>
        <v/>
      </c>
      <c r="X48" s="82" t="str">
        <f>IF(AND($X$12&gt;=$F48,$X$12&lt;$G48),$E48,"")</f>
        <v/>
      </c>
      <c r="Y48" s="48" t="str">
        <f>IF(AND($Y$12&gt;=$F48,$Y$12&lt;$G48),$E48,"")</f>
        <v/>
      </c>
      <c r="Z48" s="48" t="str">
        <f>IF(AND($Z$12&gt;=$F48,$Z$12&lt;$G48),$E48,"")</f>
        <v/>
      </c>
      <c r="AA48" s="84" t="str">
        <f>IF(AND($AA$12&gt;=$F48,$AA$12&lt;$G48),$E48,"")</f>
        <v/>
      </c>
      <c r="AB48" s="82" t="str">
        <f>IF(AND($AB$12&gt;=$F48,$AB$12&lt;$G48),$E48,"")</f>
        <v/>
      </c>
      <c r="AC48" s="48" t="str">
        <f>IF(AND($AC$12&gt;=$F48,$AC$12&lt;$G48),$E48,"")</f>
        <v/>
      </c>
      <c r="AD48" s="48" t="str">
        <f>IF(AND($AD$12&gt;=$F48,$AD$12&lt;$G48),$E48,"")</f>
        <v/>
      </c>
      <c r="AE48" s="84" t="str">
        <f>IF(AND($AE$12&gt;=$F48,$AE$12&lt;$G48),$E48,"")</f>
        <v/>
      </c>
      <c r="AF48" s="82" t="str">
        <f>IF(AND($AF$12&gt;=$F48,$AF$12&lt;$G48),$E48,"")</f>
        <v/>
      </c>
      <c r="AG48" s="48" t="str">
        <f>IF(AND($AG$12&gt;=$F48,$AG$12&lt;$G48),$E48,"")</f>
        <v/>
      </c>
      <c r="AH48" s="48" t="str">
        <f>IF(AND($AH$12&gt;=$F48,$AH$12&lt;$G48),$E48,"")</f>
        <v/>
      </c>
      <c r="AI48" s="84" t="str">
        <f>IF(AND($AI$12&gt;=$F48,$AI$12&lt;$G48),$E48,"")</f>
        <v/>
      </c>
      <c r="AJ48" s="82" t="str">
        <f>IF(AND($AJ$12&gt;=$F48,$AJ$12&lt;$G48),$E48,"")</f>
        <v/>
      </c>
      <c r="AK48" s="48" t="str">
        <f>IF(AND($AK$12&gt;=$F48,$AK$12&lt;$G48),$E48,"")</f>
        <v/>
      </c>
      <c r="AL48" s="48" t="str">
        <f>IF(AND($AL$12&gt;=$F48,$AL$12&lt;$G48),$E48,"")</f>
        <v/>
      </c>
      <c r="AM48" s="84" t="str">
        <f>IF(AND($AM$12&gt;=$F48,$AM$12&lt;$G48),$E48,"")</f>
        <v/>
      </c>
      <c r="AN48" s="82" t="str">
        <f>IF(AND($AN$12&gt;=$F48,$AN$12&lt;$G48),$E48,"")</f>
        <v/>
      </c>
      <c r="AO48" s="48" t="str">
        <f>IF(AND($AO$12&gt;=$F48,$AO$12&lt;$G48),$E48,"")</f>
        <v/>
      </c>
      <c r="AP48" s="48" t="str">
        <f>IF(AND($AP$12&gt;=$F48,$AP$12&lt;$G48),$E48,"")</f>
        <v/>
      </c>
      <c r="AQ48" s="84" t="str">
        <f>IF(AND($AQ$12&gt;=$F48,$AQ$12&lt;$G48),$E48,"")</f>
        <v/>
      </c>
      <c r="AR48" s="82" t="str">
        <f>IF(AND($AR$12&gt;=$F48,$AR$12&lt;$G48),$E48,"")</f>
        <v/>
      </c>
      <c r="AS48" s="48" t="str">
        <f>IF(AND($AS$12&gt;=$F48,$AS$12&lt;$G48),$E48,"")</f>
        <v/>
      </c>
      <c r="AT48" s="48" t="str">
        <f>IF(AND($AT$12&gt;=$F48,$AT$12&lt;$G48),$E48,"")</f>
        <v/>
      </c>
      <c r="AU48" s="84" t="str">
        <f>IF(AND($AU$12&gt;=$F48,$AU$12&lt;$G48),$E48,"")</f>
        <v/>
      </c>
      <c r="AV48" s="82" t="str">
        <f>IF(AND($AV$12&gt;=$F48,$AV$12&lt;$G48),$E48,"")</f>
        <v/>
      </c>
      <c r="AW48" s="48" t="str">
        <f>IF(AND($AW$12&gt;=$F48,$AW$12&lt;$G48),$E48,"")</f>
        <v/>
      </c>
      <c r="AX48" s="48" t="str">
        <f>IF(AND($AX$12&gt;=$F48,$AX$12&lt;$G48),$E48,"")</f>
        <v/>
      </c>
      <c r="AY48" s="84" t="str">
        <f>IF(AND($AY$12&gt;=$F48,$AY$12&lt;$G48),$E48,"")</f>
        <v/>
      </c>
      <c r="AZ48" s="82" t="str">
        <f>IF(AND($AZ$12&gt;=$F48,$AZ$12&lt;$G48),$E48,"")</f>
        <v/>
      </c>
      <c r="BA48" s="48" t="str">
        <f>IF(AND($BA$12&gt;=$F48,$BA$12&lt;$G48),$E48,"")</f>
        <v/>
      </c>
      <c r="BB48" s="48" t="str">
        <f>IF(AND($BB$12&gt;=$F48,$BB$12&lt;$G48),$E48,"")</f>
        <v/>
      </c>
      <c r="BC48" s="84" t="str">
        <f>IF(AND($BC$12&gt;=$F48,$BC$12&lt;$G48),$E48,"")</f>
        <v/>
      </c>
      <c r="BD48" s="82" t="str">
        <f>IF(AND($BD$12&gt;=$F48,$BD$12&lt;$G48),$E48,"")</f>
        <v/>
      </c>
      <c r="BE48" s="48" t="str">
        <f>IF(AND($BE$12&gt;=$F48,$BE$12&lt;$G48),$E48,"")</f>
        <v/>
      </c>
      <c r="BF48" s="48" t="str">
        <f>IF(AND($BF$12&gt;=$F48,$BF$12&lt;$G48),$E48,"")</f>
        <v/>
      </c>
      <c r="BG48" s="84" t="str">
        <f>IF(AND($BG$12&gt;=$F48,$BG$12&lt;$G48),$E48,"")</f>
        <v/>
      </c>
      <c r="BH48" s="87" t="str">
        <f>IF(AND($BH$12&gt;=$F48,$BH$12&lt;$G48),$E48,"")</f>
        <v/>
      </c>
      <c r="BI48" s="49" t="str">
        <f>IF(AND($BI$12&gt;=$F48,$BI$12&lt;$G48),$E48,"")</f>
        <v/>
      </c>
      <c r="BJ48" s="49" t="str">
        <f>IF(AND($BJ$12&gt;=$F48,$BJ$12&lt;$G48),$E48,"")</f>
        <v/>
      </c>
      <c r="BK48" s="89" t="str">
        <f>IF(AND($BK$12&gt;=$F48,$BK$12&lt;$G48),$E48,"")</f>
        <v/>
      </c>
      <c r="BL48" s="87" t="str">
        <f>IF(AND($BL$12&gt;=$F48,$BL$12&lt;$G48),$E48,"")</f>
        <v/>
      </c>
      <c r="BM48" s="49" t="str">
        <f>IF(AND($BM$12&gt;=$F48,$BM$12&lt;$G48),$E48,"")</f>
        <v/>
      </c>
      <c r="BN48" s="49" t="str">
        <f>IF(AND($BN$12&gt;=$F48,$BN$12&lt;$G48),$E48,"")</f>
        <v/>
      </c>
      <c r="BO48" s="89" t="str">
        <f>IF(AND($BO$12&gt;=$F48,$BO$12&lt;$G48),$E48,"")</f>
        <v/>
      </c>
      <c r="BP48" s="87" t="str">
        <f>IF(AND($BP$12&gt;=$F48,$BP$12&lt;$G48),$E48,"")</f>
        <v/>
      </c>
      <c r="BQ48" s="49" t="str">
        <f>IF(AND($BQ$12&gt;=$F48,$BQ$12&lt;$G48),$E48,"")</f>
        <v/>
      </c>
      <c r="BR48" s="49" t="str">
        <f>IF(AND($BR$12&gt;=$F48,$BR$12&lt;$G48),$E48,"")</f>
        <v/>
      </c>
      <c r="BS48" s="89" t="str">
        <f>IF(AND($BS$12&gt;=$F48,$BS$12&lt;$G48),$E48,"")</f>
        <v/>
      </c>
      <c r="BT48" s="87" t="str">
        <f>IF(AND($BT$12&gt;=$F48,$BT$12&lt;$G48),$E48,"")</f>
        <v/>
      </c>
    </row>
    <row r="49" spans="2:72" s="93" customFormat="1" ht="12.75">
      <c r="B49" s="81" t="str">
        <f>Weekly!B61</f>
        <v>1160</v>
      </c>
      <c r="C49" s="90" t="str">
        <f>Weekly!C61</f>
        <v>Yura</v>
      </c>
      <c r="D49" s="90">
        <f>Weekly!D63</f>
        <v>0</v>
      </c>
      <c r="E49" s="91" t="str">
        <f>VLOOKUP(B49,Team!$B$4:$E$183,4,FALSE)</f>
        <v>SPV</v>
      </c>
      <c r="F49" s="92">
        <f>Weekly!G61</f>
        <v>0.35416666666666602</v>
      </c>
      <c r="G49" s="92">
        <f>Weekly!H61</f>
        <v>0.70833333333333304</v>
      </c>
      <c r="H49" s="48" t="str">
        <f>IF(AND($H$12&gt;=$F49,$H$12&lt;$G49),$E49,"")</f>
        <v/>
      </c>
      <c r="I49" s="48" t="str">
        <f>IF(AND($I$12&gt;=$F49,$I$12&lt;$G49),$E49,"")</f>
        <v/>
      </c>
      <c r="J49" s="48" t="str">
        <f>IF(AND($J$12&gt;=$F49,$J$12&lt;$G49),$E49,"")</f>
        <v/>
      </c>
      <c r="K49" s="84" t="str">
        <f>IF(AND($K$12&gt;=$F49,$K$12&lt;$G49),$E49,"")</f>
        <v/>
      </c>
      <c r="L49" s="82" t="str">
        <f>IF(AND($L$12&gt;=$F49,$L$12&lt;$G49),$E49,"")</f>
        <v/>
      </c>
      <c r="M49" s="48" t="str">
        <f>IF(AND($M$12&gt;=$F49,$M$12&lt;$G49),$E49,"")</f>
        <v/>
      </c>
      <c r="N49" s="118" t="s">
        <v>243</v>
      </c>
      <c r="O49" s="119" t="s">
        <v>235</v>
      </c>
      <c r="P49" s="119" t="s">
        <v>235</v>
      </c>
      <c r="Q49" s="119" t="s">
        <v>235</v>
      </c>
      <c r="R49" s="124" t="s">
        <v>241</v>
      </c>
      <c r="S49" s="124" t="s">
        <v>241</v>
      </c>
      <c r="T49" s="124" t="s">
        <v>241</v>
      </c>
      <c r="U49" s="124" t="s">
        <v>241</v>
      </c>
      <c r="V49" s="124" t="s">
        <v>241</v>
      </c>
      <c r="W49" s="124" t="s">
        <v>241</v>
      </c>
      <c r="X49" s="82" t="str">
        <f t="shared" ref="X49:AA49" si="71">IF(AND($X$12&gt;=$F49,$X$12&lt;$G49),$E49,"")</f>
        <v>SPV</v>
      </c>
      <c r="Y49" s="82" t="str">
        <f t="shared" si="71"/>
        <v>SPV</v>
      </c>
      <c r="Z49" s="82" t="str">
        <f t="shared" si="71"/>
        <v>SPV</v>
      </c>
      <c r="AA49" s="82" t="str">
        <f t="shared" si="71"/>
        <v>SPV</v>
      </c>
      <c r="AB49" s="121">
        <v>40</v>
      </c>
      <c r="AC49" s="121">
        <v>40</v>
      </c>
      <c r="AD49" s="121">
        <v>40</v>
      </c>
      <c r="AE49" s="121">
        <v>10</v>
      </c>
      <c r="AF49" s="82" t="str">
        <f>IF(AND($AF$12&gt;=$F49,$AF$12&lt;$G49),$E49,"")</f>
        <v>SPV</v>
      </c>
      <c r="AG49" s="48" t="str">
        <f>IF(AND($AG$12&gt;=$F49,$AG$12&lt;$G49),$E49,"")</f>
        <v>SPV</v>
      </c>
      <c r="AH49" s="48" t="str">
        <f>IF(AND($AH$12&gt;=$F49,$AH$12&lt;$G49),$E49,"")</f>
        <v>SPV</v>
      </c>
      <c r="AI49" s="84" t="str">
        <f>IF(AND($AI$12&gt;=$F49,$AI$12&lt;$G49),$E49,"")</f>
        <v>SPV</v>
      </c>
      <c r="AJ49" s="82" t="str">
        <f>IF(AND($AJ$12&gt;=$F49,$AJ$12&lt;$G49),$E49,"")</f>
        <v>SPV</v>
      </c>
      <c r="AK49" s="48" t="str">
        <f>IF(AND($AK$12&gt;=$F49,$AK$12&lt;$G49),$E49,"")</f>
        <v>SPV</v>
      </c>
      <c r="AL49" s="48" t="str">
        <f>IF(AND($AL$12&gt;=$F49,$AL$12&lt;$G49),$E49,"")</f>
        <v>SPV</v>
      </c>
      <c r="AM49" s="84" t="str">
        <f>IF(AND($AM$12&gt;=$F49,$AM$12&lt;$G49),$E49,"")</f>
        <v>SPV</v>
      </c>
      <c r="AN49" s="82" t="str">
        <f>IF(AND($AN$12&gt;=$F49,$AN$12&lt;$G49),$E49,"")</f>
        <v>SPV</v>
      </c>
      <c r="AO49" s="48" t="str">
        <f>IF(AND($AO$12&gt;=$F49,$AO$12&lt;$G49),$E49,"")</f>
        <v>SPV</v>
      </c>
      <c r="AP49" s="48" t="str">
        <f>IF(AND($AP$12&gt;=$F49,$AP$12&lt;$G49),$E49,"")</f>
        <v>SPV</v>
      </c>
      <c r="AQ49" s="84" t="str">
        <f>IF(AND($AQ$12&gt;=$F49,$AQ$12&lt;$G49),$E49,"")</f>
        <v>SPV</v>
      </c>
      <c r="AR49" s="82" t="str">
        <f>IF(AND($AR$12&gt;=$F49,$AR$12&lt;$G49),$E49,"")</f>
        <v>SPV</v>
      </c>
      <c r="AS49" s="48" t="str">
        <f>IF(AND($AS$12&gt;=$F49,$AS$12&lt;$G49),$E49,"")</f>
        <v>SPV</v>
      </c>
      <c r="AT49" s="48" t="str">
        <f>IF(AND($AT$12&gt;=$F49,$AT$12&lt;$G49),$E49,"")</f>
        <v>SPV</v>
      </c>
      <c r="AU49" s="84" t="str">
        <f>IF(AND($AU$12&gt;=$F49,$AU$12&lt;$G49),$E49,"")</f>
        <v>SPV</v>
      </c>
      <c r="AV49" s="82" t="str">
        <f>IF(AND($AV$12&gt;=$F49,$AV$12&lt;$G49),$E49,"")</f>
        <v/>
      </c>
      <c r="AW49" s="48" t="str">
        <f>IF(AND($AW$12&gt;=$F49,$AW$12&lt;$G49),$E49,"")</f>
        <v/>
      </c>
      <c r="AX49" s="48" t="str">
        <f>IF(AND($AX$12&gt;=$F49,$AX$12&lt;$G49),$E49,"")</f>
        <v/>
      </c>
      <c r="AY49" s="84" t="str">
        <f>IF(AND($AY$12&gt;=$F49,$AY$12&lt;$G49),$E49,"")</f>
        <v/>
      </c>
      <c r="AZ49" s="82" t="str">
        <f>IF(AND($AZ$12&gt;=$F49,$AZ$12&lt;$G49),$E49,"")</f>
        <v/>
      </c>
      <c r="BA49" s="48" t="str">
        <f>IF(AND($BA$12&gt;=$F49,$BA$12&lt;$G49),$E49,"")</f>
        <v/>
      </c>
      <c r="BB49" s="48" t="str">
        <f>IF(AND($BB$12&gt;=$F49,$BB$12&lt;$G49),$E49,"")</f>
        <v/>
      </c>
      <c r="BC49" s="84" t="str">
        <f>IF(AND($BC$12&gt;=$F49,$BC$12&lt;$G49),$E49,"")</f>
        <v/>
      </c>
      <c r="BD49" s="82" t="str">
        <f>IF(AND($BD$12&gt;=$F49,$BD$12&lt;$G49),$E49,"")</f>
        <v/>
      </c>
      <c r="BE49" s="48" t="str">
        <f>IF(AND($BE$12&gt;=$F49,$BE$12&lt;$G49),$E49,"")</f>
        <v/>
      </c>
      <c r="BF49" s="48" t="str">
        <f>IF(AND($BF$12&gt;=$F49,$BF$12&lt;$G49),$E49,"")</f>
        <v/>
      </c>
      <c r="BG49" s="84" t="str">
        <f>IF(AND($BG$12&gt;=$F49,$BG$12&lt;$G49),$E49,"")</f>
        <v/>
      </c>
      <c r="BH49" s="87" t="str">
        <f>IF(AND($BH$12&gt;=$F49,$BH$12&lt;$G49),$E49,"")</f>
        <v/>
      </c>
      <c r="BI49" s="49" t="str">
        <f>IF(AND($BI$12&gt;=$F49,$BI$12&lt;$G49),$E49,"")</f>
        <v/>
      </c>
      <c r="BJ49" s="49" t="str">
        <f>IF(AND($BJ$12&gt;=$F49,$BJ$12&lt;$G49),$E49,"")</f>
        <v/>
      </c>
      <c r="BK49" s="89" t="str">
        <f>IF(AND($BK$12&gt;=$F49,$BK$12&lt;$G49),$E49,"")</f>
        <v/>
      </c>
      <c r="BL49" s="87" t="str">
        <f>IF(AND($BL$12&gt;=$F49,$BL$12&lt;$G49),$E49,"")</f>
        <v/>
      </c>
      <c r="BM49" s="49" t="str">
        <f>IF(AND($BM$12&gt;=$F49,$BM$12&lt;$G49),$E49,"")</f>
        <v/>
      </c>
      <c r="BN49" s="49" t="str">
        <f>IF(AND($BN$12&gt;=$F49,$BN$12&lt;$G49),$E49,"")</f>
        <v/>
      </c>
      <c r="BO49" s="89" t="str">
        <f>IF(AND($BO$12&gt;=$F49,$BO$12&lt;$G49),$E49,"")</f>
        <v/>
      </c>
      <c r="BP49" s="87" t="str">
        <f>IF(AND($BP$12&gt;=$F49,$BP$12&lt;$G49),$E49,"")</f>
        <v/>
      </c>
      <c r="BQ49" s="49" t="str">
        <f>IF(AND($BQ$12&gt;=$F49,$BQ$12&lt;$G49),$E49,"")</f>
        <v/>
      </c>
      <c r="BR49" s="49" t="str">
        <f>IF(AND($BR$12&gt;=$F49,$BR$12&lt;$G49),$E49,"")</f>
        <v/>
      </c>
      <c r="BS49" s="89" t="str">
        <f>IF(AND($BS$12&gt;=$F49,$BS$12&lt;$G49),$E49,"")</f>
        <v/>
      </c>
      <c r="BT49" s="87" t="str">
        <f>IF(AND($BT$12&gt;=$F49,$BT$12&lt;$G49),$E49,"")</f>
        <v/>
      </c>
    </row>
    <row r="50" spans="2:72" s="93" customFormat="1" ht="12.75">
      <c r="B50" s="81" t="str">
        <f>Weekly!B15</f>
        <v>01514</v>
      </c>
      <c r="C50" s="90" t="str">
        <f>Weekly!C15</f>
        <v>Chloe</v>
      </c>
      <c r="D50" s="90" t="str">
        <f>Weekly!D48</f>
        <v>De Vera</v>
      </c>
      <c r="E50" s="91" t="str">
        <f>VLOOKUP(B50,Team!$B$4:$E$183,4,FALSE)</f>
        <v>SPV</v>
      </c>
      <c r="F50" s="92">
        <f>Weekly!G15</f>
        <v>0.437499999999999</v>
      </c>
      <c r="G50" s="92">
        <f>Weekly!H15</f>
        <v>0.79166666666666596</v>
      </c>
      <c r="H50" s="48" t="str">
        <f>IF(AND($H$12&gt;=$F50,$H$12&lt;$G50),$E50,"")</f>
        <v/>
      </c>
      <c r="I50" s="48" t="str">
        <f>IF(AND($I$12&gt;=$F50,$I$12&lt;$G50),$E50,"")</f>
        <v/>
      </c>
      <c r="J50" s="48" t="str">
        <f>IF(AND($J$12&gt;=$F50,$J$12&lt;$G50),$E50,"")</f>
        <v/>
      </c>
      <c r="K50" s="84" t="str">
        <f>IF(AND($K$12&gt;=$F50,$K$12&lt;$G50),$E50,"")</f>
        <v/>
      </c>
      <c r="L50" s="82" t="str">
        <f>IF(AND($L$12&gt;=$F50,$L$12&lt;$G50),$E50,"")</f>
        <v/>
      </c>
      <c r="M50" s="48" t="str">
        <f>IF(AND($M$12&gt;=$F50,$M$12&lt;$G50),$E50,"")</f>
        <v/>
      </c>
      <c r="N50" s="48" t="str">
        <f>IF(AND($N$12&gt;=$F50,$N$12&lt;$G50),$E50,"")</f>
        <v/>
      </c>
      <c r="O50" s="84" t="str">
        <f>IF(AND($O$12&gt;=$F50,$O$12&lt;$G50),$E50,"")</f>
        <v/>
      </c>
      <c r="P50" s="82" t="str">
        <f>IF(AND($P$12&gt;=$F50,$P$12&lt;$G50),$E50,"")</f>
        <v/>
      </c>
      <c r="Q50" s="48" t="str">
        <f>IF(AND($Q$12&gt;=$F50,$Q$12&lt;$G50),$E50,"")</f>
        <v/>
      </c>
      <c r="R50" s="48" t="str">
        <f>IF(AND($R$12&gt;=$F50,$R$12&lt;$G50),$E50,"")</f>
        <v/>
      </c>
      <c r="S50" s="84" t="str">
        <f>IF(AND($S$12&gt;=$F50,$S$12&lt;$G50),$E50,"")</f>
        <v/>
      </c>
      <c r="T50" s="82" t="str">
        <f>IF(AND($T$12&gt;=$F50,$T$12&lt;$G50),$E50,"")</f>
        <v/>
      </c>
      <c r="U50" s="48" t="str">
        <f>IF(AND($U$12&gt;=$F50,$U$12&lt;$G50),$E50,"")</f>
        <v/>
      </c>
      <c r="V50" s="48" t="str">
        <f>IF(AND($V$12&gt;=$F50,$V$12&lt;$G50),$E50,"")</f>
        <v>SPV</v>
      </c>
      <c r="W50" s="84" t="str">
        <f>IF(AND($W$12&gt;=$F50,$W$12&lt;$G50),$E50,"")</f>
        <v>SPV</v>
      </c>
      <c r="X50" s="118" t="s">
        <v>243</v>
      </c>
      <c r="Y50" s="48" t="str">
        <f>IF(AND($Y$12&gt;=$F50,$Y$12&lt;$G50),$E50,"")</f>
        <v>SPV</v>
      </c>
      <c r="Z50" s="48" t="str">
        <f>IF(AND($Z$12&gt;=$F50,$Z$12&lt;$G50),$E50,"")</f>
        <v>SPV</v>
      </c>
      <c r="AA50" s="84" t="str">
        <f>IF(AND($AA$12&gt;=$F50,$AA$12&lt;$G50),$E50,"")</f>
        <v>SPV</v>
      </c>
      <c r="AB50" s="119" t="s">
        <v>235</v>
      </c>
      <c r="AC50" s="119" t="s">
        <v>235</v>
      </c>
      <c r="AD50" s="119" t="s">
        <v>235</v>
      </c>
      <c r="AE50" s="119" t="s">
        <v>235</v>
      </c>
      <c r="AF50" s="48" t="str">
        <f t="shared" ref="AF50:AH50" si="72">IF(AND($AH$12&gt;=$F50,$AH$12&lt;$G50),$E50,"")</f>
        <v>SPV</v>
      </c>
      <c r="AG50" s="48" t="str">
        <f t="shared" si="72"/>
        <v>SPV</v>
      </c>
      <c r="AH50" s="48" t="str">
        <f t="shared" si="72"/>
        <v>SPV</v>
      </c>
      <c r="AI50" s="121">
        <v>40</v>
      </c>
      <c r="AJ50" s="121">
        <v>40</v>
      </c>
      <c r="AK50" s="121">
        <v>40</v>
      </c>
      <c r="AL50" s="121">
        <v>10</v>
      </c>
      <c r="AM50" s="84" t="str">
        <f>IF(AND($AM$12&gt;=$F50,$AM$12&lt;$G50),$E50,"")</f>
        <v>SPV</v>
      </c>
      <c r="AN50" s="82" t="str">
        <f>IF(AND($AN$12&gt;=$F50,$AN$12&lt;$G50),$E50,"")</f>
        <v>SPV</v>
      </c>
      <c r="AO50" s="48" t="str">
        <f>IF(AND($AO$12&gt;=$F50,$AO$12&lt;$G50),$E50,"")</f>
        <v>SPV</v>
      </c>
      <c r="AP50" s="48" t="str">
        <f>IF(AND($AP$12&gt;=$F50,$AP$12&lt;$G50),$E50,"")</f>
        <v>SPV</v>
      </c>
      <c r="AQ50" s="84" t="str">
        <f>IF(AND($AQ$12&gt;=$F50,$AQ$12&lt;$G50),$E50,"")</f>
        <v>SPV</v>
      </c>
      <c r="AR50" s="82" t="str">
        <f>IF(AND($AR$12&gt;=$F50,$AR$12&lt;$G50),$E50,"")</f>
        <v>SPV</v>
      </c>
      <c r="AS50" s="48" t="str">
        <f>IF(AND($AS$12&gt;=$F50,$AS$12&lt;$G50),$E50,"")</f>
        <v>SPV</v>
      </c>
      <c r="AT50" s="48" t="str">
        <f t="shared" ref="AT50:AV50" si="73">IF(AND($AS$12&gt;=$F50,$AS$12&lt;$G50),$E50,"")</f>
        <v>SPV</v>
      </c>
      <c r="AU50" s="48" t="str">
        <f t="shared" si="73"/>
        <v>SPV</v>
      </c>
      <c r="AV50" s="48" t="str">
        <f t="shared" si="73"/>
        <v>SPV</v>
      </c>
      <c r="AW50" s="48" t="str">
        <f>IF(AND($AW$12&gt;=$F50,$AW$12&lt;$G50),$E50,"")</f>
        <v>SPV</v>
      </c>
      <c r="AX50" s="48" t="str">
        <f>IF(AND($AX$12&gt;=$F50,$AX$12&lt;$G50),$E50,"")</f>
        <v>SPV</v>
      </c>
      <c r="AY50" s="84" t="str">
        <f>IF(AND($AY$12&gt;=$F50,$AY$12&lt;$G50),$E50,"")</f>
        <v>SPV</v>
      </c>
      <c r="AZ50" s="119" t="s">
        <v>235</v>
      </c>
      <c r="BA50" s="119" t="s">
        <v>235</v>
      </c>
      <c r="BB50" s="119" t="s">
        <v>235</v>
      </c>
      <c r="BC50" s="119" t="s">
        <v>235</v>
      </c>
      <c r="BD50" s="82" t="str">
        <f>IF(AND($BD$12&gt;=$F50,$BD$12&lt;$G50),$E50,"")</f>
        <v/>
      </c>
      <c r="BE50" s="48" t="str">
        <f>IF(AND($BE$12&gt;=$F50,$BE$12&lt;$G50),$E50,"")</f>
        <v/>
      </c>
      <c r="BF50" s="48" t="str">
        <f>IF(AND($BF$12&gt;=$F50,$BF$12&lt;$G50),$E50,"")</f>
        <v/>
      </c>
      <c r="BG50" s="84" t="str">
        <f>IF(AND($BG$12&gt;=$F50,$BG$12&lt;$G50),$E50,"")</f>
        <v/>
      </c>
      <c r="BH50" s="87" t="str">
        <f>IF(AND($BH$12&gt;=$F50,$BH$12&lt;$G50),$E50,"")</f>
        <v/>
      </c>
      <c r="BI50" s="49" t="str">
        <f>IF(AND($BI$12&gt;=$F50,$BI$12&lt;$G50),$E50,"")</f>
        <v/>
      </c>
      <c r="BJ50" s="49" t="str">
        <f>IF(AND($BJ$12&gt;=$F50,$BJ$12&lt;$G50),$E50,"")</f>
        <v/>
      </c>
      <c r="BK50" s="89" t="str">
        <f>IF(AND($BK$12&gt;=$F50,$BK$12&lt;$G50),$E50,"")</f>
        <v/>
      </c>
      <c r="BL50" s="87" t="str">
        <f>IF(AND($BL$12&gt;=$F50,$BL$12&lt;$G50),$E50,"")</f>
        <v/>
      </c>
      <c r="BM50" s="49" t="str">
        <f>IF(AND($BM$12&gt;=$F50,$BM$12&lt;$G50),$E50,"")</f>
        <v/>
      </c>
      <c r="BN50" s="49" t="str">
        <f>IF(AND($BN$12&gt;=$F50,$BN$12&lt;$G50),$E50,"")</f>
        <v/>
      </c>
      <c r="BO50" s="89" t="str">
        <f>IF(AND($BO$12&gt;=$F50,$BO$12&lt;$G50),$E50,"")</f>
        <v/>
      </c>
      <c r="BP50" s="87" t="str">
        <f>IF(AND($BP$12&gt;=$F50,$BP$12&lt;$G50),$E50,"")</f>
        <v/>
      </c>
      <c r="BQ50" s="49" t="str">
        <f>IF(AND($BQ$12&gt;=$F50,$BQ$12&lt;$G50),$E50,"")</f>
        <v/>
      </c>
      <c r="BR50" s="49" t="str">
        <f>IF(AND($BR$12&gt;=$F50,$BR$12&lt;$G50),$E50,"")</f>
        <v/>
      </c>
      <c r="BS50" s="89" t="str">
        <f>IF(AND($BS$12&gt;=$F50,$BS$12&lt;$G50),$E50,"")</f>
        <v/>
      </c>
      <c r="BT50" s="87" t="str">
        <f>IF(AND($BT$12&gt;=$F50,$BT$12&lt;$G50),$E50,"")</f>
        <v/>
      </c>
    </row>
    <row r="51" spans="2:72" s="93" customFormat="1" hidden="1">
      <c r="B51" s="81" t="str">
        <f>Weekly!B43</f>
        <v>1132</v>
      </c>
      <c r="C51" s="90" t="str">
        <f>Weekly!C43</f>
        <v>Michelle B.</v>
      </c>
      <c r="D51" s="90">
        <f>Weekly!D81</f>
        <v>0</v>
      </c>
      <c r="E51" s="91" t="str">
        <f>VLOOKUP(B51,Team!$B$4:$E$183,4,FALSE)</f>
        <v>Stat.</v>
      </c>
      <c r="F51" s="92" t="str">
        <f>Weekly!G43</f>
        <v/>
      </c>
      <c r="G51" s="92" t="str">
        <f>Weekly!H43</f>
        <v/>
      </c>
      <c r="H51" s="48" t="str">
        <f>IF(AND($H$12&gt;=$F51,$H$12&lt;$G51),$E51,"")</f>
        <v/>
      </c>
      <c r="I51" s="48" t="str">
        <f>IF(AND($I$12&gt;=$F51,$I$12&lt;$G51),$E51,"")</f>
        <v/>
      </c>
      <c r="J51" s="48" t="str">
        <f>IF(AND($J$12&gt;=$F51,$J$12&lt;$G51),$E51,"")</f>
        <v/>
      </c>
      <c r="K51" s="84" t="str">
        <f>IF(AND($K$12&gt;=$F51,$K$12&lt;$G51),$E51,"")</f>
        <v/>
      </c>
      <c r="L51" s="82" t="str">
        <f>IF(AND($L$12&gt;=$F51,$L$12&lt;$G51),$E51,"")</f>
        <v/>
      </c>
      <c r="M51" s="48" t="str">
        <f>IF(AND($M$12&gt;=$F51,$M$12&lt;$G51),$E51,"")</f>
        <v/>
      </c>
      <c r="N51" s="48" t="str">
        <f>IF(AND($N$12&gt;=$F51,$N$12&lt;$G51),$E51,"")</f>
        <v/>
      </c>
      <c r="O51" s="84" t="str">
        <f>IF(AND($O$12&gt;=$F51,$O$12&lt;$G51),$E51,"")</f>
        <v/>
      </c>
      <c r="P51" s="82" t="str">
        <f>IF(AND($P$12&gt;=$F51,$P$12&lt;$G51),$E51,"")</f>
        <v/>
      </c>
      <c r="Q51" s="48" t="str">
        <f>IF(AND($Q$12&gt;=$F51,$Q$12&lt;$G51),$E51,"")</f>
        <v/>
      </c>
      <c r="R51" s="48" t="str">
        <f>IF(AND($R$12&gt;=$F51,$R$12&lt;$G51),$E51,"")</f>
        <v/>
      </c>
      <c r="S51" s="84" t="str">
        <f>IF(AND($S$12&gt;=$F51,$S$12&lt;$G51),$E51,"")</f>
        <v/>
      </c>
      <c r="T51" s="82" t="str">
        <f>IF(AND($T$12&gt;=$F51,$T$12&lt;$G51),$E51,"")</f>
        <v/>
      </c>
      <c r="U51" s="48" t="str">
        <f>IF(AND($U$12&gt;=$F51,$U$12&lt;$G51),$E51,"")</f>
        <v/>
      </c>
      <c r="V51" s="48" t="str">
        <f>IF(AND($V$12&gt;=$F51,$V$12&lt;$G51),$E51,"")</f>
        <v/>
      </c>
      <c r="W51" s="84" t="str">
        <f>IF(AND($W$12&gt;=$F51,$W$12&lt;$G51),$E51,"")</f>
        <v/>
      </c>
      <c r="X51" s="82" t="str">
        <f>IF(AND($X$12&gt;=$F51,$X$12&lt;$G51),$E51,"")</f>
        <v/>
      </c>
      <c r="Y51" s="48" t="str">
        <f>IF(AND($Y$12&gt;=$F51,$Y$12&lt;$G51),$E51,"")</f>
        <v/>
      </c>
      <c r="Z51" s="48" t="str">
        <f>IF(AND($Z$12&gt;=$F51,$Z$12&lt;$G51),$E51,"")</f>
        <v/>
      </c>
      <c r="AA51" s="84" t="str">
        <f>IF(AND($AA$12&gt;=$F51,$AA$12&lt;$G51),$E51,"")</f>
        <v/>
      </c>
      <c r="AB51" s="82" t="str">
        <f>IF(AND($AB$12&gt;=$F51,$AB$12&lt;$G51),$E51,"")</f>
        <v/>
      </c>
      <c r="AC51" s="48" t="str">
        <f>IF(AND($AC$12&gt;=$F51,$AC$12&lt;$G51),$E51,"")</f>
        <v/>
      </c>
      <c r="AD51" s="48" t="str">
        <f>IF(AND($AD$12&gt;=$F51,$AD$12&lt;$G51),$E51,"")</f>
        <v/>
      </c>
      <c r="AE51" s="84" t="str">
        <f>IF(AND($AE$12&gt;=$F51,$AE$12&lt;$G51),$E51,"")</f>
        <v/>
      </c>
      <c r="AF51" s="82" t="str">
        <f>IF(AND($AF$12&gt;=$F51,$AF$12&lt;$G51),$E51,"")</f>
        <v/>
      </c>
      <c r="AG51" s="48" t="str">
        <f>IF(AND($AG$12&gt;=$F51,$AG$12&lt;$G51),$E51,"")</f>
        <v/>
      </c>
      <c r="AH51" s="48" t="str">
        <f>IF(AND($AH$12&gt;=$F51,$AH$12&lt;$G51),$E51,"")</f>
        <v/>
      </c>
      <c r="AI51" s="84" t="str">
        <f>IF(AND($AI$12&gt;=$F51,$AI$12&lt;$G51),$E51,"")</f>
        <v/>
      </c>
      <c r="AJ51" s="82" t="str">
        <f>IF(AND($AJ$12&gt;=$F51,$AJ$12&lt;$G51),$E51,"")</f>
        <v/>
      </c>
      <c r="AK51" s="48" t="str">
        <f>IF(AND($AK$12&gt;=$F51,$AK$12&lt;$G51),$E51,"")</f>
        <v/>
      </c>
      <c r="AL51" s="48" t="str">
        <f>IF(AND($AL$12&gt;=$F51,$AL$12&lt;$G51),$E51,"")</f>
        <v/>
      </c>
      <c r="AM51" s="84" t="str">
        <f>IF(AND($AM$12&gt;=$F51,$AM$12&lt;$G51),$E51,"")</f>
        <v/>
      </c>
      <c r="AN51" s="82" t="str">
        <f>IF(AND($AN$12&gt;=$F51,$AN$12&lt;$G51),$E51,"")</f>
        <v/>
      </c>
      <c r="AO51" s="48" t="str">
        <f>IF(AND($AO$12&gt;=$F51,$AO$12&lt;$G51),$E51,"")</f>
        <v/>
      </c>
      <c r="AP51" s="48" t="str">
        <f>IF(AND($AP$12&gt;=$F51,$AP$12&lt;$G51),$E51,"")</f>
        <v/>
      </c>
      <c r="AQ51" s="84" t="str">
        <f>IF(AND($AQ$12&gt;=$F51,$AQ$12&lt;$G51),$E51,"")</f>
        <v/>
      </c>
      <c r="AR51" s="82" t="str">
        <f>IF(AND($AR$12&gt;=$F51,$AR$12&lt;$G51),$E51,"")</f>
        <v/>
      </c>
      <c r="AS51" s="48" t="str">
        <f>IF(AND($AS$12&gt;=$F51,$AS$12&lt;$G51),$E51,"")</f>
        <v/>
      </c>
      <c r="AT51" s="48" t="str">
        <f>IF(AND($AT$12&gt;=$F51,$AT$12&lt;$G51),$E51,"")</f>
        <v/>
      </c>
      <c r="AU51" s="84" t="str">
        <f>IF(AND($AU$12&gt;=$F51,$AU$12&lt;$G51),$E51,"")</f>
        <v/>
      </c>
      <c r="AV51" s="82" t="str">
        <f>IF(AND($AV$12&gt;=$F51,$AV$12&lt;$G51),$E51,"")</f>
        <v/>
      </c>
      <c r="AW51" s="48" t="str">
        <f>IF(AND($AW$12&gt;=$F51,$AW$12&lt;$G51),$E51,"")</f>
        <v/>
      </c>
      <c r="AX51" s="48" t="str">
        <f>IF(AND($AX$12&gt;=$F51,$AX$12&lt;$G51),$E51,"")</f>
        <v/>
      </c>
      <c r="AY51" s="84" t="str">
        <f>IF(AND($AY$12&gt;=$F51,$AY$12&lt;$G51),$E51,"")</f>
        <v/>
      </c>
      <c r="AZ51" s="82" t="str">
        <f>IF(AND($AZ$12&gt;=$F51,$AZ$12&lt;$G51),$E51,"")</f>
        <v/>
      </c>
      <c r="BA51" s="48" t="str">
        <f>IF(AND($BA$12&gt;=$F51,$BA$12&lt;$G51),$E51,"")</f>
        <v/>
      </c>
      <c r="BB51" s="48" t="str">
        <f>IF(AND($BB$12&gt;=$F51,$BB$12&lt;$G51),$E51,"")</f>
        <v/>
      </c>
      <c r="BC51" s="84" t="str">
        <f>IF(AND($BC$12&gt;=$F51,$BC$12&lt;$G51),$E51,"")</f>
        <v/>
      </c>
      <c r="BD51" s="82" t="str">
        <f>IF(AND($BD$12&gt;=$F51,$BD$12&lt;$G51),$E51,"")</f>
        <v/>
      </c>
      <c r="BE51" s="48" t="str">
        <f>IF(AND($BE$12&gt;=$F51,$BE$12&lt;$G51),$E51,"")</f>
        <v/>
      </c>
      <c r="BF51" s="48" t="str">
        <f>IF(AND($BF$12&gt;=$F51,$BF$12&lt;$G51),$E51,"")</f>
        <v/>
      </c>
      <c r="BG51" s="84" t="str">
        <f>IF(AND($BG$12&gt;=$F51,$BG$12&lt;$G51),$E51,"")</f>
        <v/>
      </c>
      <c r="BH51" s="87" t="str">
        <f>IF(AND($BH$12&gt;=$F51,$BH$12&lt;$G51),$E51,"")</f>
        <v/>
      </c>
      <c r="BI51" s="49" t="str">
        <f>IF(AND($BI$12&gt;=$F51,$BI$12&lt;$G51),$E51,"")</f>
        <v/>
      </c>
      <c r="BJ51" s="49" t="str">
        <f>IF(AND($BJ$12&gt;=$F51,$BJ$12&lt;$G51),$E51,"")</f>
        <v/>
      </c>
      <c r="BK51" s="89" t="str">
        <f>IF(AND($BK$12&gt;=$F51,$BK$12&lt;$G51),$E51,"")</f>
        <v/>
      </c>
      <c r="BL51" s="87" t="str">
        <f>IF(AND($BL$12&gt;=$F51,$BL$12&lt;$G51),$E51,"")</f>
        <v/>
      </c>
      <c r="BM51" s="49" t="str">
        <f>IF(AND($BM$12&gt;=$F51,$BM$12&lt;$G51),$E51,"")</f>
        <v/>
      </c>
      <c r="BN51" s="49" t="str">
        <f>IF(AND($BN$12&gt;=$F51,$BN$12&lt;$G51),$E51,"")</f>
        <v/>
      </c>
      <c r="BO51" s="89" t="str">
        <f>IF(AND($BO$12&gt;=$F51,$BO$12&lt;$G51),$E51,"")</f>
        <v/>
      </c>
      <c r="BP51" s="87" t="str">
        <f>IF(AND($BP$12&gt;=$F51,$BP$12&lt;$G51),$E51,"")</f>
        <v/>
      </c>
      <c r="BQ51" s="49" t="str">
        <f>IF(AND($BQ$12&gt;=$F51,$BQ$12&lt;$G51),$E51,"")</f>
        <v/>
      </c>
      <c r="BR51" s="49" t="str">
        <f>IF(AND($BR$12&gt;=$F51,$BR$12&lt;$G51),$E51,"")</f>
        <v/>
      </c>
      <c r="BS51" s="89" t="str">
        <f>IF(AND($BS$12&gt;=$F51,$BS$12&lt;$G51),$E51,"")</f>
        <v/>
      </c>
      <c r="BT51" s="87" t="str">
        <f>IF(AND($BT$12&gt;=$F51,$BT$12&lt;$G51),$E51,"")</f>
        <v/>
      </c>
    </row>
    <row r="52" spans="2:72" s="93" customFormat="1" hidden="1">
      <c r="B52" s="81" t="str">
        <f>Weekly!B44</f>
        <v>01525</v>
      </c>
      <c r="C52" s="90" t="str">
        <f>Weekly!C44</f>
        <v>Michelle T.</v>
      </c>
      <c r="D52" s="90">
        <f>Weekly!D82</f>
        <v>0</v>
      </c>
      <c r="E52" s="91" t="str">
        <f>VLOOKUP(B52,Team!$B$4:$E$183,4,FALSE)</f>
        <v>Acc.</v>
      </c>
      <c r="F52" s="92" t="str">
        <f>Weekly!G44</f>
        <v/>
      </c>
      <c r="G52" s="92" t="str">
        <f>Weekly!H44</f>
        <v/>
      </c>
      <c r="H52" s="48" t="str">
        <f>IF(AND($H$12&gt;=$F52,$H$12&lt;$G52),$E52,"")</f>
        <v/>
      </c>
      <c r="I52" s="48" t="str">
        <f>IF(AND($I$12&gt;=$F52,$I$12&lt;$G52),$E52,"")</f>
        <v/>
      </c>
      <c r="J52" s="48" t="str">
        <f>IF(AND($J$12&gt;=$F52,$J$12&lt;$G52),$E52,"")</f>
        <v/>
      </c>
      <c r="K52" s="84" t="str">
        <f>IF(AND($K$12&gt;=$F52,$K$12&lt;$G52),$E52,"")</f>
        <v/>
      </c>
      <c r="L52" s="82" t="str">
        <f>IF(AND($L$12&gt;=$F52,$L$12&lt;$G52),$E52,"")</f>
        <v/>
      </c>
      <c r="M52" s="48" t="str">
        <f>IF(AND($M$12&gt;=$F52,$M$12&lt;$G52),$E52,"")</f>
        <v/>
      </c>
      <c r="N52" s="48" t="str">
        <f>IF(AND($N$12&gt;=$F52,$N$12&lt;$G52),$E52,"")</f>
        <v/>
      </c>
      <c r="O52" s="84" t="str">
        <f>IF(AND($O$12&gt;=$F52,$O$12&lt;$G52),$E52,"")</f>
        <v/>
      </c>
      <c r="P52" s="82" t="str">
        <f>IF(AND($P$12&gt;=$F52,$P$12&lt;$G52),$E52,"")</f>
        <v/>
      </c>
      <c r="Q52" s="48" t="str">
        <f>IF(AND($Q$12&gt;=$F52,$Q$12&lt;$G52),$E52,"")</f>
        <v/>
      </c>
      <c r="R52" s="48" t="str">
        <f>IF(AND($R$12&gt;=$F52,$R$12&lt;$G52),$E52,"")</f>
        <v/>
      </c>
      <c r="S52" s="84" t="str">
        <f>IF(AND($S$12&gt;=$F52,$S$12&lt;$G52),$E52,"")</f>
        <v/>
      </c>
      <c r="T52" s="82" t="str">
        <f>IF(AND($T$12&gt;=$F52,$T$12&lt;$G52),$E52,"")</f>
        <v/>
      </c>
      <c r="U52" s="48" t="str">
        <f>IF(AND($U$12&gt;=$F52,$U$12&lt;$G52),$E52,"")</f>
        <v/>
      </c>
      <c r="V52" s="48" t="str">
        <f>IF(AND($V$12&gt;=$F52,$V$12&lt;$G52),$E52,"")</f>
        <v/>
      </c>
      <c r="W52" s="84" t="str">
        <f>IF(AND($W$12&gt;=$F52,$W$12&lt;$G52),$E52,"")</f>
        <v/>
      </c>
      <c r="X52" s="82" t="str">
        <f>IF(AND($X$12&gt;=$F52,$X$12&lt;$G52),$E52,"")</f>
        <v/>
      </c>
      <c r="Y52" s="48" t="str">
        <f>IF(AND($Y$12&gt;=$F52,$Y$12&lt;$G52),$E52,"")</f>
        <v/>
      </c>
      <c r="Z52" s="48" t="str">
        <f>IF(AND($Z$12&gt;=$F52,$Z$12&lt;$G52),$E52,"")</f>
        <v/>
      </c>
      <c r="AA52" s="84" t="str">
        <f>IF(AND($AA$12&gt;=$F52,$AA$12&lt;$G52),$E52,"")</f>
        <v/>
      </c>
      <c r="AB52" s="82" t="str">
        <f>IF(AND($AB$12&gt;=$F52,$AB$12&lt;$G52),$E52,"")</f>
        <v/>
      </c>
      <c r="AC52" s="48" t="str">
        <f>IF(AND($AC$12&gt;=$F52,$AC$12&lt;$G52),$E52,"")</f>
        <v/>
      </c>
      <c r="AD52" s="48" t="str">
        <f>IF(AND($AD$12&gt;=$F52,$AD$12&lt;$G52),$E52,"")</f>
        <v/>
      </c>
      <c r="AE52" s="84" t="str">
        <f>IF(AND($AE$12&gt;=$F52,$AE$12&lt;$G52),$E52,"")</f>
        <v/>
      </c>
      <c r="AF52" s="82" t="str">
        <f>IF(AND($AF$12&gt;=$F52,$AF$12&lt;$G52),$E52,"")</f>
        <v/>
      </c>
      <c r="AG52" s="48" t="str">
        <f>IF(AND($AG$12&gt;=$F52,$AG$12&lt;$G52),$E52,"")</f>
        <v/>
      </c>
      <c r="AH52" s="48" t="str">
        <f>IF(AND($AH$12&gt;=$F52,$AH$12&lt;$G52),$E52,"")</f>
        <v/>
      </c>
      <c r="AI52" s="84" t="str">
        <f>IF(AND($AI$12&gt;=$F52,$AI$12&lt;$G52),$E52,"")</f>
        <v/>
      </c>
      <c r="AJ52" s="82" t="str">
        <f>IF(AND($AJ$12&gt;=$F52,$AJ$12&lt;$G52),$E52,"")</f>
        <v/>
      </c>
      <c r="AK52" s="48" t="str">
        <f>IF(AND($AK$12&gt;=$F52,$AK$12&lt;$G52),$E52,"")</f>
        <v/>
      </c>
      <c r="AL52" s="48" t="str">
        <f>IF(AND($AL$12&gt;=$F52,$AL$12&lt;$G52),$E52,"")</f>
        <v/>
      </c>
      <c r="AM52" s="84" t="str">
        <f>IF(AND($AM$12&gt;=$F52,$AM$12&lt;$G52),$E52,"")</f>
        <v/>
      </c>
      <c r="AN52" s="82" t="str">
        <f>IF(AND($AN$12&gt;=$F52,$AN$12&lt;$G52),$E52,"")</f>
        <v/>
      </c>
      <c r="AO52" s="48" t="str">
        <f>IF(AND($AO$12&gt;=$F52,$AO$12&lt;$G52),$E52,"")</f>
        <v/>
      </c>
      <c r="AP52" s="48" t="str">
        <f>IF(AND($AP$12&gt;=$F52,$AP$12&lt;$G52),$E52,"")</f>
        <v/>
      </c>
      <c r="AQ52" s="84" t="str">
        <f>IF(AND($AQ$12&gt;=$F52,$AQ$12&lt;$G52),$E52,"")</f>
        <v/>
      </c>
      <c r="AR52" s="82" t="str">
        <f>IF(AND($AR$12&gt;=$F52,$AR$12&lt;$G52),$E52,"")</f>
        <v/>
      </c>
      <c r="AS52" s="48" t="str">
        <f>IF(AND($AS$12&gt;=$F52,$AS$12&lt;$G52),$E52,"")</f>
        <v/>
      </c>
      <c r="AT52" s="48" t="str">
        <f>IF(AND($AT$12&gt;=$F52,$AT$12&lt;$G52),$E52,"")</f>
        <v/>
      </c>
      <c r="AU52" s="84" t="str">
        <f>IF(AND($AU$12&gt;=$F52,$AU$12&lt;$G52),$E52,"")</f>
        <v/>
      </c>
      <c r="AV52" s="82" t="str">
        <f>IF(AND($AV$12&gt;=$F52,$AV$12&lt;$G52),$E52,"")</f>
        <v/>
      </c>
      <c r="AW52" s="48" t="str">
        <f>IF(AND($AW$12&gt;=$F52,$AW$12&lt;$G52),$E52,"")</f>
        <v/>
      </c>
      <c r="AX52" s="48" t="str">
        <f>IF(AND($AX$12&gt;=$F52,$AX$12&lt;$G52),$E52,"")</f>
        <v/>
      </c>
      <c r="AY52" s="84" t="str">
        <f>IF(AND($AY$12&gt;=$F52,$AY$12&lt;$G52),$E52,"")</f>
        <v/>
      </c>
      <c r="AZ52" s="82" t="str">
        <f>IF(AND($AZ$12&gt;=$F52,$AZ$12&lt;$G52),$E52,"")</f>
        <v/>
      </c>
      <c r="BA52" s="48" t="str">
        <f>IF(AND($BA$12&gt;=$F52,$BA$12&lt;$G52),$E52,"")</f>
        <v/>
      </c>
      <c r="BB52" s="48" t="str">
        <f>IF(AND($BB$12&gt;=$F52,$BB$12&lt;$G52),$E52,"")</f>
        <v/>
      </c>
      <c r="BC52" s="84" t="str">
        <f>IF(AND($BC$12&gt;=$F52,$BC$12&lt;$G52),$E52,"")</f>
        <v/>
      </c>
      <c r="BD52" s="82" t="str">
        <f>IF(AND($BD$12&gt;=$F52,$BD$12&lt;$G52),$E52,"")</f>
        <v/>
      </c>
      <c r="BE52" s="48" t="str">
        <f>IF(AND($BE$12&gt;=$F52,$BE$12&lt;$G52),$E52,"")</f>
        <v/>
      </c>
      <c r="BF52" s="48" t="str">
        <f>IF(AND($BF$12&gt;=$F52,$BF$12&lt;$G52),$E52,"")</f>
        <v/>
      </c>
      <c r="BG52" s="84" t="str">
        <f>IF(AND($BG$12&gt;=$F52,$BG$12&lt;$G52),$E52,"")</f>
        <v/>
      </c>
      <c r="BH52" s="87" t="str">
        <f>IF(AND($BH$12&gt;=$F52,$BH$12&lt;$G52),$E52,"")</f>
        <v/>
      </c>
      <c r="BI52" s="49" t="str">
        <f>IF(AND($BI$12&gt;=$F52,$BI$12&lt;$G52),$E52,"")</f>
        <v/>
      </c>
      <c r="BJ52" s="49" t="str">
        <f>IF(AND($BJ$12&gt;=$F52,$BJ$12&lt;$G52),$E52,"")</f>
        <v/>
      </c>
      <c r="BK52" s="89" t="str">
        <f>IF(AND($BK$12&gt;=$F52,$BK$12&lt;$G52),$E52,"")</f>
        <v/>
      </c>
      <c r="BL52" s="87" t="str">
        <f>IF(AND($BL$12&gt;=$F52,$BL$12&lt;$G52),$E52,"")</f>
        <v/>
      </c>
      <c r="BM52" s="49" t="str">
        <f>IF(AND($BM$12&gt;=$F52,$BM$12&lt;$G52),$E52,"")</f>
        <v/>
      </c>
      <c r="BN52" s="49" t="str">
        <f>IF(AND($BN$12&gt;=$F52,$BN$12&lt;$G52),$E52,"")</f>
        <v/>
      </c>
      <c r="BO52" s="89" t="str">
        <f>IF(AND($BO$12&gt;=$F52,$BO$12&lt;$G52),$E52,"")</f>
        <v/>
      </c>
      <c r="BP52" s="87" t="str">
        <f>IF(AND($BP$12&gt;=$F52,$BP$12&lt;$G52),$E52,"")</f>
        <v/>
      </c>
      <c r="BQ52" s="49" t="str">
        <f>IF(AND($BQ$12&gt;=$F52,$BQ$12&lt;$G52),$E52,"")</f>
        <v/>
      </c>
      <c r="BR52" s="49" t="str">
        <f>IF(AND($BR$12&gt;=$F52,$BR$12&lt;$G52),$E52,"")</f>
        <v/>
      </c>
      <c r="BS52" s="89" t="str">
        <f>IF(AND($BS$12&gt;=$F52,$BS$12&lt;$G52),$E52,"")</f>
        <v/>
      </c>
      <c r="BT52" s="87" t="str">
        <f>IF(AND($BT$12&gt;=$F52,$BT$12&lt;$G52),$E52,"")</f>
        <v/>
      </c>
    </row>
    <row r="53" spans="2:72" s="93" customFormat="1">
      <c r="B53" s="81" t="str">
        <f>Weekly!B24</f>
        <v>670</v>
      </c>
      <c r="C53" s="90" t="str">
        <f>Weekly!C24</f>
        <v>Fern</v>
      </c>
      <c r="D53" s="90" t="str">
        <f>Weekly!D27</f>
        <v>Viernes</v>
      </c>
      <c r="E53" s="91" t="str">
        <f>VLOOKUP(B53,Team!$B$4:$E$183,4,FALSE)</f>
        <v>SM</v>
      </c>
      <c r="F53" s="92">
        <f>Weekly!G24</f>
        <v>0.437499999999999</v>
      </c>
      <c r="G53" s="92">
        <f>Weekly!H24</f>
        <v>0.79166666666666596</v>
      </c>
      <c r="H53" s="48" t="str">
        <f>IF(AND($H$12&gt;=$F53,$H$12&lt;$G53),$E53,"")</f>
        <v/>
      </c>
      <c r="I53" s="48" t="str">
        <f>IF(AND($I$12&gt;=$F53,$I$12&lt;$G53),$E53,"")</f>
        <v/>
      </c>
      <c r="J53" s="48" t="str">
        <f>IF(AND($J$12&gt;=$F53,$J$12&lt;$G53),$E53,"")</f>
        <v/>
      </c>
      <c r="K53" s="84" t="str">
        <f>IF(AND($K$12&gt;=$F53,$K$12&lt;$G53),$E53,"")</f>
        <v/>
      </c>
      <c r="L53" s="82" t="str">
        <f>IF(AND($L$12&gt;=$F53,$L$12&lt;$G53),$E53,"")</f>
        <v/>
      </c>
      <c r="M53" s="48" t="str">
        <f>IF(AND($M$12&gt;=$F53,$M$12&lt;$G53),$E53,"")</f>
        <v/>
      </c>
      <c r="N53" s="48" t="str">
        <f>IF(AND($N$12&gt;=$F53,$N$12&lt;$G53),$E53,"")</f>
        <v/>
      </c>
      <c r="O53" s="84" t="str">
        <f>IF(AND($O$12&gt;=$F53,$O$12&lt;$G53),$E53,"")</f>
        <v/>
      </c>
      <c r="P53" s="82" t="str">
        <f>IF(AND($P$12&gt;=$F53,$P$12&lt;$G53),$E53,"")</f>
        <v/>
      </c>
      <c r="Q53" s="48" t="str">
        <f>IF(AND($Q$12&gt;=$F53,$Q$12&lt;$G53),$E53,"")</f>
        <v/>
      </c>
      <c r="R53" s="48" t="str">
        <f>IF(AND($R$12&gt;=$F53,$R$12&lt;$G53),$E53,"")</f>
        <v/>
      </c>
      <c r="S53" s="84" t="str">
        <f>IF(AND($S$12&gt;=$F53,$S$12&lt;$G53),$E53,"")</f>
        <v/>
      </c>
      <c r="T53" s="82" t="str">
        <f>IF(AND($T$12&gt;=$F53,$T$12&lt;$G53),$E53,"")</f>
        <v/>
      </c>
      <c r="U53" s="48" t="str">
        <f>IF(AND($U$12&gt;=$F53,$U$12&lt;$G53),$E53,"")</f>
        <v/>
      </c>
      <c r="V53" s="48" t="str">
        <f>IF(AND($V$12&gt;=$F53,$V$12&lt;$G53),$E53,"")</f>
        <v>SM</v>
      </c>
      <c r="W53" s="84" t="str">
        <f>IF(AND($W$12&gt;=$F53,$W$12&lt;$G53),$E53,"")</f>
        <v>SM</v>
      </c>
      <c r="X53" s="125" t="s">
        <v>245</v>
      </c>
      <c r="Y53" s="125" t="s">
        <v>245</v>
      </c>
      <c r="Z53" s="125" t="s">
        <v>245</v>
      </c>
      <c r="AA53" s="125" t="s">
        <v>245</v>
      </c>
      <c r="AB53" s="82" t="str">
        <f>IF(AND($AB$12&gt;=$F53,$AB$12&lt;$G53),$E53,"")</f>
        <v>SM</v>
      </c>
      <c r="AC53" s="48" t="str">
        <f>IF(AND($AC$12&gt;=$F53,$AC$12&lt;$G53),$E53,"")</f>
        <v>SM</v>
      </c>
      <c r="AD53" s="48" t="str">
        <f>IF(AND($AD$12&gt;=$F53,$AD$12&lt;$G53),$E53,"")</f>
        <v>SM</v>
      </c>
      <c r="AE53" s="84" t="str">
        <f>IF(AND($AE$12&gt;=$F53,$AE$12&lt;$G53),$E53,"")</f>
        <v>SM</v>
      </c>
      <c r="AF53" s="119" t="s">
        <v>235</v>
      </c>
      <c r="AG53" s="119" t="s">
        <v>235</v>
      </c>
      <c r="AH53" s="119" t="s">
        <v>235</v>
      </c>
      <c r="AI53" s="121">
        <v>40</v>
      </c>
      <c r="AJ53" s="121">
        <v>40</v>
      </c>
      <c r="AK53" s="121">
        <v>40</v>
      </c>
      <c r="AL53" s="121">
        <v>10</v>
      </c>
      <c r="AM53" s="84" t="str">
        <f>IF(AND($AM$12&gt;=$F53,$AM$12&lt;$G53),$E53,"")</f>
        <v>SM</v>
      </c>
      <c r="AN53" s="82" t="str">
        <f>IF(AND($AN$12&gt;=$F53,$AN$12&lt;$G53),$E53,"")</f>
        <v>SM</v>
      </c>
      <c r="AO53" s="48" t="str">
        <f>IF(AND($AO$12&gt;=$F53,$AO$12&lt;$G53),$E53,"")</f>
        <v>SM</v>
      </c>
      <c r="AP53" s="48" t="str">
        <f>IF(AND($AP$12&gt;=$F53,$AP$12&lt;$G53),$E53,"")</f>
        <v>SM</v>
      </c>
      <c r="AQ53" s="84" t="str">
        <f>IF(AND($AQ$12&gt;=$F53,$AQ$12&lt;$G53),$E53,"")</f>
        <v>SM</v>
      </c>
      <c r="AR53" s="82" t="str">
        <f>IF(AND($AR$12&gt;=$F53,$AR$12&lt;$G53),$E53,"")</f>
        <v>SM</v>
      </c>
      <c r="AS53" s="119" t="s">
        <v>235</v>
      </c>
      <c r="AT53" s="119" t="s">
        <v>235</v>
      </c>
      <c r="AU53" s="119" t="s">
        <v>235</v>
      </c>
      <c r="AV53" s="119" t="s">
        <v>235</v>
      </c>
      <c r="AW53" s="119" t="s">
        <v>235</v>
      </c>
      <c r="AX53" s="119" t="s">
        <v>235</v>
      </c>
      <c r="AY53" s="119" t="s">
        <v>235</v>
      </c>
      <c r="AZ53" s="82" t="str">
        <f>IF(AND($AZ$12&gt;=$F53,$AZ$12&lt;$G53),$E53,"")</f>
        <v>SM</v>
      </c>
      <c r="BA53" s="48" t="str">
        <f>IF(AND($BA$12&gt;=$F53,$BA$12&lt;$G53),$E53,"")</f>
        <v>SM</v>
      </c>
      <c r="BB53" s="48" t="str">
        <f>IF(AND($BB$12&gt;=$F53,$BB$12&lt;$G53),$E53,"")</f>
        <v>SM</v>
      </c>
      <c r="BC53" s="84" t="str">
        <f>IF(AND($BC$12&gt;=$F53,$BC$12&lt;$G53),$E53,"")</f>
        <v>SM</v>
      </c>
      <c r="BD53" s="82" t="str">
        <f>IF(AND($BD$12&gt;=$F53,$BD$12&lt;$G53),$E53,"")</f>
        <v/>
      </c>
      <c r="BE53" s="48" t="str">
        <f>IF(AND($BE$12&gt;=$F53,$BE$12&lt;$G53),$E53,"")</f>
        <v/>
      </c>
      <c r="BF53" s="48" t="str">
        <f>IF(AND($BF$12&gt;=$F53,$BF$12&lt;$G53),$E53,"")</f>
        <v/>
      </c>
      <c r="BG53" s="84" t="str">
        <f>IF(AND($BG$12&gt;=$F53,$BG$12&lt;$G53),$E53,"")</f>
        <v/>
      </c>
      <c r="BH53" s="87" t="str">
        <f>IF(AND($BH$12&gt;=$F53,$BH$12&lt;$G53),$E53,"")</f>
        <v/>
      </c>
      <c r="BI53" s="49" t="str">
        <f>IF(AND($BI$12&gt;=$F53,$BI$12&lt;$G53),$E53,"")</f>
        <v/>
      </c>
      <c r="BJ53" s="49" t="str">
        <f>IF(AND($BJ$12&gt;=$F53,$BJ$12&lt;$G53),$E53,"")</f>
        <v/>
      </c>
      <c r="BK53" s="89" t="str">
        <f>IF(AND($BK$12&gt;=$F53,$BK$12&lt;$G53),$E53,"")</f>
        <v/>
      </c>
      <c r="BL53" s="87" t="str">
        <f>IF(AND($BL$12&gt;=$F53,$BL$12&lt;$G53),$E53,"")</f>
        <v/>
      </c>
      <c r="BM53" s="49" t="str">
        <f>IF(AND($BM$12&gt;=$F53,$BM$12&lt;$G53),$E53,"")</f>
        <v/>
      </c>
      <c r="BN53" s="49" t="str">
        <f>IF(AND($BN$12&gt;=$F53,$BN$12&lt;$G53),$E53,"")</f>
        <v/>
      </c>
      <c r="BO53" s="89" t="str">
        <f>IF(AND($BO$12&gt;=$F53,$BO$12&lt;$G53),$E53,"")</f>
        <v/>
      </c>
      <c r="BP53" s="87" t="str">
        <f>IF(AND($BP$12&gt;=$F53,$BP$12&lt;$G53),$E53,"")</f>
        <v/>
      </c>
      <c r="BQ53" s="49" t="str">
        <f>IF(AND($BQ$12&gt;=$F53,$BQ$12&lt;$G53),$E53,"")</f>
        <v/>
      </c>
      <c r="BR53" s="49" t="str">
        <f>IF(AND($BR$12&gt;=$F53,$BR$12&lt;$G53),$E53,"")</f>
        <v/>
      </c>
      <c r="BS53" s="89" t="str">
        <f>IF(AND($BS$12&gt;=$F53,$BS$12&lt;$G53),$E53,"")</f>
        <v/>
      </c>
      <c r="BT53" s="87" t="str">
        <f>IF(AND($BT$12&gt;=$F53,$BT$12&lt;$G53),$E53,"")</f>
        <v/>
      </c>
    </row>
    <row r="54" spans="2:72" s="93" customFormat="1" hidden="1">
      <c r="B54" s="81" t="str">
        <f>Weekly!B46</f>
        <v>1015</v>
      </c>
      <c r="C54" s="90" t="str">
        <f>Weekly!C46</f>
        <v>Natalie C.</v>
      </c>
      <c r="D54" s="90">
        <f>Weekly!D84</f>
        <v>0</v>
      </c>
      <c r="E54" s="91" t="str">
        <f>VLOOKUP(B54,Team!$B$4:$E$183,4,FALSE)</f>
        <v>H&amp;B</v>
      </c>
      <c r="F54" s="92" t="str">
        <f>Weekly!G46</f>
        <v/>
      </c>
      <c r="G54" s="92" t="str">
        <f>Weekly!H46</f>
        <v/>
      </c>
      <c r="H54" s="48" t="str">
        <f>IF(AND($H$12&gt;=$F54,$H$12&lt;$G54),$E54,"")</f>
        <v/>
      </c>
      <c r="I54" s="48" t="str">
        <f>IF(AND($I$12&gt;=$F54,$I$12&lt;$G54),$E54,"")</f>
        <v/>
      </c>
      <c r="J54" s="48" t="str">
        <f>IF(AND($J$12&gt;=$F54,$J$12&lt;$G54),$E54,"")</f>
        <v/>
      </c>
      <c r="K54" s="84" t="str">
        <f>IF(AND($K$12&gt;=$F54,$K$12&lt;$G54),$E54,"")</f>
        <v/>
      </c>
      <c r="L54" s="82" t="str">
        <f>IF(AND($L$12&gt;=$F54,$L$12&lt;$G54),$E54,"")</f>
        <v/>
      </c>
      <c r="M54" s="48" t="str">
        <f>IF(AND($M$12&gt;=$F54,$M$12&lt;$G54),$E54,"")</f>
        <v/>
      </c>
      <c r="N54" s="48" t="str">
        <f>IF(AND($N$12&gt;=$F54,$N$12&lt;$G54),$E54,"")</f>
        <v/>
      </c>
      <c r="O54" s="84" t="str">
        <f>IF(AND($O$12&gt;=$F54,$O$12&lt;$G54),$E54,"")</f>
        <v/>
      </c>
      <c r="P54" s="82" t="str">
        <f>IF(AND($P$12&gt;=$F54,$P$12&lt;$G54),$E54,"")</f>
        <v/>
      </c>
      <c r="Q54" s="48" t="str">
        <f>IF(AND($Q$12&gt;=$F54,$Q$12&lt;$G54),$E54,"")</f>
        <v/>
      </c>
      <c r="R54" s="48" t="str">
        <f>IF(AND($R$12&gt;=$F54,$R$12&lt;$G54),$E54,"")</f>
        <v/>
      </c>
      <c r="S54" s="84" t="str">
        <f>IF(AND($S$12&gt;=$F54,$S$12&lt;$G54),$E54,"")</f>
        <v/>
      </c>
      <c r="T54" s="82" t="str">
        <f>IF(AND($T$12&gt;=$F54,$T$12&lt;$G54),$E54,"")</f>
        <v/>
      </c>
      <c r="U54" s="48" t="str">
        <f>IF(AND($U$12&gt;=$F54,$U$12&lt;$G54),$E54,"")</f>
        <v/>
      </c>
      <c r="V54" s="48" t="str">
        <f>IF(AND($V$12&gt;=$F54,$V$12&lt;$G54),$E54,"")</f>
        <v/>
      </c>
      <c r="W54" s="84" t="str">
        <f>IF(AND($W$12&gt;=$F54,$W$12&lt;$G54),$E54,"")</f>
        <v/>
      </c>
      <c r="X54" s="82" t="str">
        <f>IF(AND($X$12&gt;=$F54,$X$12&lt;$G54),$E54,"")</f>
        <v/>
      </c>
      <c r="Y54" s="48" t="str">
        <f>IF(AND($Y$12&gt;=$F54,$Y$12&lt;$G54),$E54,"")</f>
        <v/>
      </c>
      <c r="Z54" s="48" t="str">
        <f>IF(AND($Z$12&gt;=$F54,$Z$12&lt;$G54),$E54,"")</f>
        <v/>
      </c>
      <c r="AA54" s="84" t="str">
        <f>IF(AND($AA$12&gt;=$F54,$AA$12&lt;$G54),$E54,"")</f>
        <v/>
      </c>
      <c r="AB54" s="82" t="str">
        <f>IF(AND($AB$12&gt;=$F54,$AB$12&lt;$G54),$E54,"")</f>
        <v/>
      </c>
      <c r="AC54" s="48" t="str">
        <f>IF(AND($AC$12&gt;=$F54,$AC$12&lt;$G54),$E54,"")</f>
        <v/>
      </c>
      <c r="AD54" s="48" t="str">
        <f>IF(AND($AD$12&gt;=$F54,$AD$12&lt;$G54),$E54,"")</f>
        <v/>
      </c>
      <c r="AE54" s="84" t="str">
        <f>IF(AND($AE$12&gt;=$F54,$AE$12&lt;$G54),$E54,"")</f>
        <v/>
      </c>
      <c r="AF54" s="82" t="str">
        <f>IF(AND($AF$12&gt;=$F54,$AF$12&lt;$G54),$E54,"")</f>
        <v/>
      </c>
      <c r="AG54" s="48" t="str">
        <f>IF(AND($AG$12&gt;=$F54,$AG$12&lt;$G54),$E54,"")</f>
        <v/>
      </c>
      <c r="AH54" s="48" t="str">
        <f>IF(AND($AH$12&gt;=$F54,$AH$12&lt;$G54),$E54,"")</f>
        <v/>
      </c>
      <c r="AI54" s="84" t="str">
        <f>IF(AND($AI$12&gt;=$F54,$AI$12&lt;$G54),$E54,"")</f>
        <v/>
      </c>
      <c r="AJ54" s="82" t="str">
        <f>IF(AND($AJ$12&gt;=$F54,$AJ$12&lt;$G54),$E54,"")</f>
        <v/>
      </c>
      <c r="AK54" s="48" t="str">
        <f>IF(AND($AK$12&gt;=$F54,$AK$12&lt;$G54),$E54,"")</f>
        <v/>
      </c>
      <c r="AL54" s="48" t="str">
        <f>IF(AND($AL$12&gt;=$F54,$AL$12&lt;$G54),$E54,"")</f>
        <v/>
      </c>
      <c r="AM54" s="84" t="str">
        <f>IF(AND($AM$12&gt;=$F54,$AM$12&lt;$G54),$E54,"")</f>
        <v/>
      </c>
      <c r="AN54" s="82" t="str">
        <f>IF(AND($AN$12&gt;=$F54,$AN$12&lt;$G54),$E54,"")</f>
        <v/>
      </c>
      <c r="AO54" s="48" t="str">
        <f>IF(AND($AO$12&gt;=$F54,$AO$12&lt;$G54),$E54,"")</f>
        <v/>
      </c>
      <c r="AP54" s="48" t="str">
        <f>IF(AND($AP$12&gt;=$F54,$AP$12&lt;$G54),$E54,"")</f>
        <v/>
      </c>
      <c r="AQ54" s="84" t="str">
        <f>IF(AND($AQ$12&gt;=$F54,$AQ$12&lt;$G54),$E54,"")</f>
        <v/>
      </c>
      <c r="AR54" s="82" t="str">
        <f>IF(AND($AR$12&gt;=$F54,$AR$12&lt;$G54),$E54,"")</f>
        <v/>
      </c>
      <c r="AS54" s="48" t="str">
        <f>IF(AND($AS$12&gt;=$F54,$AS$12&lt;$G54),$E54,"")</f>
        <v/>
      </c>
      <c r="AT54" s="48" t="str">
        <f>IF(AND($AT$12&gt;=$F54,$AT$12&lt;$G54),$E54,"")</f>
        <v/>
      </c>
      <c r="AU54" s="84" t="str">
        <f>IF(AND($AU$12&gt;=$F54,$AU$12&lt;$G54),$E54,"")</f>
        <v/>
      </c>
      <c r="AV54" s="82" t="str">
        <f>IF(AND($AV$12&gt;=$F54,$AV$12&lt;$G54),$E54,"")</f>
        <v/>
      </c>
      <c r="AW54" s="48" t="str">
        <f>IF(AND($AW$12&gt;=$F54,$AW$12&lt;$G54),$E54,"")</f>
        <v/>
      </c>
      <c r="AX54" s="48" t="str">
        <f>IF(AND($AX$12&gt;=$F54,$AX$12&lt;$G54),$E54,"")</f>
        <v/>
      </c>
      <c r="AY54" s="84" t="str">
        <f>IF(AND($AY$12&gt;=$F54,$AY$12&lt;$G54),$E54,"")</f>
        <v/>
      </c>
      <c r="AZ54" s="82" t="str">
        <f>IF(AND($AZ$12&gt;=$F54,$AZ$12&lt;$G54),$E54,"")</f>
        <v/>
      </c>
      <c r="BA54" s="48" t="str">
        <f>IF(AND($BA$12&gt;=$F54,$BA$12&lt;$G54),$E54,"")</f>
        <v/>
      </c>
      <c r="BB54" s="48" t="str">
        <f>IF(AND($BB$12&gt;=$F54,$BB$12&lt;$G54),$E54,"")</f>
        <v/>
      </c>
      <c r="BC54" s="84" t="str">
        <f>IF(AND($BC$12&gt;=$F54,$BC$12&lt;$G54),$E54,"")</f>
        <v/>
      </c>
      <c r="BD54" s="82" t="str">
        <f>IF(AND($BD$12&gt;=$F54,$BD$12&lt;$G54),$E54,"")</f>
        <v/>
      </c>
      <c r="BE54" s="48" t="str">
        <f>IF(AND($BE$12&gt;=$F54,$BE$12&lt;$G54),$E54,"")</f>
        <v/>
      </c>
      <c r="BF54" s="48" t="str">
        <f>IF(AND($BF$12&gt;=$F54,$BF$12&lt;$G54),$E54,"")</f>
        <v/>
      </c>
      <c r="BG54" s="84" t="str">
        <f>IF(AND($BG$12&gt;=$F54,$BG$12&lt;$G54),$E54,"")</f>
        <v/>
      </c>
      <c r="BH54" s="87" t="str">
        <f>IF(AND($BH$12&gt;=$F54,$BH$12&lt;$G54),$E54,"")</f>
        <v/>
      </c>
      <c r="BI54" s="49" t="str">
        <f>IF(AND($BI$12&gt;=$F54,$BI$12&lt;$G54),$E54,"")</f>
        <v/>
      </c>
      <c r="BJ54" s="49" t="str">
        <f>IF(AND($BJ$12&gt;=$F54,$BJ$12&lt;$G54),$E54,"")</f>
        <v/>
      </c>
      <c r="BK54" s="89" t="str">
        <f>IF(AND($BK$12&gt;=$F54,$BK$12&lt;$G54),$E54,"")</f>
        <v/>
      </c>
      <c r="BL54" s="87" t="str">
        <f>IF(AND($BL$12&gt;=$F54,$BL$12&lt;$G54),$E54,"")</f>
        <v/>
      </c>
      <c r="BM54" s="49" t="str">
        <f>IF(AND($BM$12&gt;=$F54,$BM$12&lt;$G54),$E54,"")</f>
        <v/>
      </c>
      <c r="BN54" s="49" t="str">
        <f>IF(AND($BN$12&gt;=$F54,$BN$12&lt;$G54),$E54,"")</f>
        <v/>
      </c>
      <c r="BO54" s="89" t="str">
        <f>IF(AND($BO$12&gt;=$F54,$BO$12&lt;$G54),$E54,"")</f>
        <v/>
      </c>
      <c r="BP54" s="87" t="str">
        <f>IF(AND($BP$12&gt;=$F54,$BP$12&lt;$G54),$E54,"")</f>
        <v/>
      </c>
      <c r="BQ54" s="49" t="str">
        <f>IF(AND($BQ$12&gt;=$F54,$BQ$12&lt;$G54),$E54,"")</f>
        <v/>
      </c>
      <c r="BR54" s="49" t="str">
        <f>IF(AND($BR$12&gt;=$F54,$BR$12&lt;$G54),$E54,"")</f>
        <v/>
      </c>
      <c r="BS54" s="89" t="str">
        <f>IF(AND($BS$12&gt;=$F54,$BS$12&lt;$G54),$E54,"")</f>
        <v/>
      </c>
      <c r="BT54" s="87" t="str">
        <f>IF(AND($BT$12&gt;=$F54,$BT$12&lt;$G54),$E54,"")</f>
        <v/>
      </c>
    </row>
    <row r="55" spans="2:72" s="93" customFormat="1" ht="12.75">
      <c r="B55" s="81" t="str">
        <f>Weekly!B32</f>
        <v>1289</v>
      </c>
      <c r="C55" s="90" t="str">
        <f>Weekly!C32</f>
        <v>Jordan</v>
      </c>
      <c r="D55" s="90">
        <f>Weekly!D70</f>
        <v>0</v>
      </c>
      <c r="E55" s="91" t="str">
        <f>VLOOKUP(B55,Team!$B$4:$E$183,4,FALSE)</f>
        <v>SPV</v>
      </c>
      <c r="F55" s="92">
        <f>Weekly!G32</f>
        <v>0.437499999999999</v>
      </c>
      <c r="G55" s="92">
        <f>Weekly!H32</f>
        <v>0.79166666666666596</v>
      </c>
      <c r="H55" s="48" t="str">
        <f>IF(AND($H$12&gt;=$F55,$H$12&lt;$G55),$E55,"")</f>
        <v/>
      </c>
      <c r="I55" s="48" t="str">
        <f>IF(AND($I$12&gt;=$F55,$I$12&lt;$G55),$E55,"")</f>
        <v/>
      </c>
      <c r="J55" s="48" t="str">
        <f>IF(AND($J$12&gt;=$F55,$J$12&lt;$G55),$E55,"")</f>
        <v/>
      </c>
      <c r="K55" s="84" t="str">
        <f>IF(AND($K$12&gt;=$F55,$K$12&lt;$G55),$E55,"")</f>
        <v/>
      </c>
      <c r="L55" s="82" t="str">
        <f>IF(AND($L$12&gt;=$F55,$L$12&lt;$G55),$E55,"")</f>
        <v/>
      </c>
      <c r="M55" s="48" t="str">
        <f>IF(AND($M$12&gt;=$F55,$M$12&lt;$G55),$E55,"")</f>
        <v/>
      </c>
      <c r="N55" s="48" t="str">
        <f>IF(AND($N$12&gt;=$F55,$N$12&lt;$G55),$E55,"")</f>
        <v/>
      </c>
      <c r="O55" s="84" t="str">
        <f>IF(AND($O$12&gt;=$F55,$O$12&lt;$G55),$E55,"")</f>
        <v/>
      </c>
      <c r="P55" s="82" t="str">
        <f>IF(AND($P$12&gt;=$F55,$P$12&lt;$G55),$E55,"")</f>
        <v/>
      </c>
      <c r="Q55" s="48" t="str">
        <f>IF(AND($Q$12&gt;=$F55,$Q$12&lt;$G55),$E55,"")</f>
        <v/>
      </c>
      <c r="R55" s="48" t="str">
        <f>IF(AND($R$12&gt;=$F55,$R$12&lt;$G55),$E55,"")</f>
        <v/>
      </c>
      <c r="S55" s="84" t="str">
        <f>IF(AND($S$12&gt;=$F55,$S$12&lt;$G55),$E55,"")</f>
        <v/>
      </c>
      <c r="T55" s="82" t="str">
        <f>IF(AND($T$12&gt;=$F55,$T$12&lt;$G55),$E55,"")</f>
        <v/>
      </c>
      <c r="U55" s="48" t="str">
        <f>IF(AND($U$12&gt;=$F55,$U$12&lt;$G55),$E55,"")</f>
        <v/>
      </c>
      <c r="V55" s="48" t="str">
        <f>IF(AND($V$12&gt;=$F55,$V$12&lt;$G55),$E55,"")</f>
        <v>SPV</v>
      </c>
      <c r="W55" s="84" t="str">
        <f>IF(AND($W$12&gt;=$F55,$W$12&lt;$G55),$E55,"")</f>
        <v>SPV</v>
      </c>
      <c r="X55" s="124" t="s">
        <v>241</v>
      </c>
      <c r="Y55" s="124" t="s">
        <v>241</v>
      </c>
      <c r="Z55" s="124" t="s">
        <v>241</v>
      </c>
      <c r="AA55" s="124" t="s">
        <v>241</v>
      </c>
      <c r="AB55" s="82" t="str">
        <f>IF(AND($AB$12&gt;=$F55,$AB$12&lt;$G55),$E55,"")</f>
        <v>SPV</v>
      </c>
      <c r="AC55" s="48" t="str">
        <f>IF(AND($AC$12&gt;=$F55,$AC$12&lt;$G55),$E55,"")</f>
        <v>SPV</v>
      </c>
      <c r="AD55" s="48" t="str">
        <f>IF(AND($AD$12&gt;=$F55,$AD$12&lt;$G55),$E55,"")</f>
        <v>SPV</v>
      </c>
      <c r="AE55" s="84" t="str">
        <f>IF(AND($AE$12&gt;=$F55,$AE$12&lt;$G55),$E55,"")</f>
        <v>SPV</v>
      </c>
      <c r="AF55" s="82" t="str">
        <f>IF(AND($AF$12&gt;=$F55,$AF$12&lt;$G55),$E55,"")</f>
        <v>SPV</v>
      </c>
      <c r="AG55" s="48" t="str">
        <f>IF(AND($AG$12&gt;=$F55,$AG$12&lt;$G55),$E55,"")</f>
        <v>SPV</v>
      </c>
      <c r="AH55" s="48" t="str">
        <f>IF(AND($AH$12&gt;=$F55,$AH$12&lt;$G55),$E55,"")</f>
        <v>SPV</v>
      </c>
      <c r="AI55" s="121">
        <v>40</v>
      </c>
      <c r="AJ55" s="121">
        <v>40</v>
      </c>
      <c r="AK55" s="121">
        <v>40</v>
      </c>
      <c r="AL55" s="121">
        <v>10</v>
      </c>
      <c r="AM55" s="84" t="str">
        <f>IF(AND($AM$12&gt;=$F55,$AM$12&lt;$G55),$E55,"")</f>
        <v>SPV</v>
      </c>
      <c r="AN55" s="82" t="str">
        <f>IF(AND($AN$12&gt;=$F55,$AN$12&lt;$G55),$E55,"")</f>
        <v>SPV</v>
      </c>
      <c r="AO55" s="48" t="str">
        <f>IF(AND($AO$12&gt;=$F55,$AO$12&lt;$G55),$E55,"")</f>
        <v>SPV</v>
      </c>
      <c r="AP55" s="48" t="str">
        <f>IF(AND($AP$12&gt;=$F55,$AP$12&lt;$G55),$E55,"")</f>
        <v>SPV</v>
      </c>
      <c r="AQ55" s="84" t="str">
        <f>IF(AND($AQ$12&gt;=$F55,$AQ$12&lt;$G55),$E55,"")</f>
        <v>SPV</v>
      </c>
      <c r="AR55" s="82" t="str">
        <f>IF(AND($AR$12&gt;=$F55,$AR$12&lt;$G55),$E55,"")</f>
        <v>SPV</v>
      </c>
      <c r="AS55" s="48" t="str">
        <f t="shared" ref="AS55:AU55" si="74">IF(AND($AW$12&gt;=$F55,$AW$12&lt;$G55),$E55,"")</f>
        <v>SPV</v>
      </c>
      <c r="AT55" s="48" t="str">
        <f t="shared" si="74"/>
        <v>SPV</v>
      </c>
      <c r="AU55" s="48" t="str">
        <f t="shared" si="74"/>
        <v>SPV</v>
      </c>
      <c r="AV55" s="48" t="str">
        <f>IF(AND($AW$12&gt;=$F55,$AW$12&lt;$G55),$E55,"")</f>
        <v>SPV</v>
      </c>
      <c r="AW55" s="48" t="str">
        <f>IF(AND($AW$12&gt;=$F55,$AW$12&lt;$G55),$E55,"")</f>
        <v>SPV</v>
      </c>
      <c r="AX55" s="48" t="str">
        <f>IF(AND($AX$12&gt;=$F55,$AX$12&lt;$G55),$E55,"")</f>
        <v>SPV</v>
      </c>
      <c r="AY55" s="84" t="str">
        <f>IF(AND($AY$12&gt;=$F55,$AY$12&lt;$G55),$E55,"")</f>
        <v>SPV</v>
      </c>
      <c r="AZ55" s="120" t="s">
        <v>261</v>
      </c>
      <c r="BA55" s="120" t="s">
        <v>261</v>
      </c>
      <c r="BB55" s="48" t="str">
        <f>IF(AND($BB$12&gt;=$F55,$BB$12&lt;$G55),$E55,"")</f>
        <v>SPV</v>
      </c>
      <c r="BC55" s="84" t="str">
        <f>IF(AND($BC$12&gt;=$F55,$BC$12&lt;$G55),$E55,"")</f>
        <v>SPV</v>
      </c>
      <c r="BD55" s="82" t="str">
        <f>IF(AND($BD$12&gt;=$F55,$BD$12&lt;$G55),$E55,"")</f>
        <v/>
      </c>
      <c r="BE55" s="48" t="str">
        <f>IF(AND($BE$12&gt;=$F55,$BE$12&lt;$G55),$E55,"")</f>
        <v/>
      </c>
      <c r="BF55" s="48" t="str">
        <f>IF(AND($BF$12&gt;=$F55,$BF$12&lt;$G55),$E55,"")</f>
        <v/>
      </c>
      <c r="BG55" s="84" t="str">
        <f>IF(AND($BG$12&gt;=$F55,$BG$12&lt;$G55),$E55,"")</f>
        <v/>
      </c>
      <c r="BH55" s="87" t="str">
        <f>IF(AND($BH$12&gt;=$F55,$BH$12&lt;$G55),$E55,"")</f>
        <v/>
      </c>
      <c r="BI55" s="49" t="str">
        <f>IF(AND($BI$12&gt;=$F55,$BI$12&lt;$G55),$E55,"")</f>
        <v/>
      </c>
      <c r="BJ55" s="49" t="str">
        <f>IF(AND($BJ$12&gt;=$F55,$BJ$12&lt;$G55),$E55,"")</f>
        <v/>
      </c>
      <c r="BK55" s="89" t="str">
        <f>IF(AND($BK$12&gt;=$F55,$BK$12&lt;$G55),$E55,"")</f>
        <v/>
      </c>
      <c r="BL55" s="87" t="str">
        <f>IF(AND($BL$12&gt;=$F55,$BL$12&lt;$G55),$E55,"")</f>
        <v/>
      </c>
      <c r="BM55" s="49" t="str">
        <f>IF(AND($BM$12&gt;=$F55,$BM$12&lt;$G55),$E55,"")</f>
        <v/>
      </c>
      <c r="BN55" s="49" t="str">
        <f>IF(AND($BN$12&gt;=$F55,$BN$12&lt;$G55),$E55,"")</f>
        <v/>
      </c>
      <c r="BO55" s="89" t="str">
        <f>IF(AND($BO$12&gt;=$F55,$BO$12&lt;$G55),$E55,"")</f>
        <v/>
      </c>
      <c r="BP55" s="87" t="str">
        <f>IF(AND($BP$12&gt;=$F55,$BP$12&lt;$G55),$E55,"")</f>
        <v/>
      </c>
      <c r="BQ55" s="49" t="str">
        <f>IF(AND($BQ$12&gt;=$F55,$BQ$12&lt;$G55),$E55,"")</f>
        <v/>
      </c>
      <c r="BR55" s="49" t="str">
        <f>IF(AND($BR$12&gt;=$F55,$BR$12&lt;$G55),$E55,"")</f>
        <v/>
      </c>
      <c r="BS55" s="89" t="str">
        <f>IF(AND($BS$12&gt;=$F55,$BS$12&lt;$G55),$E55,"")</f>
        <v/>
      </c>
      <c r="BT55" s="87" t="str">
        <f>IF(AND($BT$12&gt;=$F55,$BT$12&lt;$G55),$E55,"")</f>
        <v/>
      </c>
    </row>
    <row r="56" spans="2:72" s="93" customFormat="1" hidden="1">
      <c r="B56" s="81" t="str">
        <f>Weekly!B48</f>
        <v>1257</v>
      </c>
      <c r="C56" s="90" t="str">
        <f>Weekly!C48</f>
        <v>Noreen</v>
      </c>
      <c r="D56" s="90">
        <f>Weekly!D86</f>
        <v>0</v>
      </c>
      <c r="E56" s="91" t="str">
        <f>VLOOKUP(B56,Team!$B$4:$E$183,4,FALSE)</f>
        <v>L's</v>
      </c>
      <c r="F56" s="92" t="str">
        <f>Weekly!G48</f>
        <v/>
      </c>
      <c r="G56" s="92" t="str">
        <f>Weekly!H48</f>
        <v/>
      </c>
      <c r="H56" s="48" t="str">
        <f>IF(AND($H$12&gt;=$F56,$H$12&lt;$G56),$E56,"")</f>
        <v/>
      </c>
      <c r="I56" s="48" t="str">
        <f>IF(AND($I$12&gt;=$F56,$I$12&lt;$G56),$E56,"")</f>
        <v/>
      </c>
      <c r="J56" s="48" t="str">
        <f>IF(AND($J$12&gt;=$F56,$J$12&lt;$G56),$E56,"")</f>
        <v/>
      </c>
      <c r="K56" s="84" t="str">
        <f>IF(AND($K$12&gt;=$F56,$K$12&lt;$G56),$E56,"")</f>
        <v/>
      </c>
      <c r="L56" s="82" t="str">
        <f>IF(AND($L$12&gt;=$F56,$L$12&lt;$G56),$E56,"")</f>
        <v/>
      </c>
      <c r="M56" s="48" t="str">
        <f>IF(AND($M$12&gt;=$F56,$M$12&lt;$G56),$E56,"")</f>
        <v/>
      </c>
      <c r="N56" s="48" t="str">
        <f>IF(AND($N$12&gt;=$F56,$N$12&lt;$G56),$E56,"")</f>
        <v/>
      </c>
      <c r="O56" s="84" t="str">
        <f>IF(AND($O$12&gt;=$F56,$O$12&lt;$G56),$E56,"")</f>
        <v/>
      </c>
      <c r="P56" s="82" t="str">
        <f>IF(AND($P$12&gt;=$F56,$P$12&lt;$G56),$E56,"")</f>
        <v/>
      </c>
      <c r="Q56" s="48" t="str">
        <f>IF(AND($Q$12&gt;=$F56,$Q$12&lt;$G56),$E56,"")</f>
        <v/>
      </c>
      <c r="R56" s="48" t="str">
        <f>IF(AND($R$12&gt;=$F56,$R$12&lt;$G56),$E56,"")</f>
        <v/>
      </c>
      <c r="S56" s="84" t="str">
        <f>IF(AND($S$12&gt;=$F56,$S$12&lt;$G56),$E56,"")</f>
        <v/>
      </c>
      <c r="T56" s="82" t="str">
        <f>IF(AND($T$12&gt;=$F56,$T$12&lt;$G56),$E56,"")</f>
        <v/>
      </c>
      <c r="U56" s="48" t="str">
        <f>IF(AND($U$12&gt;=$F56,$U$12&lt;$G56),$E56,"")</f>
        <v/>
      </c>
      <c r="V56" s="48" t="str">
        <f>IF(AND($V$12&gt;=$F56,$V$12&lt;$G56),$E56,"")</f>
        <v/>
      </c>
      <c r="W56" s="84" t="str">
        <f>IF(AND($W$12&gt;=$F56,$W$12&lt;$G56),$E56,"")</f>
        <v/>
      </c>
      <c r="X56" s="82" t="str">
        <f>IF(AND($X$12&gt;=$F56,$X$12&lt;$G56),$E56,"")</f>
        <v/>
      </c>
      <c r="Y56" s="48" t="str">
        <f>IF(AND($Y$12&gt;=$F56,$Y$12&lt;$G56),$E56,"")</f>
        <v/>
      </c>
      <c r="Z56" s="48" t="str">
        <f>IF(AND($Z$12&gt;=$F56,$Z$12&lt;$G56),$E56,"")</f>
        <v/>
      </c>
      <c r="AA56" s="84" t="str">
        <f>IF(AND($AA$12&gt;=$F56,$AA$12&lt;$G56),$E56,"")</f>
        <v/>
      </c>
      <c r="AB56" s="82" t="str">
        <f>IF(AND($AB$12&gt;=$F56,$AB$12&lt;$G56),$E56,"")</f>
        <v/>
      </c>
      <c r="AC56" s="48" t="str">
        <f>IF(AND($AC$12&gt;=$F56,$AC$12&lt;$G56),$E56,"")</f>
        <v/>
      </c>
      <c r="AD56" s="48" t="str">
        <f>IF(AND($AD$12&gt;=$F56,$AD$12&lt;$G56),$E56,"")</f>
        <v/>
      </c>
      <c r="AE56" s="84" t="str">
        <f>IF(AND($AE$12&gt;=$F56,$AE$12&lt;$G56),$E56,"")</f>
        <v/>
      </c>
      <c r="AF56" s="82" t="str">
        <f>IF(AND($AF$12&gt;=$F56,$AF$12&lt;$G56),$E56,"")</f>
        <v/>
      </c>
      <c r="AG56" s="48" t="str">
        <f>IF(AND($AG$12&gt;=$F56,$AG$12&lt;$G56),$E56,"")</f>
        <v/>
      </c>
      <c r="AH56" s="48" t="str">
        <f>IF(AND($AH$12&gt;=$F56,$AH$12&lt;$G56),$E56,"")</f>
        <v/>
      </c>
      <c r="AI56" s="84" t="str">
        <f>IF(AND($AI$12&gt;=$F56,$AI$12&lt;$G56),$E56,"")</f>
        <v/>
      </c>
      <c r="AJ56" s="82" t="str">
        <f>IF(AND($AJ$12&gt;=$F56,$AJ$12&lt;$G56),$E56,"")</f>
        <v/>
      </c>
      <c r="AK56" s="48" t="str">
        <f>IF(AND($AK$12&gt;=$F56,$AK$12&lt;$G56),$E56,"")</f>
        <v/>
      </c>
      <c r="AL56" s="48" t="str">
        <f>IF(AND($AL$12&gt;=$F56,$AL$12&lt;$G56),$E56,"")</f>
        <v/>
      </c>
      <c r="AM56" s="84" t="str">
        <f>IF(AND($AM$12&gt;=$F56,$AM$12&lt;$G56),$E56,"")</f>
        <v/>
      </c>
      <c r="AN56" s="82" t="str">
        <f>IF(AND($AN$12&gt;=$F56,$AN$12&lt;$G56),$E56,"")</f>
        <v/>
      </c>
      <c r="AO56" s="48" t="str">
        <f>IF(AND($AO$12&gt;=$F56,$AO$12&lt;$G56),$E56,"")</f>
        <v/>
      </c>
      <c r="AP56" s="48" t="str">
        <f>IF(AND($AP$12&gt;=$F56,$AP$12&lt;$G56),$E56,"")</f>
        <v/>
      </c>
      <c r="AQ56" s="84" t="str">
        <f>IF(AND($AQ$12&gt;=$F56,$AQ$12&lt;$G56),$E56,"")</f>
        <v/>
      </c>
      <c r="AR56" s="82" t="str">
        <f>IF(AND($AR$12&gt;=$F56,$AR$12&lt;$G56),$E56,"")</f>
        <v/>
      </c>
      <c r="AS56" s="48" t="str">
        <f>IF(AND($AS$12&gt;=$F56,$AS$12&lt;$G56),$E56,"")</f>
        <v/>
      </c>
      <c r="AT56" s="48" t="str">
        <f>IF(AND($AT$12&gt;=$F56,$AT$12&lt;$G56),$E56,"")</f>
        <v/>
      </c>
      <c r="AU56" s="84" t="str">
        <f>IF(AND($AU$12&gt;=$F56,$AU$12&lt;$G56),$E56,"")</f>
        <v/>
      </c>
      <c r="AV56" s="82" t="str">
        <f>IF(AND($AV$12&gt;=$F56,$AV$12&lt;$G56),$E56,"")</f>
        <v/>
      </c>
      <c r="AW56" s="48" t="str">
        <f>IF(AND($AW$12&gt;=$F56,$AW$12&lt;$G56),$E56,"")</f>
        <v/>
      </c>
      <c r="AX56" s="48" t="str">
        <f>IF(AND($AX$12&gt;=$F56,$AX$12&lt;$G56),$E56,"")</f>
        <v/>
      </c>
      <c r="AY56" s="84" t="str">
        <f>IF(AND($AY$12&gt;=$F56,$AY$12&lt;$G56),$E56,"")</f>
        <v/>
      </c>
      <c r="AZ56" s="82" t="str">
        <f>IF(AND($AZ$12&gt;=$F56,$AZ$12&lt;$G56),$E56,"")</f>
        <v/>
      </c>
      <c r="BA56" s="48" t="str">
        <f>IF(AND($BA$12&gt;=$F56,$BA$12&lt;$G56),$E56,"")</f>
        <v/>
      </c>
      <c r="BB56" s="48" t="str">
        <f>IF(AND($BB$12&gt;=$F56,$BB$12&lt;$G56),$E56,"")</f>
        <v/>
      </c>
      <c r="BC56" s="84" t="str">
        <f>IF(AND($BC$12&gt;=$F56,$BC$12&lt;$G56),$E56,"")</f>
        <v/>
      </c>
      <c r="BD56" s="82" t="str">
        <f>IF(AND($BD$12&gt;=$F56,$BD$12&lt;$G56),$E56,"")</f>
        <v/>
      </c>
      <c r="BE56" s="48" t="str">
        <f>IF(AND($BE$12&gt;=$F56,$BE$12&lt;$G56),$E56,"")</f>
        <v/>
      </c>
      <c r="BF56" s="48" t="str">
        <f>IF(AND($BF$12&gt;=$F56,$BF$12&lt;$G56),$E56,"")</f>
        <v/>
      </c>
      <c r="BG56" s="84" t="str">
        <f>IF(AND($BG$12&gt;=$F56,$BG$12&lt;$G56),$E56,"")</f>
        <v/>
      </c>
      <c r="BH56" s="87" t="str">
        <f>IF(AND($BH$12&gt;=$F56,$BH$12&lt;$G56),$E56,"")</f>
        <v/>
      </c>
      <c r="BI56" s="49" t="str">
        <f>IF(AND($BI$12&gt;=$F56,$BI$12&lt;$G56),$E56,"")</f>
        <v/>
      </c>
      <c r="BJ56" s="49" t="str">
        <f>IF(AND($BJ$12&gt;=$F56,$BJ$12&lt;$G56),$E56,"")</f>
        <v/>
      </c>
      <c r="BK56" s="89" t="str">
        <f>IF(AND($BK$12&gt;=$F56,$BK$12&lt;$G56),$E56,"")</f>
        <v/>
      </c>
      <c r="BL56" s="87" t="str">
        <f>IF(AND($BL$12&gt;=$F56,$BL$12&lt;$G56),$E56,"")</f>
        <v/>
      </c>
      <c r="BM56" s="49" t="str">
        <f>IF(AND($BM$12&gt;=$F56,$BM$12&lt;$G56),$E56,"")</f>
        <v/>
      </c>
      <c r="BN56" s="49" t="str">
        <f>IF(AND($BN$12&gt;=$F56,$BN$12&lt;$G56),$E56,"")</f>
        <v/>
      </c>
      <c r="BO56" s="89" t="str">
        <f>IF(AND($BO$12&gt;=$F56,$BO$12&lt;$G56),$E56,"")</f>
        <v/>
      </c>
      <c r="BP56" s="87" t="str">
        <f>IF(AND($BP$12&gt;=$F56,$BP$12&lt;$G56),$E56,"")</f>
        <v/>
      </c>
      <c r="BQ56" s="49" t="str">
        <f>IF(AND($BQ$12&gt;=$F56,$BQ$12&lt;$G56),$E56,"")</f>
        <v/>
      </c>
      <c r="BR56" s="49" t="str">
        <f>IF(AND($BR$12&gt;=$F56,$BR$12&lt;$G56),$E56,"")</f>
        <v/>
      </c>
      <c r="BS56" s="89" t="str">
        <f>IF(AND($BS$12&gt;=$F56,$BS$12&lt;$G56),$E56,"")</f>
        <v/>
      </c>
      <c r="BT56" s="87" t="str">
        <f>IF(AND($BT$12&gt;=$F56,$BT$12&lt;$G56),$E56,"")</f>
        <v/>
      </c>
    </row>
    <row r="57" spans="2:72" s="93" customFormat="1" hidden="1">
      <c r="B57" s="81" t="str">
        <f>Weekly!B49</f>
        <v>1287</v>
      </c>
      <c r="C57" s="90" t="str">
        <f>Weekly!C49</f>
        <v>Pearl</v>
      </c>
      <c r="D57" s="90">
        <f>Weekly!D87</f>
        <v>0</v>
      </c>
      <c r="E57" s="91" t="str">
        <f>VLOOKUP(B57,Team!$B$4:$E$183,4,FALSE)</f>
        <v>L's</v>
      </c>
      <c r="F57" s="92" t="str">
        <f>Weekly!G49</f>
        <v/>
      </c>
      <c r="G57" s="92" t="str">
        <f>Weekly!H49</f>
        <v/>
      </c>
      <c r="H57" s="48" t="str">
        <f>IF(AND($H$12&gt;=$F57,$H$12&lt;$G57),$E57,"")</f>
        <v/>
      </c>
      <c r="I57" s="48" t="str">
        <f>IF(AND($I$12&gt;=$F57,$I$12&lt;$G57),$E57,"")</f>
        <v/>
      </c>
      <c r="J57" s="48" t="str">
        <f>IF(AND($J$12&gt;=$F57,$J$12&lt;$G57),$E57,"")</f>
        <v/>
      </c>
      <c r="K57" s="84" t="str">
        <f>IF(AND($K$12&gt;=$F57,$K$12&lt;$G57),$E57,"")</f>
        <v/>
      </c>
      <c r="L57" s="82" t="str">
        <f>IF(AND($L$12&gt;=$F57,$L$12&lt;$G57),$E57,"")</f>
        <v/>
      </c>
      <c r="M57" s="48" t="str">
        <f>IF(AND($M$12&gt;=$F57,$M$12&lt;$G57),$E57,"")</f>
        <v/>
      </c>
      <c r="N57" s="48" t="str">
        <f>IF(AND($N$12&gt;=$F57,$N$12&lt;$G57),$E57,"")</f>
        <v/>
      </c>
      <c r="O57" s="84" t="str">
        <f>IF(AND($O$12&gt;=$F57,$O$12&lt;$G57),$E57,"")</f>
        <v/>
      </c>
      <c r="P57" s="82" t="str">
        <f>IF(AND($P$12&gt;=$F57,$P$12&lt;$G57),$E57,"")</f>
        <v/>
      </c>
      <c r="Q57" s="48" t="str">
        <f>IF(AND($Q$12&gt;=$F57,$Q$12&lt;$G57),$E57,"")</f>
        <v/>
      </c>
      <c r="R57" s="48" t="str">
        <f>IF(AND($R$12&gt;=$F57,$R$12&lt;$G57),$E57,"")</f>
        <v/>
      </c>
      <c r="S57" s="84" t="str">
        <f>IF(AND($S$12&gt;=$F57,$S$12&lt;$G57),$E57,"")</f>
        <v/>
      </c>
      <c r="T57" s="82" t="str">
        <f>IF(AND($T$12&gt;=$F57,$T$12&lt;$G57),$E57,"")</f>
        <v/>
      </c>
      <c r="U57" s="48" t="str">
        <f>IF(AND($U$12&gt;=$F57,$U$12&lt;$G57),$E57,"")</f>
        <v/>
      </c>
      <c r="V57" s="48" t="str">
        <f>IF(AND($V$12&gt;=$F57,$V$12&lt;$G57),$E57,"")</f>
        <v/>
      </c>
      <c r="W57" s="84" t="str">
        <f>IF(AND($W$12&gt;=$F57,$W$12&lt;$G57),$E57,"")</f>
        <v/>
      </c>
      <c r="X57" s="82" t="str">
        <f>IF(AND($X$12&gt;=$F57,$X$12&lt;$G57),$E57,"")</f>
        <v/>
      </c>
      <c r="Y57" s="48" t="str">
        <f>IF(AND($Y$12&gt;=$F57,$Y$12&lt;$G57),$E57,"")</f>
        <v/>
      </c>
      <c r="Z57" s="48" t="str">
        <f>IF(AND($Z$12&gt;=$F57,$Z$12&lt;$G57),$E57,"")</f>
        <v/>
      </c>
      <c r="AA57" s="84" t="str">
        <f>IF(AND($AA$12&gt;=$F57,$AA$12&lt;$G57),$E57,"")</f>
        <v/>
      </c>
      <c r="AB57" s="82" t="str">
        <f>IF(AND($AB$12&gt;=$F57,$AB$12&lt;$G57),$E57,"")</f>
        <v/>
      </c>
      <c r="AC57" s="48" t="str">
        <f>IF(AND($AC$12&gt;=$F57,$AC$12&lt;$G57),$E57,"")</f>
        <v/>
      </c>
      <c r="AD57" s="48" t="str">
        <f>IF(AND($AD$12&gt;=$F57,$AD$12&lt;$G57),$E57,"")</f>
        <v/>
      </c>
      <c r="AE57" s="84" t="str">
        <f>IF(AND($AE$12&gt;=$F57,$AE$12&lt;$G57),$E57,"")</f>
        <v/>
      </c>
      <c r="AF57" s="82" t="str">
        <f>IF(AND($AF$12&gt;=$F57,$AF$12&lt;$G57),$E57,"")</f>
        <v/>
      </c>
      <c r="AG57" s="48" t="str">
        <f>IF(AND($AG$12&gt;=$F57,$AG$12&lt;$G57),$E57,"")</f>
        <v/>
      </c>
      <c r="AH57" s="48" t="str">
        <f>IF(AND($AH$12&gt;=$F57,$AH$12&lt;$G57),$E57,"")</f>
        <v/>
      </c>
      <c r="AI57" s="84" t="str">
        <f>IF(AND($AI$12&gt;=$F57,$AI$12&lt;$G57),$E57,"")</f>
        <v/>
      </c>
      <c r="AJ57" s="82" t="str">
        <f>IF(AND($AJ$12&gt;=$F57,$AJ$12&lt;$G57),$E57,"")</f>
        <v/>
      </c>
      <c r="AK57" s="48" t="str">
        <f>IF(AND($AK$12&gt;=$F57,$AK$12&lt;$G57),$E57,"")</f>
        <v/>
      </c>
      <c r="AL57" s="48" t="str">
        <f>IF(AND($AL$12&gt;=$F57,$AL$12&lt;$G57),$E57,"")</f>
        <v/>
      </c>
      <c r="AM57" s="84" t="str">
        <f>IF(AND($AM$12&gt;=$F57,$AM$12&lt;$G57),$E57,"")</f>
        <v/>
      </c>
      <c r="AN57" s="82" t="str">
        <f>IF(AND($AN$12&gt;=$F57,$AN$12&lt;$G57),$E57,"")</f>
        <v/>
      </c>
      <c r="AO57" s="48" t="str">
        <f>IF(AND($AO$12&gt;=$F57,$AO$12&lt;$G57),$E57,"")</f>
        <v/>
      </c>
      <c r="AP57" s="48" t="str">
        <f>IF(AND($AP$12&gt;=$F57,$AP$12&lt;$G57),$E57,"")</f>
        <v/>
      </c>
      <c r="AQ57" s="84" t="str">
        <f>IF(AND($AQ$12&gt;=$F57,$AQ$12&lt;$G57),$E57,"")</f>
        <v/>
      </c>
      <c r="AR57" s="82" t="str">
        <f>IF(AND($AR$12&gt;=$F57,$AR$12&lt;$G57),$E57,"")</f>
        <v/>
      </c>
      <c r="AS57" s="48" t="str">
        <f>IF(AND($AS$12&gt;=$F57,$AS$12&lt;$G57),$E57,"")</f>
        <v/>
      </c>
      <c r="AT57" s="48" t="str">
        <f>IF(AND($AT$12&gt;=$F57,$AT$12&lt;$G57),$E57,"")</f>
        <v/>
      </c>
      <c r="AU57" s="84" t="str">
        <f>IF(AND($AU$12&gt;=$F57,$AU$12&lt;$G57),$E57,"")</f>
        <v/>
      </c>
      <c r="AV57" s="82" t="str">
        <f>IF(AND($AV$12&gt;=$F57,$AV$12&lt;$G57),$E57,"")</f>
        <v/>
      </c>
      <c r="AW57" s="48" t="str">
        <f>IF(AND($AW$12&gt;=$F57,$AW$12&lt;$G57),$E57,"")</f>
        <v/>
      </c>
      <c r="AX57" s="48" t="str">
        <f>IF(AND($AX$12&gt;=$F57,$AX$12&lt;$G57),$E57,"")</f>
        <v/>
      </c>
      <c r="AY57" s="84" t="str">
        <f>IF(AND($AY$12&gt;=$F57,$AY$12&lt;$G57),$E57,"")</f>
        <v/>
      </c>
      <c r="AZ57" s="82" t="str">
        <f>IF(AND($AZ$12&gt;=$F57,$AZ$12&lt;$G57),$E57,"")</f>
        <v/>
      </c>
      <c r="BA57" s="48" t="str">
        <f>IF(AND($BA$12&gt;=$F57,$BA$12&lt;$G57),$E57,"")</f>
        <v/>
      </c>
      <c r="BB57" s="48" t="str">
        <f>IF(AND($BB$12&gt;=$F57,$BB$12&lt;$G57),$E57,"")</f>
        <v/>
      </c>
      <c r="BC57" s="84" t="str">
        <f>IF(AND($BC$12&gt;=$F57,$BC$12&lt;$G57),$E57,"")</f>
        <v/>
      </c>
      <c r="BD57" s="82" t="str">
        <f>IF(AND($BD$12&gt;=$F57,$BD$12&lt;$G57),$E57,"")</f>
        <v/>
      </c>
      <c r="BE57" s="48" t="str">
        <f>IF(AND($BE$12&gt;=$F57,$BE$12&lt;$G57),$E57,"")</f>
        <v/>
      </c>
      <c r="BF57" s="48" t="str">
        <f>IF(AND($BF$12&gt;=$F57,$BF$12&lt;$G57),$E57,"")</f>
        <v/>
      </c>
      <c r="BG57" s="84" t="str">
        <f>IF(AND($BG$12&gt;=$F57,$BG$12&lt;$G57),$E57,"")</f>
        <v/>
      </c>
      <c r="BH57" s="87" t="str">
        <f>IF(AND($BH$12&gt;=$F57,$BH$12&lt;$G57),$E57,"")</f>
        <v/>
      </c>
      <c r="BI57" s="49" t="str">
        <f>IF(AND($BI$12&gt;=$F57,$BI$12&lt;$G57),$E57,"")</f>
        <v/>
      </c>
      <c r="BJ57" s="49" t="str">
        <f>IF(AND($BJ$12&gt;=$F57,$BJ$12&lt;$G57),$E57,"")</f>
        <v/>
      </c>
      <c r="BK57" s="89" t="str">
        <f>IF(AND($BK$12&gt;=$F57,$BK$12&lt;$G57),$E57,"")</f>
        <v/>
      </c>
      <c r="BL57" s="87" t="str">
        <f>IF(AND($BL$12&gt;=$F57,$BL$12&lt;$G57),$E57,"")</f>
        <v/>
      </c>
      <c r="BM57" s="49" t="str">
        <f>IF(AND($BM$12&gt;=$F57,$BM$12&lt;$G57),$E57,"")</f>
        <v/>
      </c>
      <c r="BN57" s="49" t="str">
        <f>IF(AND($BN$12&gt;=$F57,$BN$12&lt;$G57),$E57,"")</f>
        <v/>
      </c>
      <c r="BO57" s="89" t="str">
        <f>IF(AND($BO$12&gt;=$F57,$BO$12&lt;$G57),$E57,"")</f>
        <v/>
      </c>
      <c r="BP57" s="87" t="str">
        <f>IF(AND($BP$12&gt;=$F57,$BP$12&lt;$G57),$E57,"")</f>
        <v/>
      </c>
      <c r="BQ57" s="49" t="str">
        <f>IF(AND($BQ$12&gt;=$F57,$BQ$12&lt;$G57),$E57,"")</f>
        <v/>
      </c>
      <c r="BR57" s="49" t="str">
        <f>IF(AND($BR$12&gt;=$F57,$BR$12&lt;$G57),$E57,"")</f>
        <v/>
      </c>
      <c r="BS57" s="89" t="str">
        <f>IF(AND($BS$12&gt;=$F57,$BS$12&lt;$G57),$E57,"")</f>
        <v/>
      </c>
      <c r="BT57" s="87" t="str">
        <f>IF(AND($BT$12&gt;=$F57,$BT$12&lt;$G57),$E57,"")</f>
        <v/>
      </c>
    </row>
    <row r="58" spans="2:72" s="93" customFormat="1" hidden="1">
      <c r="B58" s="81" t="str">
        <f>Weekly!B50</f>
        <v>1232</v>
      </c>
      <c r="C58" s="90" t="str">
        <f>Weekly!C50</f>
        <v>Penny</v>
      </c>
      <c r="D58" s="90">
        <f>Weekly!D88</f>
        <v>0</v>
      </c>
      <c r="E58" s="91" t="str">
        <f>VLOOKUP(B58,Team!$B$4:$E$183,4,FALSE)</f>
        <v>L's</v>
      </c>
      <c r="F58" s="92" t="str">
        <f>Weekly!G50</f>
        <v/>
      </c>
      <c r="G58" s="92" t="str">
        <f>Weekly!H50</f>
        <v/>
      </c>
      <c r="H58" s="48" t="str">
        <f>IF(AND($H$12&gt;=$F58,$H$12&lt;$G58),$E58,"")</f>
        <v/>
      </c>
      <c r="I58" s="48" t="str">
        <f>IF(AND($I$12&gt;=$F58,$I$12&lt;$G58),$E58,"")</f>
        <v/>
      </c>
      <c r="J58" s="48" t="str">
        <f>IF(AND($J$12&gt;=$F58,$J$12&lt;$G58),$E58,"")</f>
        <v/>
      </c>
      <c r="K58" s="84" t="str">
        <f>IF(AND($K$12&gt;=$F58,$K$12&lt;$G58),$E58,"")</f>
        <v/>
      </c>
      <c r="L58" s="82" t="str">
        <f>IF(AND($L$12&gt;=$F58,$L$12&lt;$G58),$E58,"")</f>
        <v/>
      </c>
      <c r="M58" s="48" t="str">
        <f>IF(AND($M$12&gt;=$F58,$M$12&lt;$G58),$E58,"")</f>
        <v/>
      </c>
      <c r="N58" s="48" t="str">
        <f>IF(AND($N$12&gt;=$F58,$N$12&lt;$G58),$E58,"")</f>
        <v/>
      </c>
      <c r="O58" s="84" t="str">
        <f>IF(AND($O$12&gt;=$F58,$O$12&lt;$G58),$E58,"")</f>
        <v/>
      </c>
      <c r="P58" s="82" t="str">
        <f>IF(AND($P$12&gt;=$F58,$P$12&lt;$G58),$E58,"")</f>
        <v/>
      </c>
      <c r="Q58" s="48" t="str">
        <f>IF(AND($Q$12&gt;=$F58,$Q$12&lt;$G58),$E58,"")</f>
        <v/>
      </c>
      <c r="R58" s="48" t="str">
        <f>IF(AND($R$12&gt;=$F58,$R$12&lt;$G58),$E58,"")</f>
        <v/>
      </c>
      <c r="S58" s="84" t="str">
        <f>IF(AND($S$12&gt;=$F58,$S$12&lt;$G58),$E58,"")</f>
        <v/>
      </c>
      <c r="T58" s="82" t="str">
        <f>IF(AND($T$12&gt;=$F58,$T$12&lt;$G58),$E58,"")</f>
        <v/>
      </c>
      <c r="U58" s="48" t="str">
        <f>IF(AND($U$12&gt;=$F58,$U$12&lt;$G58),$E58,"")</f>
        <v/>
      </c>
      <c r="V58" s="48" t="str">
        <f>IF(AND($V$12&gt;=$F58,$V$12&lt;$G58),$E58,"")</f>
        <v/>
      </c>
      <c r="W58" s="84" t="str">
        <f>IF(AND($W$12&gt;=$F58,$W$12&lt;$G58),$E58,"")</f>
        <v/>
      </c>
      <c r="X58" s="82" t="str">
        <f>IF(AND($X$12&gt;=$F58,$X$12&lt;$G58),$E58,"")</f>
        <v/>
      </c>
      <c r="Y58" s="48" t="str">
        <f>IF(AND($Y$12&gt;=$F58,$Y$12&lt;$G58),$E58,"")</f>
        <v/>
      </c>
      <c r="Z58" s="48" t="str">
        <f>IF(AND($Z$12&gt;=$F58,$Z$12&lt;$G58),$E58,"")</f>
        <v/>
      </c>
      <c r="AA58" s="84" t="str">
        <f>IF(AND($AA$12&gt;=$F58,$AA$12&lt;$G58),$E58,"")</f>
        <v/>
      </c>
      <c r="AB58" s="82" t="str">
        <f>IF(AND($AB$12&gt;=$F58,$AB$12&lt;$G58),$E58,"")</f>
        <v/>
      </c>
      <c r="AC58" s="48" t="str">
        <f>IF(AND($AC$12&gt;=$F58,$AC$12&lt;$G58),$E58,"")</f>
        <v/>
      </c>
      <c r="AD58" s="48" t="str">
        <f>IF(AND($AD$12&gt;=$F58,$AD$12&lt;$G58),$E58,"")</f>
        <v/>
      </c>
      <c r="AE58" s="84" t="str">
        <f>IF(AND($AE$12&gt;=$F58,$AE$12&lt;$G58),$E58,"")</f>
        <v/>
      </c>
      <c r="AF58" s="82" t="str">
        <f>IF(AND($AF$12&gt;=$F58,$AF$12&lt;$G58),$E58,"")</f>
        <v/>
      </c>
      <c r="AG58" s="48" t="str">
        <f>IF(AND($AG$12&gt;=$F58,$AG$12&lt;$G58),$E58,"")</f>
        <v/>
      </c>
      <c r="AH58" s="48" t="str">
        <f>IF(AND($AH$12&gt;=$F58,$AH$12&lt;$G58),$E58,"")</f>
        <v/>
      </c>
      <c r="AI58" s="84" t="str">
        <f>IF(AND($AI$12&gt;=$F58,$AI$12&lt;$G58),$E58,"")</f>
        <v/>
      </c>
      <c r="AJ58" s="82" t="str">
        <f>IF(AND($AJ$12&gt;=$F58,$AJ$12&lt;$G58),$E58,"")</f>
        <v/>
      </c>
      <c r="AK58" s="48" t="str">
        <f>IF(AND($AK$12&gt;=$F58,$AK$12&lt;$G58),$E58,"")</f>
        <v/>
      </c>
      <c r="AL58" s="48" t="str">
        <f>IF(AND($AL$12&gt;=$F58,$AL$12&lt;$G58),$E58,"")</f>
        <v/>
      </c>
      <c r="AM58" s="84" t="str">
        <f>IF(AND($AM$12&gt;=$F58,$AM$12&lt;$G58),$E58,"")</f>
        <v/>
      </c>
      <c r="AN58" s="82" t="str">
        <f>IF(AND($AN$12&gt;=$F58,$AN$12&lt;$G58),$E58,"")</f>
        <v/>
      </c>
      <c r="AO58" s="48" t="str">
        <f>IF(AND($AO$12&gt;=$F58,$AO$12&lt;$G58),$E58,"")</f>
        <v/>
      </c>
      <c r="AP58" s="48" t="str">
        <f>IF(AND($AP$12&gt;=$F58,$AP$12&lt;$G58),$E58,"")</f>
        <v/>
      </c>
      <c r="AQ58" s="84" t="str">
        <f>IF(AND($AQ$12&gt;=$F58,$AQ$12&lt;$G58),$E58,"")</f>
        <v/>
      </c>
      <c r="AR58" s="82" t="str">
        <f>IF(AND($AR$12&gt;=$F58,$AR$12&lt;$G58),$E58,"")</f>
        <v/>
      </c>
      <c r="AS58" s="48" t="str">
        <f>IF(AND($AS$12&gt;=$F58,$AS$12&lt;$G58),$E58,"")</f>
        <v/>
      </c>
      <c r="AT58" s="48" t="str">
        <f>IF(AND($AT$12&gt;=$F58,$AT$12&lt;$G58),$E58,"")</f>
        <v/>
      </c>
      <c r="AU58" s="84" t="str">
        <f>IF(AND($AU$12&gt;=$F58,$AU$12&lt;$G58),$E58,"")</f>
        <v/>
      </c>
      <c r="AV58" s="82" t="str">
        <f>IF(AND($AV$12&gt;=$F58,$AV$12&lt;$G58),$E58,"")</f>
        <v/>
      </c>
      <c r="AW58" s="48" t="str">
        <f>IF(AND($AW$12&gt;=$F58,$AW$12&lt;$G58),$E58,"")</f>
        <v/>
      </c>
      <c r="AX58" s="48" t="str">
        <f>IF(AND($AX$12&gt;=$F58,$AX$12&lt;$G58),$E58,"")</f>
        <v/>
      </c>
      <c r="AY58" s="84" t="str">
        <f>IF(AND($AY$12&gt;=$F58,$AY$12&lt;$G58),$E58,"")</f>
        <v/>
      </c>
      <c r="AZ58" s="82" t="str">
        <f>IF(AND($AZ$12&gt;=$F58,$AZ$12&lt;$G58),$E58,"")</f>
        <v/>
      </c>
      <c r="BA58" s="48" t="str">
        <f>IF(AND($BA$12&gt;=$F58,$BA$12&lt;$G58),$E58,"")</f>
        <v/>
      </c>
      <c r="BB58" s="48" t="str">
        <f>IF(AND($BB$12&gt;=$F58,$BB$12&lt;$G58),$E58,"")</f>
        <v/>
      </c>
      <c r="BC58" s="84" t="str">
        <f>IF(AND($BC$12&gt;=$F58,$BC$12&lt;$G58),$E58,"")</f>
        <v/>
      </c>
      <c r="BD58" s="82" t="str">
        <f>IF(AND($BD$12&gt;=$F58,$BD$12&lt;$G58),$E58,"")</f>
        <v/>
      </c>
      <c r="BE58" s="48" t="str">
        <f>IF(AND($BE$12&gt;=$F58,$BE$12&lt;$G58),$E58,"")</f>
        <v/>
      </c>
      <c r="BF58" s="48" t="str">
        <f>IF(AND($BF$12&gt;=$F58,$BF$12&lt;$G58),$E58,"")</f>
        <v/>
      </c>
      <c r="BG58" s="84" t="str">
        <f>IF(AND($BG$12&gt;=$F58,$BG$12&lt;$G58),$E58,"")</f>
        <v/>
      </c>
      <c r="BH58" s="87" t="str">
        <f>IF(AND($BH$12&gt;=$F58,$BH$12&lt;$G58),$E58,"")</f>
        <v/>
      </c>
      <c r="BI58" s="49" t="str">
        <f>IF(AND($BI$12&gt;=$F58,$BI$12&lt;$G58),$E58,"")</f>
        <v/>
      </c>
      <c r="BJ58" s="49" t="str">
        <f>IF(AND($BJ$12&gt;=$F58,$BJ$12&lt;$G58),$E58,"")</f>
        <v/>
      </c>
      <c r="BK58" s="89" t="str">
        <f>IF(AND($BK$12&gt;=$F58,$BK$12&lt;$G58),$E58,"")</f>
        <v/>
      </c>
      <c r="BL58" s="87" t="str">
        <f>IF(AND($BL$12&gt;=$F58,$BL$12&lt;$G58),$E58,"")</f>
        <v/>
      </c>
      <c r="BM58" s="49" t="str">
        <f>IF(AND($BM$12&gt;=$F58,$BM$12&lt;$G58),$E58,"")</f>
        <v/>
      </c>
      <c r="BN58" s="49" t="str">
        <f>IF(AND($BN$12&gt;=$F58,$BN$12&lt;$G58),$E58,"")</f>
        <v/>
      </c>
      <c r="BO58" s="89" t="str">
        <f>IF(AND($BO$12&gt;=$F58,$BO$12&lt;$G58),$E58,"")</f>
        <v/>
      </c>
      <c r="BP58" s="87" t="str">
        <f>IF(AND($BP$12&gt;=$F58,$BP$12&lt;$G58),$E58,"")</f>
        <v/>
      </c>
      <c r="BQ58" s="49" t="str">
        <f>IF(AND($BQ$12&gt;=$F58,$BQ$12&lt;$G58),$E58,"")</f>
        <v/>
      </c>
      <c r="BR58" s="49" t="str">
        <f>IF(AND($BR$12&gt;=$F58,$BR$12&lt;$G58),$E58,"")</f>
        <v/>
      </c>
      <c r="BS58" s="89" t="str">
        <f>IF(AND($BS$12&gt;=$F58,$BS$12&lt;$G58),$E58,"")</f>
        <v/>
      </c>
      <c r="BT58" s="87" t="str">
        <f>IF(AND($BT$12&gt;=$F58,$BT$12&lt;$G58),$E58,"")</f>
        <v/>
      </c>
    </row>
    <row r="59" spans="2:72" s="93" customFormat="1">
      <c r="B59" s="81" t="str">
        <f>Weekly!B56</f>
        <v>891</v>
      </c>
      <c r="C59" s="90" t="str">
        <f>Weekly!C56</f>
        <v>Sienna</v>
      </c>
      <c r="D59" s="90">
        <f>Weekly!D94</f>
        <v>0</v>
      </c>
      <c r="E59" s="91" t="str">
        <f>VLOOKUP(B59,Team!$B$4:$E$183,4,FALSE)</f>
        <v>Stat.</v>
      </c>
      <c r="F59" s="92">
        <f>Weekly!G56</f>
        <v>0.437499999999999</v>
      </c>
      <c r="G59" s="92">
        <f>Weekly!H56</f>
        <v>0.79166666666666596</v>
      </c>
      <c r="H59" s="48" t="str">
        <f>IF(AND($H$12&gt;=$F59,$H$12&lt;$G59),$E59,"")</f>
        <v/>
      </c>
      <c r="I59" s="48" t="str">
        <f>IF(AND($I$12&gt;=$F59,$I$12&lt;$G59),$E59,"")</f>
        <v/>
      </c>
      <c r="J59" s="48" t="str">
        <f>IF(AND($J$12&gt;=$F59,$J$12&lt;$G59),$E59,"")</f>
        <v/>
      </c>
      <c r="K59" s="84" t="str">
        <f>IF(AND($K$12&gt;=$F59,$K$12&lt;$G59),$E59,"")</f>
        <v/>
      </c>
      <c r="L59" s="82" t="str">
        <f>IF(AND($L$12&gt;=$F59,$L$12&lt;$G59),$E59,"")</f>
        <v/>
      </c>
      <c r="M59" s="48" t="str">
        <f>IF(AND($M$12&gt;=$F59,$M$12&lt;$G59),$E59,"")</f>
        <v/>
      </c>
      <c r="N59" s="48" t="str">
        <f>IF(AND($N$12&gt;=$F59,$N$12&lt;$G59),$E59,"")</f>
        <v/>
      </c>
      <c r="O59" s="84" t="str">
        <f>IF(AND($O$12&gt;=$F59,$O$12&lt;$G59),$E59,"")</f>
        <v/>
      </c>
      <c r="P59" s="82" t="str">
        <f>IF(AND($P$12&gt;=$F59,$P$12&lt;$G59),$E59,"")</f>
        <v/>
      </c>
      <c r="Q59" s="48" t="str">
        <f>IF(AND($Q$12&gt;=$F59,$Q$12&lt;$G59),$E59,"")</f>
        <v/>
      </c>
      <c r="R59" s="48" t="str">
        <f>IF(AND($R$12&gt;=$F59,$R$12&lt;$G59),$E59,"")</f>
        <v/>
      </c>
      <c r="S59" s="84" t="str">
        <f>IF(AND($S$12&gt;=$F59,$S$12&lt;$G59),$E59,"")</f>
        <v/>
      </c>
      <c r="T59" s="82" t="str">
        <f>IF(AND($T$12&gt;=$F59,$T$12&lt;$G59),$E59,"")</f>
        <v/>
      </c>
      <c r="U59" s="48" t="str">
        <f>IF(AND($U$12&gt;=$F59,$U$12&lt;$G59),$E59,"")</f>
        <v/>
      </c>
      <c r="V59" s="48" t="str">
        <f>IF(AND($V$12&gt;=$F59,$V$12&lt;$G59),$E59,"")</f>
        <v>Stat.</v>
      </c>
      <c r="W59" s="84" t="str">
        <f>IF(AND($W$12&gt;=$F59,$W$12&lt;$G59),$E59,"")</f>
        <v>Stat.</v>
      </c>
      <c r="X59" s="82" t="str">
        <f>IF(AND($X$12&gt;=$F59,$X$12&lt;$G59),$E59,"")</f>
        <v>Stat.</v>
      </c>
      <c r="Y59" s="48" t="str">
        <f>IF(AND($Y$12&gt;=$F59,$Y$12&lt;$G59),$E59,"")</f>
        <v>Stat.</v>
      </c>
      <c r="Z59" s="48" t="str">
        <f>IF(AND($Z$12&gt;=$F59,$Z$12&lt;$G59),$E59,"")</f>
        <v>Stat.</v>
      </c>
      <c r="AA59" s="84" t="str">
        <f>IF(AND($AA$12&gt;=$F59,$AA$12&lt;$G59),$E59,"")</f>
        <v>Stat.</v>
      </c>
      <c r="AB59" s="82" t="str">
        <f>IF(AND($AB$12&gt;=$F59,$AB$12&lt;$G59),$E59,"")</f>
        <v>Stat.</v>
      </c>
      <c r="AC59" s="119" t="s">
        <v>235</v>
      </c>
      <c r="AD59" s="119" t="s">
        <v>235</v>
      </c>
      <c r="AE59" s="119" t="s">
        <v>235</v>
      </c>
      <c r="AF59" s="119" t="s">
        <v>235</v>
      </c>
      <c r="AG59" s="48" t="str">
        <f t="shared" ref="AG59:AH59" si="75">IF(AND($AG$12&gt;=$F59,$AG$12&lt;$G59),$E59,"")</f>
        <v>Stat.</v>
      </c>
      <c r="AH59" s="48" t="str">
        <f t="shared" si="75"/>
        <v>Stat.</v>
      </c>
      <c r="AI59" s="121">
        <v>40</v>
      </c>
      <c r="AJ59" s="121">
        <v>40</v>
      </c>
      <c r="AK59" s="121">
        <v>40</v>
      </c>
      <c r="AL59" s="121">
        <v>10</v>
      </c>
      <c r="AM59" s="84" t="str">
        <f>IF(AND($AM$12&gt;=$F59,$AM$12&lt;$G59),$E59,"")</f>
        <v>Stat.</v>
      </c>
      <c r="AN59" s="82" t="str">
        <f>IF(AND($AN$12&gt;=$F59,$AN$12&lt;$G59),$E59,"")</f>
        <v>Stat.</v>
      </c>
      <c r="AO59" s="48" t="str">
        <f>IF(AND($AO$12&gt;=$F59,$AO$12&lt;$G59),$E59,"")</f>
        <v>Stat.</v>
      </c>
      <c r="AP59" s="48" t="str">
        <f>IF(AND($AP$12&gt;=$F59,$AP$12&lt;$G59),$E59,"")</f>
        <v>Stat.</v>
      </c>
      <c r="AQ59" s="84" t="str">
        <f>IF(AND($AQ$12&gt;=$F59,$AQ$12&lt;$G59),$E59,"")</f>
        <v>Stat.</v>
      </c>
      <c r="AR59" s="82" t="str">
        <f>IF(AND($AR$12&gt;=$F59,$AR$12&lt;$G59),$E59,"")</f>
        <v>Stat.</v>
      </c>
      <c r="AS59" s="48" t="str">
        <f>IF(AND($AS$12&gt;=$F59,$AS$12&lt;$G59),$E59,"")</f>
        <v>Stat.</v>
      </c>
      <c r="AT59" s="48" t="str">
        <f>IF(AND($AT$12&gt;=$F59,$AT$12&lt;$G59),$E59,"")</f>
        <v>Stat.</v>
      </c>
      <c r="AU59" s="119" t="s">
        <v>235</v>
      </c>
      <c r="AV59" s="119" t="s">
        <v>235</v>
      </c>
      <c r="AW59" s="119" t="s">
        <v>235</v>
      </c>
      <c r="AX59" s="119" t="s">
        <v>235</v>
      </c>
      <c r="AY59" s="119" t="s">
        <v>235</v>
      </c>
      <c r="AZ59" s="82" t="str">
        <f>IF(AND($AZ$12&gt;=$F59,$AZ$12&lt;$G59),$E59,"")</f>
        <v>Stat.</v>
      </c>
      <c r="BA59" s="48" t="str">
        <f>IF(AND($BA$12&gt;=$F59,$BA$12&lt;$G59),$E59,"")</f>
        <v>Stat.</v>
      </c>
      <c r="BB59" s="48" t="str">
        <f>IF(AND($BB$12&gt;=$F59,$BB$12&lt;$G59),$E59,"")</f>
        <v>Stat.</v>
      </c>
      <c r="BC59" s="84" t="str">
        <f>IF(AND($BC$12&gt;=$F59,$BC$12&lt;$G59),$E59,"")</f>
        <v>Stat.</v>
      </c>
      <c r="BD59" s="82" t="str">
        <f>IF(AND($BD$12&gt;=$F59,$BD$12&lt;$G59),$E59,"")</f>
        <v/>
      </c>
      <c r="BE59" s="48" t="str">
        <f>IF(AND($BE$12&gt;=$F59,$BE$12&lt;$G59),$E59,"")</f>
        <v/>
      </c>
      <c r="BF59" s="48" t="str">
        <f>IF(AND($BF$12&gt;=$F59,$BF$12&lt;$G59),$E59,"")</f>
        <v/>
      </c>
      <c r="BG59" s="84" t="str">
        <f>IF(AND($BG$12&gt;=$F59,$BG$12&lt;$G59),$E59,"")</f>
        <v/>
      </c>
      <c r="BH59" s="87" t="str">
        <f>IF(AND($BH$12&gt;=$F59,$BH$12&lt;$G59),$E59,"")</f>
        <v/>
      </c>
      <c r="BI59" s="49" t="str">
        <f>IF(AND($BI$12&gt;=$F59,$BI$12&lt;$G59),$E59,"")</f>
        <v/>
      </c>
      <c r="BJ59" s="49" t="str">
        <f>IF(AND($BJ$12&gt;=$F59,$BJ$12&lt;$G59),$E59,"")</f>
        <v/>
      </c>
      <c r="BK59" s="89" t="str">
        <f>IF(AND($BK$12&gt;=$F59,$BK$12&lt;$G59),$E59,"")</f>
        <v/>
      </c>
      <c r="BL59" s="87" t="str">
        <f>IF(AND($BL$12&gt;=$F59,$BL$12&lt;$G59),$E59,"")</f>
        <v/>
      </c>
      <c r="BM59" s="49" t="str">
        <f>IF(AND($BM$12&gt;=$F59,$BM$12&lt;$G59),$E59,"")</f>
        <v/>
      </c>
      <c r="BN59" s="49" t="str">
        <f>IF(AND($BN$12&gt;=$F59,$BN$12&lt;$G59),$E59,"")</f>
        <v/>
      </c>
      <c r="BO59" s="89" t="str">
        <f>IF(AND($BO$12&gt;=$F59,$BO$12&lt;$G59),$E59,"")</f>
        <v/>
      </c>
      <c r="BP59" s="87" t="str">
        <f>IF(AND($BP$12&gt;=$F59,$BP$12&lt;$G59),$E59,"")</f>
        <v/>
      </c>
      <c r="BQ59" s="49" t="str">
        <f>IF(AND($BQ$12&gt;=$F59,$BQ$12&lt;$G59),$E59,"")</f>
        <v/>
      </c>
      <c r="BR59" s="49" t="str">
        <f>IF(AND($BR$12&gt;=$F59,$BR$12&lt;$G59),$E59,"")</f>
        <v/>
      </c>
      <c r="BS59" s="89" t="str">
        <f>IF(AND($BS$12&gt;=$F59,$BS$12&lt;$G59),$E59,"")</f>
        <v/>
      </c>
      <c r="BT59" s="87" t="str">
        <f>IF(AND($BT$12&gt;=$F59,$BT$12&lt;$G59),$E59,"")</f>
        <v/>
      </c>
    </row>
    <row r="60" spans="2:72" s="93" customFormat="1" ht="12.75">
      <c r="B60" s="81" t="str">
        <f>Weekly!B35</f>
        <v>01518</v>
      </c>
      <c r="C60" s="90" t="str">
        <f>Weekly!C35</f>
        <v>Julie L.</v>
      </c>
      <c r="D60" s="90">
        <f>Weekly!D73</f>
        <v>0</v>
      </c>
      <c r="E60" s="91" t="str">
        <f>VLOOKUP(B60,Team!$B$4:$E$183,4,FALSE)</f>
        <v>F</v>
      </c>
      <c r="F60" s="92">
        <f>Weekly!G35</f>
        <v>0.45833333333333298</v>
      </c>
      <c r="G60" s="92">
        <f>Weekly!H35</f>
        <v>0.79166666666666596</v>
      </c>
      <c r="H60" s="48" t="str">
        <f>IF(AND($H$12&gt;=$F60,$H$12&lt;$G60),$E60,"")</f>
        <v/>
      </c>
      <c r="I60" s="48" t="str">
        <f>IF(AND($I$12&gt;=$F60,$I$12&lt;$G60),$E60,"")</f>
        <v/>
      </c>
      <c r="J60" s="48" t="str">
        <f>IF(AND($J$12&gt;=$F60,$J$12&lt;$G60),$E60,"")</f>
        <v/>
      </c>
      <c r="K60" s="84" t="str">
        <f>IF(AND($K$12&gt;=$F60,$K$12&lt;$G60),$E60,"")</f>
        <v/>
      </c>
      <c r="L60" s="82" t="str">
        <f>IF(AND($L$12&gt;=$F60,$L$12&lt;$G60),$E60,"")</f>
        <v/>
      </c>
      <c r="M60" s="48" t="str">
        <f>IF(AND($M$12&gt;=$F60,$M$12&lt;$G60),$E60,"")</f>
        <v/>
      </c>
      <c r="N60" s="48" t="str">
        <f>IF(AND($N$12&gt;=$F60,$N$12&lt;$G60),$E60,"")</f>
        <v/>
      </c>
      <c r="O60" s="84" t="str">
        <f>IF(AND($O$12&gt;=$F60,$O$12&lt;$G60),$E60,"")</f>
        <v/>
      </c>
      <c r="P60" s="82" t="str">
        <f>IF(AND($P$12&gt;=$F60,$P$12&lt;$G60),$E60,"")</f>
        <v/>
      </c>
      <c r="Q60" s="48" t="str">
        <f>IF(AND($Q$12&gt;=$F60,$Q$12&lt;$G60),$E60,"")</f>
        <v/>
      </c>
      <c r="R60" s="48" t="str">
        <f>IF(AND($R$12&gt;=$F60,$R$12&lt;$G60),$E60,"")</f>
        <v/>
      </c>
      <c r="S60" s="84" t="str">
        <f>IF(AND($S$12&gt;=$F60,$S$12&lt;$G60),$E60,"")</f>
        <v/>
      </c>
      <c r="T60" s="82" t="str">
        <f>IF(AND($T$12&gt;=$F60,$T$12&lt;$G60),$E60,"")</f>
        <v/>
      </c>
      <c r="U60" s="48" t="str">
        <f>IF(AND($U$12&gt;=$F60,$U$12&lt;$G60),$E60,"")</f>
        <v/>
      </c>
      <c r="V60" s="48" t="str">
        <f>IF(AND($V$12&gt;=$F60,$V$12&lt;$G60),$E60,"")</f>
        <v/>
      </c>
      <c r="W60" s="84" t="str">
        <f>IF(AND($W$12&gt;=$F60,$W$12&lt;$G60),$E60,"")</f>
        <v/>
      </c>
      <c r="X60" s="118" t="s">
        <v>243</v>
      </c>
      <c r="Y60" s="119" t="s">
        <v>235</v>
      </c>
      <c r="Z60" s="119" t="s">
        <v>235</v>
      </c>
      <c r="AA60" s="119" t="s">
        <v>235</v>
      </c>
      <c r="AB60" s="119" t="s">
        <v>235</v>
      </c>
      <c r="AC60" s="48" t="str">
        <f>IF(AND($AC$12&gt;=$F60,$AC$12&lt;$G60),$E60,"")</f>
        <v>F</v>
      </c>
      <c r="AD60" s="48" t="str">
        <f>IF(AND($AD$12&gt;=$F60,$AD$12&lt;$G60),$E60,"")</f>
        <v>F</v>
      </c>
      <c r="AE60" s="84" t="str">
        <f>IF(AND($AE$12&gt;=$F60,$AE$12&lt;$G60),$E60,"")</f>
        <v>F</v>
      </c>
      <c r="AF60" s="121">
        <v>40</v>
      </c>
      <c r="AG60" s="121">
        <v>40</v>
      </c>
      <c r="AH60" s="121">
        <v>40</v>
      </c>
      <c r="AI60" s="84" t="str">
        <f>IF(AND($AI$12&gt;=$F60,$AI$12&lt;$G60),$E60,"")</f>
        <v>F</v>
      </c>
      <c r="AJ60" s="82" t="str">
        <f>IF(AND($AJ$12&gt;=$F60,$AJ$12&lt;$G60),$E60,"")</f>
        <v>F</v>
      </c>
      <c r="AK60" s="48" t="str">
        <f>IF(AND($AK$12&gt;=$F60,$AK$12&lt;$G60),$E60,"")</f>
        <v>F</v>
      </c>
      <c r="AL60" s="124" t="s">
        <v>241</v>
      </c>
      <c r="AM60" s="124" t="s">
        <v>241</v>
      </c>
      <c r="AN60" s="124" t="s">
        <v>241</v>
      </c>
      <c r="AO60" s="124" t="s">
        <v>241</v>
      </c>
      <c r="AP60" s="119" t="s">
        <v>235</v>
      </c>
      <c r="AQ60" s="119" t="s">
        <v>235</v>
      </c>
      <c r="AR60" s="119" t="s">
        <v>235</v>
      </c>
      <c r="AS60" s="119" t="s">
        <v>235</v>
      </c>
      <c r="AT60" s="119" t="s">
        <v>235</v>
      </c>
      <c r="AU60" s="121">
        <v>10</v>
      </c>
      <c r="AV60" s="82" t="str">
        <f>IF(AND($AV$12&gt;=$F60,$AV$12&lt;$G60),$E60,"")</f>
        <v>F</v>
      </c>
      <c r="AW60" s="48" t="str">
        <f>IF(AND($AW$12&gt;=$F60,$AW$12&lt;$G60),$E60,"")</f>
        <v>F</v>
      </c>
      <c r="AX60" s="48" t="str">
        <f>IF(AND($AX$12&gt;=$F60,$AX$12&lt;$G60),$E60,"")</f>
        <v>F</v>
      </c>
      <c r="AY60" s="84" t="str">
        <f>IF(AND($AY$12&gt;=$F60,$AY$12&lt;$G60),$E60,"")</f>
        <v>F</v>
      </c>
      <c r="AZ60" s="120" t="s">
        <v>346</v>
      </c>
      <c r="BA60" s="48" t="s">
        <v>228</v>
      </c>
      <c r="BB60" s="48" t="s">
        <v>228</v>
      </c>
      <c r="BC60" s="48" t="s">
        <v>228</v>
      </c>
      <c r="BD60" s="82" t="str">
        <f>IF(AND($BD$12&gt;=$F60,$BD$12&lt;$G60),$E60,"")</f>
        <v/>
      </c>
      <c r="BE60" s="48" t="str">
        <f>IF(AND($BE$12&gt;=$F60,$BE$12&lt;$G60),$E60,"")</f>
        <v/>
      </c>
      <c r="BF60" s="48" t="str">
        <f>IF(AND($BF$12&gt;=$F60,$BF$12&lt;$G60),$E60,"")</f>
        <v/>
      </c>
      <c r="BG60" s="84" t="str">
        <f>IF(AND($BG$12&gt;=$F60,$BG$12&lt;$G60),$E60,"")</f>
        <v/>
      </c>
      <c r="BH60" s="87" t="str">
        <f>IF(AND($BH$12&gt;=$F60,$BH$12&lt;$G60),$E60,"")</f>
        <v/>
      </c>
      <c r="BI60" s="49" t="str">
        <f>IF(AND($BI$12&gt;=$F60,$BI$12&lt;$G60),$E60,"")</f>
        <v/>
      </c>
      <c r="BJ60" s="49" t="str">
        <f>IF(AND($BJ$12&gt;=$F60,$BJ$12&lt;$G60),$E60,"")</f>
        <v/>
      </c>
      <c r="BK60" s="89" t="str">
        <f>IF(AND($BK$12&gt;=$F60,$BK$12&lt;$G60),$E60,"")</f>
        <v/>
      </c>
      <c r="BL60" s="87" t="str">
        <f>IF(AND($BL$12&gt;=$F60,$BL$12&lt;$G60),$E60,"")</f>
        <v/>
      </c>
      <c r="BM60" s="49" t="str">
        <f>IF(AND($BM$12&gt;=$F60,$BM$12&lt;$G60),$E60,"")</f>
        <v/>
      </c>
      <c r="BN60" s="49" t="str">
        <f>IF(AND($BN$12&gt;=$F60,$BN$12&lt;$G60),$E60,"")</f>
        <v/>
      </c>
      <c r="BO60" s="89" t="str">
        <f>IF(AND($BO$12&gt;=$F60,$BO$12&lt;$G60),$E60,"")</f>
        <v/>
      </c>
      <c r="BP60" s="87" t="str">
        <f>IF(AND($BP$12&gt;=$F60,$BP$12&lt;$G60),$E60,"")</f>
        <v/>
      </c>
      <c r="BQ60" s="49" t="str">
        <f>IF(AND($BQ$12&gt;=$F60,$BQ$12&lt;$G60),$E60,"")</f>
        <v/>
      </c>
      <c r="BR60" s="49" t="str">
        <f>IF(AND($BR$12&gt;=$F60,$BR$12&lt;$G60),$E60,"")</f>
        <v/>
      </c>
      <c r="BS60" s="89" t="str">
        <f>IF(AND($BS$12&gt;=$F60,$BS$12&lt;$G60),$E60,"")</f>
        <v/>
      </c>
      <c r="BT60" s="87" t="str">
        <f>IF(AND($BT$12&gt;=$F60,$BT$12&lt;$G60),$E60,"")</f>
        <v/>
      </c>
    </row>
    <row r="61" spans="2:72" s="93" customFormat="1" hidden="1">
      <c r="B61" s="81" t="str">
        <f>Weekly!B53</f>
        <v>01528</v>
      </c>
      <c r="C61" s="90" t="str">
        <f>Weekly!C53</f>
        <v>Rena</v>
      </c>
      <c r="D61" s="90">
        <f>Weekly!D91</f>
        <v>0</v>
      </c>
      <c r="E61" s="91" t="str">
        <f>VLOOKUP(B61,Team!$B$4:$E$183,4,FALSE)</f>
        <v>L's</v>
      </c>
      <c r="F61" s="92" t="str">
        <f>Weekly!G53</f>
        <v/>
      </c>
      <c r="G61" s="92" t="str">
        <f>Weekly!H53</f>
        <v/>
      </c>
      <c r="H61" s="48" t="str">
        <f>IF(AND($H$12&gt;=$F61,$H$12&lt;$G61),$E61,"")</f>
        <v/>
      </c>
      <c r="I61" s="48" t="str">
        <f>IF(AND($I$12&gt;=$F61,$I$12&lt;$G61),$E61,"")</f>
        <v/>
      </c>
      <c r="J61" s="48" t="str">
        <f>IF(AND($J$12&gt;=$F61,$J$12&lt;$G61),$E61,"")</f>
        <v/>
      </c>
      <c r="K61" s="84" t="str">
        <f>IF(AND($K$12&gt;=$F61,$K$12&lt;$G61),$E61,"")</f>
        <v/>
      </c>
      <c r="L61" s="82" t="str">
        <f>IF(AND($L$12&gt;=$F61,$L$12&lt;$G61),$E61,"")</f>
        <v/>
      </c>
      <c r="M61" s="48" t="str">
        <f>IF(AND($M$12&gt;=$F61,$M$12&lt;$G61),$E61,"")</f>
        <v/>
      </c>
      <c r="N61" s="48" t="str">
        <f>IF(AND($N$12&gt;=$F61,$N$12&lt;$G61),$E61,"")</f>
        <v/>
      </c>
      <c r="O61" s="84" t="str">
        <f>IF(AND($O$12&gt;=$F61,$O$12&lt;$G61),$E61,"")</f>
        <v/>
      </c>
      <c r="P61" s="82" t="str">
        <f>IF(AND($P$12&gt;=$F61,$P$12&lt;$G61),$E61,"")</f>
        <v/>
      </c>
      <c r="Q61" s="48" t="str">
        <f>IF(AND($Q$12&gt;=$F61,$Q$12&lt;$G61),$E61,"")</f>
        <v/>
      </c>
      <c r="R61" s="48" t="str">
        <f>IF(AND($R$12&gt;=$F61,$R$12&lt;$G61),$E61,"")</f>
        <v/>
      </c>
      <c r="S61" s="84" t="str">
        <f>IF(AND($S$12&gt;=$F61,$S$12&lt;$G61),$E61,"")</f>
        <v/>
      </c>
      <c r="T61" s="82" t="str">
        <f>IF(AND($T$12&gt;=$F61,$T$12&lt;$G61),$E61,"")</f>
        <v/>
      </c>
      <c r="U61" s="48" t="str">
        <f>IF(AND($U$12&gt;=$F61,$U$12&lt;$G61),$E61,"")</f>
        <v/>
      </c>
      <c r="V61" s="48" t="str">
        <f>IF(AND($V$12&gt;=$F61,$V$12&lt;$G61),$E61,"")</f>
        <v/>
      </c>
      <c r="W61" s="84" t="str">
        <f>IF(AND($W$12&gt;=$F61,$W$12&lt;$G61),$E61,"")</f>
        <v/>
      </c>
      <c r="X61" s="82" t="str">
        <f>IF(AND($X$12&gt;=$F61,$X$12&lt;$G61),$E61,"")</f>
        <v/>
      </c>
      <c r="Y61" s="48" t="str">
        <f>IF(AND($Y$12&gt;=$F61,$Y$12&lt;$G61),$E61,"")</f>
        <v/>
      </c>
      <c r="Z61" s="48" t="str">
        <f>IF(AND($Z$12&gt;=$F61,$Z$12&lt;$G61),$E61,"")</f>
        <v/>
      </c>
      <c r="AA61" s="84" t="str">
        <f>IF(AND($AA$12&gt;=$F61,$AA$12&lt;$G61),$E61,"")</f>
        <v/>
      </c>
      <c r="AB61" s="82" t="str">
        <f>IF(AND($AB$12&gt;=$F61,$AB$12&lt;$G61),$E61,"")</f>
        <v/>
      </c>
      <c r="AC61" s="48" t="str">
        <f>IF(AND($AC$12&gt;=$F61,$AC$12&lt;$G61),$E61,"")</f>
        <v/>
      </c>
      <c r="AD61" s="48" t="str">
        <f>IF(AND($AD$12&gt;=$F61,$AD$12&lt;$G61),$E61,"")</f>
        <v/>
      </c>
      <c r="AE61" s="84" t="str">
        <f>IF(AND($AE$12&gt;=$F61,$AE$12&lt;$G61),$E61,"")</f>
        <v/>
      </c>
      <c r="AF61" s="82" t="str">
        <f>IF(AND($AF$12&gt;=$F61,$AF$12&lt;$G61),$E61,"")</f>
        <v/>
      </c>
      <c r="AG61" s="48" t="str">
        <f>IF(AND($AG$12&gt;=$F61,$AG$12&lt;$G61),$E61,"")</f>
        <v/>
      </c>
      <c r="AH61" s="48" t="str">
        <f>IF(AND($AH$12&gt;=$F61,$AH$12&lt;$G61),$E61,"")</f>
        <v/>
      </c>
      <c r="AI61" s="84" t="str">
        <f>IF(AND($AI$12&gt;=$F61,$AI$12&lt;$G61),$E61,"")</f>
        <v/>
      </c>
      <c r="AJ61" s="82" t="str">
        <f>IF(AND($AJ$12&gt;=$F61,$AJ$12&lt;$G61),$E61,"")</f>
        <v/>
      </c>
      <c r="AK61" s="48" t="str">
        <f>IF(AND($AK$12&gt;=$F61,$AK$12&lt;$G61),$E61,"")</f>
        <v/>
      </c>
      <c r="AL61" s="48" t="str">
        <f>IF(AND($AL$12&gt;=$F61,$AL$12&lt;$G61),$E61,"")</f>
        <v/>
      </c>
      <c r="AM61" s="84" t="str">
        <f>IF(AND($AM$12&gt;=$F61,$AM$12&lt;$G61),$E61,"")</f>
        <v/>
      </c>
      <c r="AN61" s="82" t="str">
        <f>IF(AND($AN$12&gt;=$F61,$AN$12&lt;$G61),$E61,"")</f>
        <v/>
      </c>
      <c r="AO61" s="48" t="str">
        <f>IF(AND($AO$12&gt;=$F61,$AO$12&lt;$G61),$E61,"")</f>
        <v/>
      </c>
      <c r="AP61" s="48" t="str">
        <f>IF(AND($AP$12&gt;=$F61,$AP$12&lt;$G61),$E61,"")</f>
        <v/>
      </c>
      <c r="AQ61" s="84" t="str">
        <f>IF(AND($AQ$12&gt;=$F61,$AQ$12&lt;$G61),$E61,"")</f>
        <v/>
      </c>
      <c r="AR61" s="82" t="str">
        <f>IF(AND($AR$12&gt;=$F61,$AR$12&lt;$G61),$E61,"")</f>
        <v/>
      </c>
      <c r="AS61" s="48" t="str">
        <f>IF(AND($AS$12&gt;=$F61,$AS$12&lt;$G61),$E61,"")</f>
        <v/>
      </c>
      <c r="AT61" s="48" t="str">
        <f>IF(AND($AT$12&gt;=$F61,$AT$12&lt;$G61),$E61,"")</f>
        <v/>
      </c>
      <c r="AU61" s="84" t="str">
        <f>IF(AND($AU$12&gt;=$F61,$AU$12&lt;$G61),$E61,"")</f>
        <v/>
      </c>
      <c r="AV61" s="82" t="str">
        <f>IF(AND($AV$12&gt;=$F61,$AV$12&lt;$G61),$E61,"")</f>
        <v/>
      </c>
      <c r="AW61" s="48" t="str">
        <f>IF(AND($AW$12&gt;=$F61,$AW$12&lt;$G61),$E61,"")</f>
        <v/>
      </c>
      <c r="AX61" s="48" t="str">
        <f>IF(AND($AX$12&gt;=$F61,$AX$12&lt;$G61),$E61,"")</f>
        <v/>
      </c>
      <c r="AY61" s="84" t="str">
        <f>IF(AND($AY$12&gt;=$F61,$AY$12&lt;$G61),$E61,"")</f>
        <v/>
      </c>
      <c r="AZ61" s="82" t="str">
        <f>IF(AND($AZ$12&gt;=$F61,$AZ$12&lt;$G61),$E61,"")</f>
        <v/>
      </c>
      <c r="BA61" s="48" t="str">
        <f>IF(AND($BA$12&gt;=$F61,$BA$12&lt;$G61),$E61,"")</f>
        <v/>
      </c>
      <c r="BB61" s="48" t="str">
        <f>IF(AND($BB$12&gt;=$F61,$BB$12&lt;$G61),$E61,"")</f>
        <v/>
      </c>
      <c r="BC61" s="84" t="str">
        <f>IF(AND($BC$12&gt;=$F61,$BC$12&lt;$G61),$E61,"")</f>
        <v/>
      </c>
      <c r="BD61" s="82" t="str">
        <f>IF(AND($BD$12&gt;=$F61,$BD$12&lt;$G61),$E61,"")</f>
        <v/>
      </c>
      <c r="BE61" s="48" t="str">
        <f>IF(AND($BE$12&gt;=$F61,$BE$12&lt;$G61),$E61,"")</f>
        <v/>
      </c>
      <c r="BF61" s="48" t="str">
        <f>IF(AND($BF$12&gt;=$F61,$BF$12&lt;$G61),$E61,"")</f>
        <v/>
      </c>
      <c r="BG61" s="84" t="str">
        <f>IF(AND($BG$12&gt;=$F61,$BG$12&lt;$G61),$E61,"")</f>
        <v/>
      </c>
      <c r="BH61" s="87" t="str">
        <f>IF(AND($BH$12&gt;=$F61,$BH$12&lt;$G61),$E61,"")</f>
        <v/>
      </c>
      <c r="BI61" s="49" t="str">
        <f>IF(AND($BI$12&gt;=$F61,$BI$12&lt;$G61),$E61,"")</f>
        <v/>
      </c>
      <c r="BJ61" s="49" t="str">
        <f>IF(AND($BJ$12&gt;=$F61,$BJ$12&lt;$G61),$E61,"")</f>
        <v/>
      </c>
      <c r="BK61" s="89" t="str">
        <f>IF(AND($BK$12&gt;=$F61,$BK$12&lt;$G61),$E61,"")</f>
        <v/>
      </c>
      <c r="BL61" s="87" t="str">
        <f>IF(AND($BL$12&gt;=$F61,$BL$12&lt;$G61),$E61,"")</f>
        <v/>
      </c>
      <c r="BM61" s="49" t="str">
        <f>IF(AND($BM$12&gt;=$F61,$BM$12&lt;$G61),$E61,"")</f>
        <v/>
      </c>
      <c r="BN61" s="49" t="str">
        <f>IF(AND($BN$12&gt;=$F61,$BN$12&lt;$G61),$E61,"")</f>
        <v/>
      </c>
      <c r="BO61" s="89" t="str">
        <f>IF(AND($BO$12&gt;=$F61,$BO$12&lt;$G61),$E61,"")</f>
        <v/>
      </c>
      <c r="BP61" s="87" t="str">
        <f>IF(AND($BP$12&gt;=$F61,$BP$12&lt;$G61),$E61,"")</f>
        <v/>
      </c>
      <c r="BQ61" s="49" t="str">
        <f>IF(AND($BQ$12&gt;=$F61,$BQ$12&lt;$G61),$E61,"")</f>
        <v/>
      </c>
      <c r="BR61" s="49" t="str">
        <f>IF(AND($BR$12&gt;=$F61,$BR$12&lt;$G61),$E61,"")</f>
        <v/>
      </c>
      <c r="BS61" s="89" t="str">
        <f>IF(AND($BS$12&gt;=$F61,$BS$12&lt;$G61),$E61,"")</f>
        <v/>
      </c>
      <c r="BT61" s="87" t="str">
        <f>IF(AND($BT$12&gt;=$F61,$BT$12&lt;$G61),$E61,"")</f>
        <v/>
      </c>
    </row>
    <row r="62" spans="2:72" s="93" customFormat="1" hidden="1">
      <c r="B62" s="81" t="str">
        <f>Weekly!B54</f>
        <v>1237</v>
      </c>
      <c r="C62" s="90" t="str">
        <f>Weekly!C54</f>
        <v>Rich</v>
      </c>
      <c r="D62" s="90">
        <f>Weekly!D92</f>
        <v>0</v>
      </c>
      <c r="E62" s="91" t="str">
        <f>VLOOKUP(B62,Team!$B$4:$E$183,4,FALSE)</f>
        <v>F</v>
      </c>
      <c r="F62" s="92" t="str">
        <f>Weekly!G54</f>
        <v/>
      </c>
      <c r="G62" s="92" t="str">
        <f>Weekly!H54</f>
        <v/>
      </c>
      <c r="H62" s="48" t="str">
        <f>IF(AND($H$12&gt;=$F62,$H$12&lt;$G62),$E62,"")</f>
        <v/>
      </c>
      <c r="I62" s="48" t="str">
        <f>IF(AND($I$12&gt;=$F62,$I$12&lt;$G62),$E62,"")</f>
        <v/>
      </c>
      <c r="J62" s="48" t="str">
        <f>IF(AND($J$12&gt;=$F62,$J$12&lt;$G62),$E62,"")</f>
        <v/>
      </c>
      <c r="K62" s="84" t="str">
        <f>IF(AND($K$12&gt;=$F62,$K$12&lt;$G62),$E62,"")</f>
        <v/>
      </c>
      <c r="L62" s="82" t="str">
        <f>IF(AND($L$12&gt;=$F62,$L$12&lt;$G62),$E62,"")</f>
        <v/>
      </c>
      <c r="M62" s="48" t="str">
        <f>IF(AND($M$12&gt;=$F62,$M$12&lt;$G62),$E62,"")</f>
        <v/>
      </c>
      <c r="N62" s="48" t="str">
        <f>IF(AND($N$12&gt;=$F62,$N$12&lt;$G62),$E62,"")</f>
        <v/>
      </c>
      <c r="O62" s="84" t="str">
        <f>IF(AND($O$12&gt;=$F62,$O$12&lt;$G62),$E62,"")</f>
        <v/>
      </c>
      <c r="P62" s="82" t="str">
        <f>IF(AND($P$12&gt;=$F62,$P$12&lt;$G62),$E62,"")</f>
        <v/>
      </c>
      <c r="Q62" s="48" t="str">
        <f>IF(AND($Q$12&gt;=$F62,$Q$12&lt;$G62),$E62,"")</f>
        <v/>
      </c>
      <c r="R62" s="48" t="str">
        <f>IF(AND($R$12&gt;=$F62,$R$12&lt;$G62),$E62,"")</f>
        <v/>
      </c>
      <c r="S62" s="84" t="str">
        <f>IF(AND($S$12&gt;=$F62,$S$12&lt;$G62),$E62,"")</f>
        <v/>
      </c>
      <c r="T62" s="82" t="str">
        <f>IF(AND($T$12&gt;=$F62,$T$12&lt;$G62),$E62,"")</f>
        <v/>
      </c>
      <c r="U62" s="48" t="str">
        <f>IF(AND($U$12&gt;=$F62,$U$12&lt;$G62),$E62,"")</f>
        <v/>
      </c>
      <c r="V62" s="48" t="str">
        <f>IF(AND($V$12&gt;=$F62,$V$12&lt;$G62),$E62,"")</f>
        <v/>
      </c>
      <c r="W62" s="84" t="str">
        <f>IF(AND($W$12&gt;=$F62,$W$12&lt;$G62),$E62,"")</f>
        <v/>
      </c>
      <c r="X62" s="82" t="str">
        <f>IF(AND($X$12&gt;=$F62,$X$12&lt;$G62),$E62,"")</f>
        <v/>
      </c>
      <c r="Y62" s="48" t="str">
        <f>IF(AND($Y$12&gt;=$F62,$Y$12&lt;$G62),$E62,"")</f>
        <v/>
      </c>
      <c r="Z62" s="48" t="str">
        <f>IF(AND($Z$12&gt;=$F62,$Z$12&lt;$G62),$E62,"")</f>
        <v/>
      </c>
      <c r="AA62" s="84" t="str">
        <f>IF(AND($AA$12&gt;=$F62,$AA$12&lt;$G62),$E62,"")</f>
        <v/>
      </c>
      <c r="AB62" s="82" t="str">
        <f>IF(AND($AB$12&gt;=$F62,$AB$12&lt;$G62),$E62,"")</f>
        <v/>
      </c>
      <c r="AC62" s="48" t="str">
        <f>IF(AND($AC$12&gt;=$F62,$AC$12&lt;$G62),$E62,"")</f>
        <v/>
      </c>
      <c r="AD62" s="48" t="str">
        <f>IF(AND($AD$12&gt;=$F62,$AD$12&lt;$G62),$E62,"")</f>
        <v/>
      </c>
      <c r="AE62" s="84" t="str">
        <f>IF(AND($AE$12&gt;=$F62,$AE$12&lt;$G62),$E62,"")</f>
        <v/>
      </c>
      <c r="AF62" s="82" t="str">
        <f>IF(AND($AF$12&gt;=$F62,$AF$12&lt;$G62),$E62,"")</f>
        <v/>
      </c>
      <c r="AG62" s="48" t="str">
        <f>IF(AND($AG$12&gt;=$F62,$AG$12&lt;$G62),$E62,"")</f>
        <v/>
      </c>
      <c r="AH62" s="48" t="str">
        <f>IF(AND($AH$12&gt;=$F62,$AH$12&lt;$G62),$E62,"")</f>
        <v/>
      </c>
      <c r="AI62" s="84" t="str">
        <f>IF(AND($AI$12&gt;=$F62,$AI$12&lt;$G62),$E62,"")</f>
        <v/>
      </c>
      <c r="AJ62" s="82" t="str">
        <f>IF(AND($AJ$12&gt;=$F62,$AJ$12&lt;$G62),$E62,"")</f>
        <v/>
      </c>
      <c r="AK62" s="48" t="str">
        <f>IF(AND($AK$12&gt;=$F62,$AK$12&lt;$G62),$E62,"")</f>
        <v/>
      </c>
      <c r="AL62" s="48" t="str">
        <f>IF(AND($AL$12&gt;=$F62,$AL$12&lt;$G62),$E62,"")</f>
        <v/>
      </c>
      <c r="AM62" s="84" t="str">
        <f>IF(AND($AM$12&gt;=$F62,$AM$12&lt;$G62),$E62,"")</f>
        <v/>
      </c>
      <c r="AN62" s="82" t="str">
        <f>IF(AND($AN$12&gt;=$F62,$AN$12&lt;$G62),$E62,"")</f>
        <v/>
      </c>
      <c r="AO62" s="48" t="str">
        <f>IF(AND($AO$12&gt;=$F62,$AO$12&lt;$G62),$E62,"")</f>
        <v/>
      </c>
      <c r="AP62" s="48" t="str">
        <f>IF(AND($AP$12&gt;=$F62,$AP$12&lt;$G62),$E62,"")</f>
        <v/>
      </c>
      <c r="AQ62" s="84" t="str">
        <f>IF(AND($AQ$12&gt;=$F62,$AQ$12&lt;$G62),$E62,"")</f>
        <v/>
      </c>
      <c r="AR62" s="82" t="str">
        <f>IF(AND($AR$12&gt;=$F62,$AR$12&lt;$G62),$E62,"")</f>
        <v/>
      </c>
      <c r="AS62" s="48" t="str">
        <f>IF(AND($AS$12&gt;=$F62,$AS$12&lt;$G62),$E62,"")</f>
        <v/>
      </c>
      <c r="AT62" s="48" t="str">
        <f>IF(AND($AT$12&gt;=$F62,$AT$12&lt;$G62),$E62,"")</f>
        <v/>
      </c>
      <c r="AU62" s="84" t="str">
        <f>IF(AND($AU$12&gt;=$F62,$AU$12&lt;$G62),$E62,"")</f>
        <v/>
      </c>
      <c r="AV62" s="82" t="str">
        <f>IF(AND($AV$12&gt;=$F62,$AV$12&lt;$G62),$E62,"")</f>
        <v/>
      </c>
      <c r="AW62" s="48" t="str">
        <f>IF(AND($AW$12&gt;=$F62,$AW$12&lt;$G62),$E62,"")</f>
        <v/>
      </c>
      <c r="AX62" s="48" t="str">
        <f>IF(AND($AX$12&gt;=$F62,$AX$12&lt;$G62),$E62,"")</f>
        <v/>
      </c>
      <c r="AY62" s="84" t="str">
        <f>IF(AND($AY$12&gt;=$F62,$AY$12&lt;$G62),$E62,"")</f>
        <v/>
      </c>
      <c r="AZ62" s="82" t="str">
        <f>IF(AND($AZ$12&gt;=$F62,$AZ$12&lt;$G62),$E62,"")</f>
        <v/>
      </c>
      <c r="BA62" s="48" t="str">
        <f>IF(AND($BA$12&gt;=$F62,$BA$12&lt;$G62),$E62,"")</f>
        <v/>
      </c>
      <c r="BB62" s="48" t="str">
        <f>IF(AND($BB$12&gt;=$F62,$BB$12&lt;$G62),$E62,"")</f>
        <v/>
      </c>
      <c r="BC62" s="84" t="str">
        <f>IF(AND($BC$12&gt;=$F62,$BC$12&lt;$G62),$E62,"")</f>
        <v/>
      </c>
      <c r="BD62" s="82" t="str">
        <f>IF(AND($BD$12&gt;=$F62,$BD$12&lt;$G62),$E62,"")</f>
        <v/>
      </c>
      <c r="BE62" s="48" t="str">
        <f>IF(AND($BE$12&gt;=$F62,$BE$12&lt;$G62),$E62,"")</f>
        <v/>
      </c>
      <c r="BF62" s="48" t="str">
        <f>IF(AND($BF$12&gt;=$F62,$BF$12&lt;$G62),$E62,"")</f>
        <v/>
      </c>
      <c r="BG62" s="84" t="str">
        <f>IF(AND($BG$12&gt;=$F62,$BG$12&lt;$G62),$E62,"")</f>
        <v/>
      </c>
      <c r="BH62" s="87" t="str">
        <f>IF(AND($BH$12&gt;=$F62,$BH$12&lt;$G62),$E62,"")</f>
        <v/>
      </c>
      <c r="BI62" s="49" t="str">
        <f>IF(AND($BI$12&gt;=$F62,$BI$12&lt;$G62),$E62,"")</f>
        <v/>
      </c>
      <c r="BJ62" s="49" t="str">
        <f>IF(AND($BJ$12&gt;=$F62,$BJ$12&lt;$G62),$E62,"")</f>
        <v/>
      </c>
      <c r="BK62" s="89" t="str">
        <f>IF(AND($BK$12&gt;=$F62,$BK$12&lt;$G62),$E62,"")</f>
        <v/>
      </c>
      <c r="BL62" s="87" t="str">
        <f>IF(AND($BL$12&gt;=$F62,$BL$12&lt;$G62),$E62,"")</f>
        <v/>
      </c>
      <c r="BM62" s="49" t="str">
        <f>IF(AND($BM$12&gt;=$F62,$BM$12&lt;$G62),$E62,"")</f>
        <v/>
      </c>
      <c r="BN62" s="49" t="str">
        <f>IF(AND($BN$12&gt;=$F62,$BN$12&lt;$G62),$E62,"")</f>
        <v/>
      </c>
      <c r="BO62" s="89" t="str">
        <f>IF(AND($BO$12&gt;=$F62,$BO$12&lt;$G62),$E62,"")</f>
        <v/>
      </c>
      <c r="BP62" s="87" t="str">
        <f>IF(AND($BP$12&gt;=$F62,$BP$12&lt;$G62),$E62,"")</f>
        <v/>
      </c>
      <c r="BQ62" s="49" t="str">
        <f>IF(AND($BQ$12&gt;=$F62,$BQ$12&lt;$G62),$E62,"")</f>
        <v/>
      </c>
      <c r="BR62" s="49" t="str">
        <f>IF(AND($BR$12&gt;=$F62,$BR$12&lt;$G62),$E62,"")</f>
        <v/>
      </c>
      <c r="BS62" s="89" t="str">
        <f>IF(AND($BS$12&gt;=$F62,$BS$12&lt;$G62),$E62,"")</f>
        <v/>
      </c>
      <c r="BT62" s="87" t="str">
        <f>IF(AND($BT$12&gt;=$F62,$BT$12&lt;$G62),$E62,"")</f>
        <v/>
      </c>
    </row>
    <row r="63" spans="2:72" s="93" customFormat="1" hidden="1">
      <c r="B63" s="81" t="str">
        <f>Weekly!B55</f>
        <v>1133</v>
      </c>
      <c r="C63" s="90" t="str">
        <f>Weekly!C55</f>
        <v>Sarah</v>
      </c>
      <c r="D63" s="90">
        <f>Weekly!D93</f>
        <v>0</v>
      </c>
      <c r="E63" s="91" t="str">
        <f>VLOOKUP(B63,Team!$B$4:$E$183,4,FALSE)</f>
        <v>L's</v>
      </c>
      <c r="F63" s="92" t="str">
        <f>Weekly!G55</f>
        <v/>
      </c>
      <c r="G63" s="92" t="str">
        <f>Weekly!H55</f>
        <v/>
      </c>
      <c r="H63" s="48" t="str">
        <f>IF(AND($H$12&gt;=$F63,$H$12&lt;$G63),$E63,"")</f>
        <v/>
      </c>
      <c r="I63" s="48" t="str">
        <f>IF(AND($I$12&gt;=$F63,$I$12&lt;$G63),$E63,"")</f>
        <v/>
      </c>
      <c r="J63" s="48" t="str">
        <f>IF(AND($J$12&gt;=$F63,$J$12&lt;$G63),$E63,"")</f>
        <v/>
      </c>
      <c r="K63" s="84" t="str">
        <f>IF(AND($K$12&gt;=$F63,$K$12&lt;$G63),$E63,"")</f>
        <v/>
      </c>
      <c r="L63" s="82" t="str">
        <f>IF(AND($L$12&gt;=$F63,$L$12&lt;$G63),$E63,"")</f>
        <v/>
      </c>
      <c r="M63" s="48" t="str">
        <f>IF(AND($M$12&gt;=$F63,$M$12&lt;$G63),$E63,"")</f>
        <v/>
      </c>
      <c r="N63" s="48" t="str">
        <f>IF(AND($N$12&gt;=$F63,$N$12&lt;$G63),$E63,"")</f>
        <v/>
      </c>
      <c r="O63" s="84" t="str">
        <f>IF(AND($O$12&gt;=$F63,$O$12&lt;$G63),$E63,"")</f>
        <v/>
      </c>
      <c r="P63" s="82" t="str">
        <f>IF(AND($P$12&gt;=$F63,$P$12&lt;$G63),$E63,"")</f>
        <v/>
      </c>
      <c r="Q63" s="48" t="str">
        <f>IF(AND($Q$12&gt;=$F63,$Q$12&lt;$G63),$E63,"")</f>
        <v/>
      </c>
      <c r="R63" s="48" t="str">
        <f>IF(AND($R$12&gt;=$F63,$R$12&lt;$G63),$E63,"")</f>
        <v/>
      </c>
      <c r="S63" s="84" t="str">
        <f>IF(AND($S$12&gt;=$F63,$S$12&lt;$G63),$E63,"")</f>
        <v/>
      </c>
      <c r="T63" s="82" t="str">
        <f>IF(AND($T$12&gt;=$F63,$T$12&lt;$G63),$E63,"")</f>
        <v/>
      </c>
      <c r="U63" s="48" t="str">
        <f>IF(AND($U$12&gt;=$F63,$U$12&lt;$G63),$E63,"")</f>
        <v/>
      </c>
      <c r="V63" s="48" t="str">
        <f>IF(AND($V$12&gt;=$F63,$V$12&lt;$G63),$E63,"")</f>
        <v/>
      </c>
      <c r="W63" s="84" t="str">
        <f>IF(AND($W$12&gt;=$F63,$W$12&lt;$G63),$E63,"")</f>
        <v/>
      </c>
      <c r="X63" s="82" t="str">
        <f>IF(AND($X$12&gt;=$F63,$X$12&lt;$G63),$E63,"")</f>
        <v/>
      </c>
      <c r="Y63" s="48" t="str">
        <f>IF(AND($Y$12&gt;=$F63,$Y$12&lt;$G63),$E63,"")</f>
        <v/>
      </c>
      <c r="Z63" s="48" t="str">
        <f>IF(AND($Z$12&gt;=$F63,$Z$12&lt;$G63),$E63,"")</f>
        <v/>
      </c>
      <c r="AA63" s="84" t="str">
        <f>IF(AND($AA$12&gt;=$F63,$AA$12&lt;$G63),$E63,"")</f>
        <v/>
      </c>
      <c r="AB63" s="82" t="str">
        <f>IF(AND($AB$12&gt;=$F63,$AB$12&lt;$G63),$E63,"")</f>
        <v/>
      </c>
      <c r="AC63" s="48" t="str">
        <f>IF(AND($AC$12&gt;=$F63,$AC$12&lt;$G63),$E63,"")</f>
        <v/>
      </c>
      <c r="AD63" s="48" t="str">
        <f>IF(AND($AD$12&gt;=$F63,$AD$12&lt;$G63),$E63,"")</f>
        <v/>
      </c>
      <c r="AE63" s="84" t="str">
        <f>IF(AND($AE$12&gt;=$F63,$AE$12&lt;$G63),$E63,"")</f>
        <v/>
      </c>
      <c r="AF63" s="82" t="str">
        <f>IF(AND($AF$12&gt;=$F63,$AF$12&lt;$G63),$E63,"")</f>
        <v/>
      </c>
      <c r="AG63" s="48" t="str">
        <f>IF(AND($AG$12&gt;=$F63,$AG$12&lt;$G63),$E63,"")</f>
        <v/>
      </c>
      <c r="AH63" s="48" t="str">
        <f>IF(AND($AH$12&gt;=$F63,$AH$12&lt;$G63),$E63,"")</f>
        <v/>
      </c>
      <c r="AI63" s="84" t="str">
        <f>IF(AND($AI$12&gt;=$F63,$AI$12&lt;$G63),$E63,"")</f>
        <v/>
      </c>
      <c r="AJ63" s="82" t="str">
        <f>IF(AND($AJ$12&gt;=$F63,$AJ$12&lt;$G63),$E63,"")</f>
        <v/>
      </c>
      <c r="AK63" s="48" t="str">
        <f>IF(AND($AK$12&gt;=$F63,$AK$12&lt;$G63),$E63,"")</f>
        <v/>
      </c>
      <c r="AL63" s="48" t="str">
        <f>IF(AND($AL$12&gt;=$F63,$AL$12&lt;$G63),$E63,"")</f>
        <v/>
      </c>
      <c r="AM63" s="84" t="str">
        <f>IF(AND($AM$12&gt;=$F63,$AM$12&lt;$G63),$E63,"")</f>
        <v/>
      </c>
      <c r="AN63" s="82" t="str">
        <f>IF(AND($AN$12&gt;=$F63,$AN$12&lt;$G63),$E63,"")</f>
        <v/>
      </c>
      <c r="AO63" s="48" t="str">
        <f>IF(AND($AO$12&gt;=$F63,$AO$12&lt;$G63),$E63,"")</f>
        <v/>
      </c>
      <c r="AP63" s="48" t="str">
        <f>IF(AND($AP$12&gt;=$F63,$AP$12&lt;$G63),$E63,"")</f>
        <v/>
      </c>
      <c r="AQ63" s="84" t="str">
        <f>IF(AND($AQ$12&gt;=$F63,$AQ$12&lt;$G63),$E63,"")</f>
        <v/>
      </c>
      <c r="AR63" s="82" t="str">
        <f>IF(AND($AR$12&gt;=$F63,$AR$12&lt;$G63),$E63,"")</f>
        <v/>
      </c>
      <c r="AS63" s="48" t="str">
        <f>IF(AND($AS$12&gt;=$F63,$AS$12&lt;$G63),$E63,"")</f>
        <v/>
      </c>
      <c r="AT63" s="48" t="str">
        <f>IF(AND($AT$12&gt;=$F63,$AT$12&lt;$G63),$E63,"")</f>
        <v/>
      </c>
      <c r="AU63" s="84" t="str">
        <f>IF(AND($AU$12&gt;=$F63,$AU$12&lt;$G63),$E63,"")</f>
        <v/>
      </c>
      <c r="AV63" s="82" t="str">
        <f>IF(AND($AV$12&gt;=$F63,$AV$12&lt;$G63),$E63,"")</f>
        <v/>
      </c>
      <c r="AW63" s="48" t="str">
        <f>IF(AND($AW$12&gt;=$F63,$AW$12&lt;$G63),$E63,"")</f>
        <v/>
      </c>
      <c r="AX63" s="48" t="str">
        <f>IF(AND($AX$12&gt;=$F63,$AX$12&lt;$G63),$E63,"")</f>
        <v/>
      </c>
      <c r="AY63" s="84" t="str">
        <f>IF(AND($AY$12&gt;=$F63,$AY$12&lt;$G63),$E63,"")</f>
        <v/>
      </c>
      <c r="AZ63" s="82" t="str">
        <f>IF(AND($AZ$12&gt;=$F63,$AZ$12&lt;$G63),$E63,"")</f>
        <v/>
      </c>
      <c r="BA63" s="48" t="str">
        <f>IF(AND($BA$12&gt;=$F63,$BA$12&lt;$G63),$E63,"")</f>
        <v/>
      </c>
      <c r="BB63" s="48" t="str">
        <f>IF(AND($BB$12&gt;=$F63,$BB$12&lt;$G63),$E63,"")</f>
        <v/>
      </c>
      <c r="BC63" s="84" t="str">
        <f>IF(AND($BC$12&gt;=$F63,$BC$12&lt;$G63),$E63,"")</f>
        <v/>
      </c>
      <c r="BD63" s="82" t="str">
        <f>IF(AND($BD$12&gt;=$F63,$BD$12&lt;$G63),$E63,"")</f>
        <v/>
      </c>
      <c r="BE63" s="48" t="str">
        <f>IF(AND($BE$12&gt;=$F63,$BE$12&lt;$G63),$E63,"")</f>
        <v/>
      </c>
      <c r="BF63" s="48" t="str">
        <f>IF(AND($BF$12&gt;=$F63,$BF$12&lt;$G63),$E63,"")</f>
        <v/>
      </c>
      <c r="BG63" s="84" t="str">
        <f>IF(AND($BG$12&gt;=$F63,$BG$12&lt;$G63),$E63,"")</f>
        <v/>
      </c>
      <c r="BH63" s="87" t="str">
        <f>IF(AND($BH$12&gt;=$F63,$BH$12&lt;$G63),$E63,"")</f>
        <v/>
      </c>
      <c r="BI63" s="49" t="str">
        <f>IF(AND($BI$12&gt;=$F63,$BI$12&lt;$G63),$E63,"")</f>
        <v/>
      </c>
      <c r="BJ63" s="49" t="str">
        <f>IF(AND($BJ$12&gt;=$F63,$BJ$12&lt;$G63),$E63,"")</f>
        <v/>
      </c>
      <c r="BK63" s="89" t="str">
        <f>IF(AND($BK$12&gt;=$F63,$BK$12&lt;$G63),$E63,"")</f>
        <v/>
      </c>
      <c r="BL63" s="87" t="str">
        <f>IF(AND($BL$12&gt;=$F63,$BL$12&lt;$G63),$E63,"")</f>
        <v/>
      </c>
      <c r="BM63" s="49" t="str">
        <f>IF(AND($BM$12&gt;=$F63,$BM$12&lt;$G63),$E63,"")</f>
        <v/>
      </c>
      <c r="BN63" s="49" t="str">
        <f>IF(AND($BN$12&gt;=$F63,$BN$12&lt;$G63),$E63,"")</f>
        <v/>
      </c>
      <c r="BO63" s="89" t="str">
        <f>IF(AND($BO$12&gt;=$F63,$BO$12&lt;$G63),$E63,"")</f>
        <v/>
      </c>
      <c r="BP63" s="87" t="str">
        <f>IF(AND($BP$12&gt;=$F63,$BP$12&lt;$G63),$E63,"")</f>
        <v/>
      </c>
      <c r="BQ63" s="49" t="str">
        <f>IF(AND($BQ$12&gt;=$F63,$BQ$12&lt;$G63),$E63,"")</f>
        <v/>
      </c>
      <c r="BR63" s="49" t="str">
        <f>IF(AND($BR$12&gt;=$F63,$BR$12&lt;$G63),$E63,"")</f>
        <v/>
      </c>
      <c r="BS63" s="89" t="str">
        <f>IF(AND($BS$12&gt;=$F63,$BS$12&lt;$G63),$E63,"")</f>
        <v/>
      </c>
      <c r="BT63" s="87" t="str">
        <f>IF(AND($BT$12&gt;=$F63,$BT$12&lt;$G63),$E63,"")</f>
        <v/>
      </c>
    </row>
    <row r="64" spans="2:72" s="93" customFormat="1" ht="12.75">
      <c r="B64" s="81" t="str">
        <f>Weekly!B45</f>
        <v>1234</v>
      </c>
      <c r="C64" s="90" t="str">
        <f>Weekly!C45</f>
        <v>Misato</v>
      </c>
      <c r="D64" s="90">
        <f>Weekly!D83</f>
        <v>0</v>
      </c>
      <c r="E64" s="91" t="str">
        <f>VLOOKUP(B64,Team!$B$4:$E$183,4,FALSE)</f>
        <v>L's</v>
      </c>
      <c r="F64" s="92">
        <f>Weekly!G45</f>
        <v>0.45833333333333298</v>
      </c>
      <c r="G64" s="92">
        <f>Weekly!H45</f>
        <v>0.79166666666666596</v>
      </c>
      <c r="H64" s="48" t="str">
        <f>IF(AND($H$12&gt;=$F64,$H$12&lt;$G64),$E64,"")</f>
        <v/>
      </c>
      <c r="I64" s="48" t="str">
        <f>IF(AND($I$12&gt;=$F64,$I$12&lt;$G64),$E64,"")</f>
        <v/>
      </c>
      <c r="J64" s="48" t="str">
        <f>IF(AND($J$12&gt;=$F64,$J$12&lt;$G64),$E64,"")</f>
        <v/>
      </c>
      <c r="K64" s="84" t="str">
        <f>IF(AND($K$12&gt;=$F64,$K$12&lt;$G64),$E64,"")</f>
        <v/>
      </c>
      <c r="L64" s="82" t="str">
        <f>IF(AND($L$12&gt;=$F64,$L$12&lt;$G64),$E64,"")</f>
        <v/>
      </c>
      <c r="M64" s="48" t="str">
        <f>IF(AND($M$12&gt;=$F64,$M$12&lt;$G64),$E64,"")</f>
        <v/>
      </c>
      <c r="N64" s="48" t="str">
        <f>IF(AND($N$12&gt;=$F64,$N$12&lt;$G64),$E64,"")</f>
        <v/>
      </c>
      <c r="O64" s="84" t="str">
        <f>IF(AND($O$12&gt;=$F64,$O$12&lt;$G64),$E64,"")</f>
        <v/>
      </c>
      <c r="P64" s="82" t="str">
        <f>IF(AND($P$12&gt;=$F64,$P$12&lt;$G64),$E64,"")</f>
        <v/>
      </c>
      <c r="Q64" s="48" t="str">
        <f>IF(AND($Q$12&gt;=$F64,$Q$12&lt;$G64),$E64,"")</f>
        <v/>
      </c>
      <c r="R64" s="48" t="str">
        <f>IF(AND($R$12&gt;=$F64,$R$12&lt;$G64),$E64,"")</f>
        <v/>
      </c>
      <c r="S64" s="84" t="str">
        <f>IF(AND($S$12&gt;=$F64,$S$12&lt;$G64),$E64,"")</f>
        <v/>
      </c>
      <c r="T64" s="82" t="str">
        <f>IF(AND($T$12&gt;=$F64,$T$12&lt;$G64),$E64,"")</f>
        <v/>
      </c>
      <c r="U64" s="48" t="str">
        <f>IF(AND($U$12&gt;=$F64,$U$12&lt;$G64),$E64,"")</f>
        <v/>
      </c>
      <c r="V64" s="48" t="str">
        <f>IF(AND($V$12&gt;=$F64,$V$12&lt;$G64),$E64,"")</f>
        <v/>
      </c>
      <c r="W64" s="84" t="str">
        <f>IF(AND($W$12&gt;=$F64,$W$12&lt;$G64),$E64,"")</f>
        <v/>
      </c>
      <c r="X64" s="118" t="s">
        <v>243</v>
      </c>
      <c r="Y64" s="48" t="str">
        <f>IF(AND($Y$12&gt;=$F64,$Y$12&lt;$G64),$E64,"")</f>
        <v>L's</v>
      </c>
      <c r="Z64" s="48" t="str">
        <f>IF(AND($Z$12&gt;=$F64,$Z$12&lt;$G64),$E64,"")</f>
        <v>L's</v>
      </c>
      <c r="AA64" s="84" t="str">
        <f>IF(AND($AA$12&gt;=$F64,$AA$12&lt;$G64),$E64,"")</f>
        <v>L's</v>
      </c>
      <c r="AB64" s="82" t="str">
        <f>IF(AND($AB$12&gt;=$F64,$AB$12&lt;$G64),$E64,"")</f>
        <v>L's</v>
      </c>
      <c r="AC64" s="48" t="str">
        <f>IF(AND($AC$12&gt;=$F64,$AC$12&lt;$G64),$E64,"")</f>
        <v>L's</v>
      </c>
      <c r="AD64" s="48" t="str">
        <f>IF(AND($AD$12&gt;=$F64,$AD$12&lt;$G64),$E64,"")</f>
        <v>L's</v>
      </c>
      <c r="AE64" s="84" t="str">
        <f>IF(AND($AE$12&gt;=$F64,$AE$12&lt;$G64),$E64,"")</f>
        <v>L's</v>
      </c>
      <c r="AF64" s="121">
        <v>40</v>
      </c>
      <c r="AG64" s="121">
        <v>40</v>
      </c>
      <c r="AH64" s="121">
        <v>40</v>
      </c>
      <c r="AI64" s="84" t="str">
        <f>IF(AND($AI$12&gt;=$F64,$AI$12&lt;$G64),$E64,"")</f>
        <v>L's</v>
      </c>
      <c r="AJ64" s="82" t="str">
        <f>IF(AND($AJ$12&gt;=$F64,$AJ$12&lt;$G64),$E64,"")</f>
        <v>L's</v>
      </c>
      <c r="AK64" s="48" t="str">
        <f>IF(AND($AK$12&gt;=$F64,$AK$12&lt;$G64),$E64,"")</f>
        <v>L's</v>
      </c>
      <c r="AL64" s="48" t="str">
        <f>IF(AND($AL$12&gt;=$F64,$AL$12&lt;$G64),$E64,"")</f>
        <v>L's</v>
      </c>
      <c r="AM64" s="84" t="str">
        <f>IF(AND($AM$12&gt;=$F64,$AM$12&lt;$G64),$E64,"")</f>
        <v>L's</v>
      </c>
      <c r="AN64" s="119" t="s">
        <v>235</v>
      </c>
      <c r="AO64" s="119" t="s">
        <v>235</v>
      </c>
      <c r="AP64" s="119" t="s">
        <v>235</v>
      </c>
      <c r="AQ64" s="119" t="s">
        <v>235</v>
      </c>
      <c r="AR64" s="119" t="s">
        <v>235</v>
      </c>
      <c r="AS64" s="121">
        <v>10</v>
      </c>
      <c r="AT64" s="123" t="s">
        <v>237</v>
      </c>
      <c r="AU64" s="123" t="s">
        <v>237</v>
      </c>
      <c r="AV64" s="123" t="s">
        <v>237</v>
      </c>
      <c r="AW64" s="123" t="s">
        <v>237</v>
      </c>
      <c r="AX64" s="123" t="s">
        <v>237</v>
      </c>
      <c r="AY64" s="123" t="s">
        <v>237</v>
      </c>
      <c r="AZ64" s="82" t="str">
        <f>IF(AND($AZ$12&gt;=$F64,$AZ$12&lt;$G64),$E64,"")</f>
        <v>L's</v>
      </c>
      <c r="BA64" s="48" t="str">
        <f>IF(AND($BA$12&gt;=$F64,$BA$12&lt;$G64),$E64,"")</f>
        <v>L's</v>
      </c>
      <c r="BB64" s="48" t="str">
        <f>IF(AND($BB$12&gt;=$F64,$BB$12&lt;$G64),$E64,"")</f>
        <v>L's</v>
      </c>
      <c r="BC64" s="84" t="str">
        <f>IF(AND($BC$12&gt;=$F64,$BC$12&lt;$G64),$E64,"")</f>
        <v>L's</v>
      </c>
      <c r="BD64" s="82" t="str">
        <f>IF(AND($BD$12&gt;=$F64,$BD$12&lt;$G64),$E64,"")</f>
        <v/>
      </c>
      <c r="BE64" s="48" t="str">
        <f>IF(AND($BE$12&gt;=$F64,$BE$12&lt;$G64),$E64,"")</f>
        <v/>
      </c>
      <c r="BF64" s="48" t="str">
        <f>IF(AND($BF$12&gt;=$F64,$BF$12&lt;$G64),$E64,"")</f>
        <v/>
      </c>
      <c r="BG64" s="84" t="str">
        <f>IF(AND($BG$12&gt;=$F64,$BG$12&lt;$G64),$E64,"")</f>
        <v/>
      </c>
      <c r="BH64" s="87" t="str">
        <f>IF(AND($BH$12&gt;=$F64,$BH$12&lt;$G64),$E64,"")</f>
        <v/>
      </c>
      <c r="BI64" s="49" t="str">
        <f>IF(AND($BI$12&gt;=$F64,$BI$12&lt;$G64),$E64,"")</f>
        <v/>
      </c>
      <c r="BJ64" s="49" t="str">
        <f>IF(AND($BJ$12&gt;=$F64,$BJ$12&lt;$G64),$E64,"")</f>
        <v/>
      </c>
      <c r="BK64" s="89" t="str">
        <f>IF(AND($BK$12&gt;=$F64,$BK$12&lt;$G64),$E64,"")</f>
        <v/>
      </c>
      <c r="BL64" s="87" t="str">
        <f>IF(AND($BL$12&gt;=$F64,$BL$12&lt;$G64),$E64,"")</f>
        <v/>
      </c>
      <c r="BM64" s="49" t="str">
        <f>IF(AND($BM$12&gt;=$F64,$BM$12&lt;$G64),$E64,"")</f>
        <v/>
      </c>
      <c r="BN64" s="49" t="str">
        <f>IF(AND($BN$12&gt;=$F64,$BN$12&lt;$G64),$E64,"")</f>
        <v/>
      </c>
      <c r="BO64" s="89" t="str">
        <f>IF(AND($BO$12&gt;=$F64,$BO$12&lt;$G64),$E64,"")</f>
        <v/>
      </c>
      <c r="BP64" s="87" t="str">
        <f>IF(AND($BP$12&gt;=$F64,$BP$12&lt;$G64),$E64,"")</f>
        <v/>
      </c>
      <c r="BQ64" s="49" t="str">
        <f>IF(AND($BQ$12&gt;=$F64,$BQ$12&lt;$G64),$E64,"")</f>
        <v/>
      </c>
      <c r="BR64" s="49" t="str">
        <f>IF(AND($BR$12&gt;=$F64,$BR$12&lt;$G64),$E64,"")</f>
        <v/>
      </c>
      <c r="BS64" s="89" t="str">
        <f>IF(AND($BS$12&gt;=$F64,$BS$12&lt;$G64),$E64,"")</f>
        <v/>
      </c>
      <c r="BT64" s="87" t="str">
        <f>IF(AND($BT$12&gt;=$F64,$BT$12&lt;$G64),$E64,"")</f>
        <v/>
      </c>
    </row>
    <row r="65" spans="2:72" s="93" customFormat="1" hidden="1">
      <c r="B65" s="81" t="str">
        <f>Weekly!B57</f>
        <v>1108</v>
      </c>
      <c r="C65" s="90" t="str">
        <f>Weekly!C57</f>
        <v>Tara</v>
      </c>
      <c r="D65" s="90">
        <f>Weekly!D95</f>
        <v>0</v>
      </c>
      <c r="E65" s="91" t="str">
        <f>VLOOKUP(B65,Team!$B$4:$E$183,4,FALSE)</f>
        <v>ASM</v>
      </c>
      <c r="F65" s="92" t="str">
        <f>Weekly!G57</f>
        <v/>
      </c>
      <c r="G65" s="92" t="str">
        <f>Weekly!H57</f>
        <v/>
      </c>
      <c r="H65" s="48" t="str">
        <f>IF(AND($H$12&gt;=$F65,$H$12&lt;$G65),$E65,"")</f>
        <v/>
      </c>
      <c r="I65" s="48" t="str">
        <f>IF(AND($I$12&gt;=$F65,$I$12&lt;$G65),$E65,"")</f>
        <v/>
      </c>
      <c r="J65" s="48" t="str">
        <f>IF(AND($J$12&gt;=$F65,$J$12&lt;$G65),$E65,"")</f>
        <v/>
      </c>
      <c r="K65" s="84" t="str">
        <f>IF(AND($K$12&gt;=$F65,$K$12&lt;$G65),$E65,"")</f>
        <v/>
      </c>
      <c r="L65" s="82" t="str">
        <f>IF(AND($L$12&gt;=$F65,$L$12&lt;$G65),$E65,"")</f>
        <v/>
      </c>
      <c r="M65" s="48" t="str">
        <f>IF(AND($M$12&gt;=$F65,$M$12&lt;$G65),$E65,"")</f>
        <v/>
      </c>
      <c r="N65" s="48" t="str">
        <f>IF(AND($N$12&gt;=$F65,$N$12&lt;$G65),$E65,"")</f>
        <v/>
      </c>
      <c r="O65" s="84" t="str">
        <f>IF(AND($O$12&gt;=$F65,$O$12&lt;$G65),$E65,"")</f>
        <v/>
      </c>
      <c r="P65" s="82" t="str">
        <f>IF(AND($P$12&gt;=$F65,$P$12&lt;$G65),$E65,"")</f>
        <v/>
      </c>
      <c r="Q65" s="48" t="str">
        <f>IF(AND($Q$12&gt;=$F65,$Q$12&lt;$G65),$E65,"")</f>
        <v/>
      </c>
      <c r="R65" s="48" t="str">
        <f>IF(AND($R$12&gt;=$F65,$R$12&lt;$G65),$E65,"")</f>
        <v/>
      </c>
      <c r="S65" s="84" t="str">
        <f>IF(AND($S$12&gt;=$F65,$S$12&lt;$G65),$E65,"")</f>
        <v/>
      </c>
      <c r="T65" s="82" t="str">
        <f>IF(AND($T$12&gt;=$F65,$T$12&lt;$G65),$E65,"")</f>
        <v/>
      </c>
      <c r="U65" s="48" t="str">
        <f>IF(AND($U$12&gt;=$F65,$U$12&lt;$G65),$E65,"")</f>
        <v/>
      </c>
      <c r="V65" s="48" t="str">
        <f>IF(AND($V$12&gt;=$F65,$V$12&lt;$G65),$E65,"")</f>
        <v/>
      </c>
      <c r="W65" s="84" t="str">
        <f>IF(AND($W$12&gt;=$F65,$W$12&lt;$G65),$E65,"")</f>
        <v/>
      </c>
      <c r="X65" s="82" t="str">
        <f>IF(AND($X$12&gt;=$F65,$X$12&lt;$G65),$E65,"")</f>
        <v/>
      </c>
      <c r="Y65" s="48" t="str">
        <f>IF(AND($Y$12&gt;=$F65,$Y$12&lt;$G65),$E65,"")</f>
        <v/>
      </c>
      <c r="Z65" s="48" t="str">
        <f>IF(AND($Z$12&gt;=$F65,$Z$12&lt;$G65),$E65,"")</f>
        <v/>
      </c>
      <c r="AA65" s="84" t="str">
        <f>IF(AND($AA$12&gt;=$F65,$AA$12&lt;$G65),$E65,"")</f>
        <v/>
      </c>
      <c r="AB65" s="82" t="str">
        <f>IF(AND($AB$12&gt;=$F65,$AB$12&lt;$G65),$E65,"")</f>
        <v/>
      </c>
      <c r="AC65" s="48" t="str">
        <f>IF(AND($AC$12&gt;=$F65,$AC$12&lt;$G65),$E65,"")</f>
        <v/>
      </c>
      <c r="AD65" s="48" t="str">
        <f>IF(AND($AD$12&gt;=$F65,$AD$12&lt;$G65),$E65,"")</f>
        <v/>
      </c>
      <c r="AE65" s="84" t="str">
        <f>IF(AND($AE$12&gt;=$F65,$AE$12&lt;$G65),$E65,"")</f>
        <v/>
      </c>
      <c r="AF65" s="82" t="str">
        <f>IF(AND($AF$12&gt;=$F65,$AF$12&lt;$G65),$E65,"")</f>
        <v/>
      </c>
      <c r="AG65" s="48" t="str">
        <f>IF(AND($AG$12&gt;=$F65,$AG$12&lt;$G65),$E65,"")</f>
        <v/>
      </c>
      <c r="AH65" s="48" t="str">
        <f>IF(AND($AH$12&gt;=$F65,$AH$12&lt;$G65),$E65,"")</f>
        <v/>
      </c>
      <c r="AI65" s="84" t="str">
        <f>IF(AND($AI$12&gt;=$F65,$AI$12&lt;$G65),$E65,"")</f>
        <v/>
      </c>
      <c r="AJ65" s="82" t="str">
        <f>IF(AND($AJ$12&gt;=$F65,$AJ$12&lt;$G65),$E65,"")</f>
        <v/>
      </c>
      <c r="AK65" s="48" t="str">
        <f>IF(AND($AK$12&gt;=$F65,$AK$12&lt;$G65),$E65,"")</f>
        <v/>
      </c>
      <c r="AL65" s="48" t="str">
        <f>IF(AND($AL$12&gt;=$F65,$AL$12&lt;$G65),$E65,"")</f>
        <v/>
      </c>
      <c r="AM65" s="84" t="str">
        <f>IF(AND($AM$12&gt;=$F65,$AM$12&lt;$G65),$E65,"")</f>
        <v/>
      </c>
      <c r="AN65" s="82" t="str">
        <f>IF(AND($AN$12&gt;=$F65,$AN$12&lt;$G65),$E65,"")</f>
        <v/>
      </c>
      <c r="AO65" s="48" t="str">
        <f>IF(AND($AO$12&gt;=$F65,$AO$12&lt;$G65),$E65,"")</f>
        <v/>
      </c>
      <c r="AP65" s="48" t="str">
        <f>IF(AND($AP$12&gt;=$F65,$AP$12&lt;$G65),$E65,"")</f>
        <v/>
      </c>
      <c r="AQ65" s="84" t="str">
        <f>IF(AND($AQ$12&gt;=$F65,$AQ$12&lt;$G65),$E65,"")</f>
        <v/>
      </c>
      <c r="AR65" s="82" t="str">
        <f>IF(AND($AR$12&gt;=$F65,$AR$12&lt;$G65),$E65,"")</f>
        <v/>
      </c>
      <c r="AS65" s="48" t="str">
        <f>IF(AND($AS$12&gt;=$F65,$AS$12&lt;$G65),$E65,"")</f>
        <v/>
      </c>
      <c r="AT65" s="48" t="str">
        <f>IF(AND($AT$12&gt;=$F65,$AT$12&lt;$G65),$E65,"")</f>
        <v/>
      </c>
      <c r="AU65" s="84" t="str">
        <f>IF(AND($AU$12&gt;=$F65,$AU$12&lt;$G65),$E65,"")</f>
        <v/>
      </c>
      <c r="AV65" s="82" t="str">
        <f>IF(AND($AV$12&gt;=$F65,$AV$12&lt;$G65),$E65,"")</f>
        <v/>
      </c>
      <c r="AW65" s="48" t="str">
        <f>IF(AND($AW$12&gt;=$F65,$AW$12&lt;$G65),$E65,"")</f>
        <v/>
      </c>
      <c r="AX65" s="48" t="str">
        <f>IF(AND($AX$12&gt;=$F65,$AX$12&lt;$G65),$E65,"")</f>
        <v/>
      </c>
      <c r="AY65" s="84" t="str">
        <f>IF(AND($AY$12&gt;=$F65,$AY$12&lt;$G65),$E65,"")</f>
        <v/>
      </c>
      <c r="AZ65" s="82" t="str">
        <f>IF(AND($AZ$12&gt;=$F65,$AZ$12&lt;$G65),$E65,"")</f>
        <v/>
      </c>
      <c r="BA65" s="48" t="str">
        <f>IF(AND($BA$12&gt;=$F65,$BA$12&lt;$G65),$E65,"")</f>
        <v/>
      </c>
      <c r="BB65" s="48" t="str">
        <f>IF(AND($BB$12&gt;=$F65,$BB$12&lt;$G65),$E65,"")</f>
        <v/>
      </c>
      <c r="BC65" s="84" t="str">
        <f>IF(AND($BC$12&gt;=$F65,$BC$12&lt;$G65),$E65,"")</f>
        <v/>
      </c>
      <c r="BD65" s="82" t="str">
        <f>IF(AND($BD$12&gt;=$F65,$BD$12&lt;$G65),$E65,"")</f>
        <v/>
      </c>
      <c r="BE65" s="48" t="str">
        <f>IF(AND($BE$12&gt;=$F65,$BE$12&lt;$G65),$E65,"")</f>
        <v/>
      </c>
      <c r="BF65" s="48" t="str">
        <f>IF(AND($BF$12&gt;=$F65,$BF$12&lt;$G65),$E65,"")</f>
        <v/>
      </c>
      <c r="BG65" s="84" t="str">
        <f>IF(AND($BG$12&gt;=$F65,$BG$12&lt;$G65),$E65,"")</f>
        <v/>
      </c>
      <c r="BH65" s="87" t="str">
        <f>IF(AND($BH$12&gt;=$F65,$BH$12&lt;$G65),$E65,"")</f>
        <v/>
      </c>
      <c r="BI65" s="49" t="str">
        <f>IF(AND($BI$12&gt;=$F65,$BI$12&lt;$G65),$E65,"")</f>
        <v/>
      </c>
      <c r="BJ65" s="49" t="str">
        <f>IF(AND($BJ$12&gt;=$F65,$BJ$12&lt;$G65),$E65,"")</f>
        <v/>
      </c>
      <c r="BK65" s="89" t="str">
        <f>IF(AND($BK$12&gt;=$F65,$BK$12&lt;$G65),$E65,"")</f>
        <v/>
      </c>
      <c r="BL65" s="87" t="str">
        <f>IF(AND($BL$12&gt;=$F65,$BL$12&lt;$G65),$E65,"")</f>
        <v/>
      </c>
      <c r="BM65" s="49" t="str">
        <f>IF(AND($BM$12&gt;=$F65,$BM$12&lt;$G65),$E65,"")</f>
        <v/>
      </c>
      <c r="BN65" s="49" t="str">
        <f>IF(AND($BN$12&gt;=$F65,$BN$12&lt;$G65),$E65,"")</f>
        <v/>
      </c>
      <c r="BO65" s="89" t="str">
        <f>IF(AND($BO$12&gt;=$F65,$BO$12&lt;$G65),$E65,"")</f>
        <v/>
      </c>
      <c r="BP65" s="87" t="str">
        <f>IF(AND($BP$12&gt;=$F65,$BP$12&lt;$G65),$E65,"")</f>
        <v/>
      </c>
      <c r="BQ65" s="49" t="str">
        <f>IF(AND($BQ$12&gt;=$F65,$BQ$12&lt;$G65),$E65,"")</f>
        <v/>
      </c>
      <c r="BR65" s="49" t="str">
        <f>IF(AND($BR$12&gt;=$F65,$BR$12&lt;$G65),$E65,"")</f>
        <v/>
      </c>
      <c r="BS65" s="89" t="str">
        <f>IF(AND($BS$12&gt;=$F65,$BS$12&lt;$G65),$E65,"")</f>
        <v/>
      </c>
      <c r="BT65" s="87" t="str">
        <f>IF(AND($BT$12&gt;=$F65,$BT$12&lt;$G65),$E65,"")</f>
        <v/>
      </c>
    </row>
    <row r="66" spans="2:72" s="93" customFormat="1" hidden="1">
      <c r="B66" s="81" t="str">
        <f>Weekly!B58</f>
        <v>01521</v>
      </c>
      <c r="C66" s="90" t="str">
        <f>Weekly!C58</f>
        <v>Tom</v>
      </c>
      <c r="D66" s="90">
        <f>Weekly!D96</f>
        <v>0</v>
      </c>
      <c r="E66" s="91" t="str">
        <f>VLOOKUP(B66,Team!$B$4:$E$183,4,FALSE)</f>
        <v>M's</v>
      </c>
      <c r="F66" s="92" t="str">
        <f>Weekly!G58</f>
        <v/>
      </c>
      <c r="G66" s="92" t="str">
        <f>Weekly!H58</f>
        <v/>
      </c>
      <c r="H66" s="48" t="str">
        <f>IF(AND($H$12&gt;=$F66,$H$12&lt;$G66),$E66,"")</f>
        <v/>
      </c>
      <c r="I66" s="48" t="str">
        <f>IF(AND($I$12&gt;=$F66,$I$12&lt;$G66),$E66,"")</f>
        <v/>
      </c>
      <c r="J66" s="48" t="str">
        <f>IF(AND($J$12&gt;=$F66,$J$12&lt;$G66),$E66,"")</f>
        <v/>
      </c>
      <c r="K66" s="84" t="str">
        <f>IF(AND($K$12&gt;=$F66,$K$12&lt;$G66),$E66,"")</f>
        <v/>
      </c>
      <c r="L66" s="82" t="str">
        <f>IF(AND($L$12&gt;=$F66,$L$12&lt;$G66),$E66,"")</f>
        <v/>
      </c>
      <c r="M66" s="48" t="str">
        <f>IF(AND($M$12&gt;=$F66,$M$12&lt;$G66),$E66,"")</f>
        <v/>
      </c>
      <c r="N66" s="48" t="str">
        <f>IF(AND($N$12&gt;=$F66,$N$12&lt;$G66),$E66,"")</f>
        <v/>
      </c>
      <c r="O66" s="84" t="str">
        <f>IF(AND($O$12&gt;=$F66,$O$12&lt;$G66),$E66,"")</f>
        <v/>
      </c>
      <c r="P66" s="82" t="str">
        <f>IF(AND($P$12&gt;=$F66,$P$12&lt;$G66),$E66,"")</f>
        <v/>
      </c>
      <c r="Q66" s="48" t="str">
        <f>IF(AND($Q$12&gt;=$F66,$Q$12&lt;$G66),$E66,"")</f>
        <v/>
      </c>
      <c r="R66" s="48" t="str">
        <f>IF(AND($R$12&gt;=$F66,$R$12&lt;$G66),$E66,"")</f>
        <v/>
      </c>
      <c r="S66" s="84" t="str">
        <f>IF(AND($S$12&gt;=$F66,$S$12&lt;$G66),$E66,"")</f>
        <v/>
      </c>
      <c r="T66" s="82" t="str">
        <f>IF(AND($T$12&gt;=$F66,$T$12&lt;$G66),$E66,"")</f>
        <v/>
      </c>
      <c r="U66" s="48" t="str">
        <f>IF(AND($U$12&gt;=$F66,$U$12&lt;$G66),$E66,"")</f>
        <v/>
      </c>
      <c r="V66" s="48" t="str">
        <f>IF(AND($V$12&gt;=$F66,$V$12&lt;$G66),$E66,"")</f>
        <v/>
      </c>
      <c r="W66" s="84" t="str">
        <f>IF(AND($W$12&gt;=$F66,$W$12&lt;$G66),$E66,"")</f>
        <v/>
      </c>
      <c r="X66" s="82" t="str">
        <f>IF(AND($X$12&gt;=$F66,$X$12&lt;$G66),$E66,"")</f>
        <v/>
      </c>
      <c r="Y66" s="48" t="str">
        <f>IF(AND($Y$12&gt;=$F66,$Y$12&lt;$G66),$E66,"")</f>
        <v/>
      </c>
      <c r="Z66" s="48" t="str">
        <f>IF(AND($Z$12&gt;=$F66,$Z$12&lt;$G66),$E66,"")</f>
        <v/>
      </c>
      <c r="AA66" s="84" t="str">
        <f>IF(AND($AA$12&gt;=$F66,$AA$12&lt;$G66),$E66,"")</f>
        <v/>
      </c>
      <c r="AB66" s="82" t="str">
        <f>IF(AND($AB$12&gt;=$F66,$AB$12&lt;$G66),$E66,"")</f>
        <v/>
      </c>
      <c r="AC66" s="48" t="str">
        <f>IF(AND($AC$12&gt;=$F66,$AC$12&lt;$G66),$E66,"")</f>
        <v/>
      </c>
      <c r="AD66" s="48" t="str">
        <f>IF(AND($AD$12&gt;=$F66,$AD$12&lt;$G66),$E66,"")</f>
        <v/>
      </c>
      <c r="AE66" s="84" t="str">
        <f>IF(AND($AE$12&gt;=$F66,$AE$12&lt;$G66),$E66,"")</f>
        <v/>
      </c>
      <c r="AF66" s="82" t="str">
        <f>IF(AND($AF$12&gt;=$F66,$AF$12&lt;$G66),$E66,"")</f>
        <v/>
      </c>
      <c r="AG66" s="48" t="str">
        <f>IF(AND($AG$12&gt;=$F66,$AG$12&lt;$G66),$E66,"")</f>
        <v/>
      </c>
      <c r="AH66" s="48" t="str">
        <f>IF(AND($AH$12&gt;=$F66,$AH$12&lt;$G66),$E66,"")</f>
        <v/>
      </c>
      <c r="AI66" s="84" t="str">
        <f>IF(AND($AI$12&gt;=$F66,$AI$12&lt;$G66),$E66,"")</f>
        <v/>
      </c>
      <c r="AJ66" s="82" t="str">
        <f>IF(AND($AJ$12&gt;=$F66,$AJ$12&lt;$G66),$E66,"")</f>
        <v/>
      </c>
      <c r="AK66" s="48" t="str">
        <f>IF(AND($AK$12&gt;=$F66,$AK$12&lt;$G66),$E66,"")</f>
        <v/>
      </c>
      <c r="AL66" s="48" t="str">
        <f>IF(AND($AL$12&gt;=$F66,$AL$12&lt;$G66),$E66,"")</f>
        <v/>
      </c>
      <c r="AM66" s="84" t="str">
        <f>IF(AND($AM$12&gt;=$F66,$AM$12&lt;$G66),$E66,"")</f>
        <v/>
      </c>
      <c r="AN66" s="82" t="str">
        <f>IF(AND($AN$12&gt;=$F66,$AN$12&lt;$G66),$E66,"")</f>
        <v/>
      </c>
      <c r="AO66" s="48" t="str">
        <f>IF(AND($AO$12&gt;=$F66,$AO$12&lt;$G66),$E66,"")</f>
        <v/>
      </c>
      <c r="AP66" s="48" t="str">
        <f>IF(AND($AP$12&gt;=$F66,$AP$12&lt;$G66),$E66,"")</f>
        <v/>
      </c>
      <c r="AQ66" s="84" t="str">
        <f>IF(AND($AQ$12&gt;=$F66,$AQ$12&lt;$G66),$E66,"")</f>
        <v/>
      </c>
      <c r="AR66" s="82" t="str">
        <f>IF(AND($AR$12&gt;=$F66,$AR$12&lt;$G66),$E66,"")</f>
        <v/>
      </c>
      <c r="AS66" s="48" t="str">
        <f>IF(AND($AS$12&gt;=$F66,$AS$12&lt;$G66),$E66,"")</f>
        <v/>
      </c>
      <c r="AT66" s="48" t="str">
        <f>IF(AND($AT$12&gt;=$F66,$AT$12&lt;$G66),$E66,"")</f>
        <v/>
      </c>
      <c r="AU66" s="84" t="str">
        <f>IF(AND($AU$12&gt;=$F66,$AU$12&lt;$G66),$E66,"")</f>
        <v/>
      </c>
      <c r="AV66" s="82" t="str">
        <f>IF(AND($AV$12&gt;=$F66,$AV$12&lt;$G66),$E66,"")</f>
        <v/>
      </c>
      <c r="AW66" s="48" t="str">
        <f>IF(AND($AW$12&gt;=$F66,$AW$12&lt;$G66),$E66,"")</f>
        <v/>
      </c>
      <c r="AX66" s="48" t="str">
        <f>IF(AND($AX$12&gt;=$F66,$AX$12&lt;$G66),$E66,"")</f>
        <v/>
      </c>
      <c r="AY66" s="84" t="str">
        <f>IF(AND($AY$12&gt;=$F66,$AY$12&lt;$G66),$E66,"")</f>
        <v/>
      </c>
      <c r="AZ66" s="82" t="str">
        <f>IF(AND($AZ$12&gt;=$F66,$AZ$12&lt;$G66),$E66,"")</f>
        <v/>
      </c>
      <c r="BA66" s="48" t="str">
        <f>IF(AND($BA$12&gt;=$F66,$BA$12&lt;$G66),$E66,"")</f>
        <v/>
      </c>
      <c r="BB66" s="48" t="str">
        <f>IF(AND($BB$12&gt;=$F66,$BB$12&lt;$G66),$E66,"")</f>
        <v/>
      </c>
      <c r="BC66" s="84" t="str">
        <f>IF(AND($BC$12&gt;=$F66,$BC$12&lt;$G66),$E66,"")</f>
        <v/>
      </c>
      <c r="BD66" s="82" t="str">
        <f>IF(AND($BD$12&gt;=$F66,$BD$12&lt;$G66),$E66,"")</f>
        <v/>
      </c>
      <c r="BE66" s="48" t="str">
        <f>IF(AND($BE$12&gt;=$F66,$BE$12&lt;$G66),$E66,"")</f>
        <v/>
      </c>
      <c r="BF66" s="48" t="str">
        <f>IF(AND($BF$12&gt;=$F66,$BF$12&lt;$G66),$E66,"")</f>
        <v/>
      </c>
      <c r="BG66" s="84" t="str">
        <f>IF(AND($BG$12&gt;=$F66,$BG$12&lt;$G66),$E66,"")</f>
        <v/>
      </c>
      <c r="BH66" s="87" t="str">
        <f>IF(AND($BH$12&gt;=$F66,$BH$12&lt;$G66),$E66,"")</f>
        <v/>
      </c>
      <c r="BI66" s="49" t="str">
        <f>IF(AND($BI$12&gt;=$F66,$BI$12&lt;$G66),$E66,"")</f>
        <v/>
      </c>
      <c r="BJ66" s="49" t="str">
        <f>IF(AND($BJ$12&gt;=$F66,$BJ$12&lt;$G66),$E66,"")</f>
        <v/>
      </c>
      <c r="BK66" s="89" t="str">
        <f>IF(AND($BK$12&gt;=$F66,$BK$12&lt;$G66),$E66,"")</f>
        <v/>
      </c>
      <c r="BL66" s="87" t="str">
        <f>IF(AND($BL$12&gt;=$F66,$BL$12&lt;$G66),$E66,"")</f>
        <v/>
      </c>
      <c r="BM66" s="49" t="str">
        <f>IF(AND($BM$12&gt;=$F66,$BM$12&lt;$G66),$E66,"")</f>
        <v/>
      </c>
      <c r="BN66" s="49" t="str">
        <f>IF(AND($BN$12&gt;=$F66,$BN$12&lt;$G66),$E66,"")</f>
        <v/>
      </c>
      <c r="BO66" s="89" t="str">
        <f>IF(AND($BO$12&gt;=$F66,$BO$12&lt;$G66),$E66,"")</f>
        <v/>
      </c>
      <c r="BP66" s="87" t="str">
        <f>IF(AND($BP$12&gt;=$F66,$BP$12&lt;$G66),$E66,"")</f>
        <v/>
      </c>
      <c r="BQ66" s="49" t="str">
        <f>IF(AND($BQ$12&gt;=$F66,$BQ$12&lt;$G66),$E66,"")</f>
        <v/>
      </c>
      <c r="BR66" s="49" t="str">
        <f>IF(AND($BR$12&gt;=$F66,$BR$12&lt;$G66),$E66,"")</f>
        <v/>
      </c>
      <c r="BS66" s="89" t="str">
        <f>IF(AND($BS$12&gt;=$F66,$BS$12&lt;$G66),$E66,"")</f>
        <v/>
      </c>
      <c r="BT66" s="87" t="str">
        <f>IF(AND($BT$12&gt;=$F66,$BT$12&lt;$G66),$E66,"")</f>
        <v/>
      </c>
    </row>
    <row r="67" spans="2:72" s="93" customFormat="1" ht="12.75">
      <c r="B67" s="81" t="str">
        <f>Weekly!B47</f>
        <v>01529</v>
      </c>
      <c r="C67" s="90" t="str">
        <f>Weekly!C47</f>
        <v>Natalie N.</v>
      </c>
      <c r="D67" s="90">
        <f>Weekly!D85</f>
        <v>0</v>
      </c>
      <c r="E67" s="91" t="s">
        <v>210</v>
      </c>
      <c r="F67" s="92">
        <f>Weekly!G47</f>
        <v>0.45833333333333298</v>
      </c>
      <c r="G67" s="92">
        <f>Weekly!H47</f>
        <v>0.79166666666666596</v>
      </c>
      <c r="H67" s="48" t="str">
        <f>IF(AND($H$12&gt;=$F67,$H$12&lt;$G67),$E67,"")</f>
        <v/>
      </c>
      <c r="I67" s="48" t="str">
        <f>IF(AND($I$12&gt;=$F67,$I$12&lt;$G67),$E67,"")</f>
        <v/>
      </c>
      <c r="J67" s="48" t="str">
        <f>IF(AND($J$12&gt;=$F67,$J$12&lt;$G67),$E67,"")</f>
        <v/>
      </c>
      <c r="K67" s="84" t="str">
        <f>IF(AND($K$12&gt;=$F67,$K$12&lt;$G67),$E67,"")</f>
        <v/>
      </c>
      <c r="L67" s="82" t="str">
        <f>IF(AND($L$12&gt;=$F67,$L$12&lt;$G67),$E67,"")</f>
        <v/>
      </c>
      <c r="M67" s="48" t="str">
        <f>IF(AND($M$12&gt;=$F67,$M$12&lt;$G67),$E67,"")</f>
        <v/>
      </c>
      <c r="N67" s="48" t="str">
        <f>IF(AND($N$12&gt;=$F67,$N$12&lt;$G67),$E67,"")</f>
        <v/>
      </c>
      <c r="O67" s="84" t="str">
        <f>IF(AND($O$12&gt;=$F67,$O$12&lt;$G67),$E67,"")</f>
        <v/>
      </c>
      <c r="P67" s="82" t="str">
        <f>IF(AND($P$12&gt;=$F67,$P$12&lt;$G67),$E67,"")</f>
        <v/>
      </c>
      <c r="Q67" s="48" t="str">
        <f>IF(AND($Q$12&gt;=$F67,$Q$12&lt;$G67),$E67,"")</f>
        <v/>
      </c>
      <c r="R67" s="48" t="str">
        <f>IF(AND($R$12&gt;=$F67,$R$12&lt;$G67),$E67,"")</f>
        <v/>
      </c>
      <c r="S67" s="84" t="str">
        <f>IF(AND($S$12&gt;=$F67,$S$12&lt;$G67),$E67,"")</f>
        <v/>
      </c>
      <c r="T67" s="82" t="str">
        <f>IF(AND($T$12&gt;=$F67,$T$12&lt;$G67),$E67,"")</f>
        <v/>
      </c>
      <c r="U67" s="48" t="str">
        <f>IF(AND($U$12&gt;=$F67,$U$12&lt;$G67),$E67,"")</f>
        <v/>
      </c>
      <c r="V67" s="48" t="str">
        <f>IF(AND($V$12&gt;=$F67,$V$12&lt;$G67),$E67,"")</f>
        <v/>
      </c>
      <c r="W67" s="84" t="str">
        <f>IF(AND($W$12&gt;=$F67,$W$12&lt;$G67),$E67,"")</f>
        <v/>
      </c>
      <c r="X67" s="118" t="s">
        <v>243</v>
      </c>
      <c r="Y67" s="123" t="s">
        <v>237</v>
      </c>
      <c r="Z67" s="123" t="s">
        <v>237</v>
      </c>
      <c r="AA67" s="123" t="s">
        <v>237</v>
      </c>
      <c r="AB67" s="123" t="s">
        <v>237</v>
      </c>
      <c r="AC67" s="123" t="s">
        <v>237</v>
      </c>
      <c r="AD67" s="123" t="s">
        <v>237</v>
      </c>
      <c r="AE67" s="120" t="s">
        <v>344</v>
      </c>
      <c r="AF67" s="121">
        <v>40</v>
      </c>
      <c r="AG67" s="121">
        <v>40</v>
      </c>
      <c r="AH67" s="121">
        <v>40</v>
      </c>
      <c r="AI67" s="119" t="s">
        <v>235</v>
      </c>
      <c r="AJ67" s="119" t="s">
        <v>235</v>
      </c>
      <c r="AK67" s="119" t="s">
        <v>235</v>
      </c>
      <c r="AL67" s="119" t="s">
        <v>235</v>
      </c>
      <c r="AM67" s="119" t="s">
        <v>235</v>
      </c>
      <c r="AN67" s="82" t="str">
        <f>IF(AND($AN$12&gt;=$F67,$AN$12&lt;$G67),$E67,"")</f>
        <v>M's</v>
      </c>
      <c r="AO67" s="48" t="str">
        <f>IF(AND($AO$12&gt;=$F67,$AO$12&lt;$G67),$E67,"")</f>
        <v>M's</v>
      </c>
      <c r="AP67" s="48" t="str">
        <f>IF(AND($AP$12&gt;=$F67,$AP$12&lt;$G67),$E67,"")</f>
        <v>M's</v>
      </c>
      <c r="AQ67" s="84" t="str">
        <f>IF(AND($AQ$12&gt;=$F67,$AQ$12&lt;$G67),$E67,"")</f>
        <v>M's</v>
      </c>
      <c r="AR67" s="82" t="str">
        <f>IF(AND($AR$12&gt;=$F67,$AR$12&lt;$G67),$E67,"")</f>
        <v>M's</v>
      </c>
      <c r="AS67" s="48" t="str">
        <f>IF(AND($AS$12&gt;=$F67,$AS$12&lt;$G67),$E67,"")</f>
        <v>M's</v>
      </c>
      <c r="AT67" s="121">
        <v>10</v>
      </c>
      <c r="AU67" s="82" t="str">
        <f>IF(AND($AV$12&gt;=$F67,$AV$12&lt;$G67),$E67,"")</f>
        <v>M's</v>
      </c>
      <c r="AV67" s="82" t="str">
        <f>IF(AND($AV$12&gt;=$F67,$AV$12&lt;$G67),$E67,"")</f>
        <v>M's</v>
      </c>
      <c r="AW67" s="48" t="str">
        <f>IF(AND($AW$12&gt;=$F67,$AW$12&lt;$G67),$E67,"")</f>
        <v>M's</v>
      </c>
      <c r="AX67" s="48" t="str">
        <f>IF(AND($AX$12&gt;=$F67,$AX$12&lt;$G67),$E67,"")</f>
        <v>M's</v>
      </c>
      <c r="AY67" s="84" t="str">
        <f>IF(AND($AY$12&gt;=$F67,$AY$12&lt;$G67),$E67,"")</f>
        <v>M's</v>
      </c>
      <c r="AZ67" s="82" t="str">
        <f>IF(AND($AZ$12&gt;=$F67,$AZ$12&lt;$G67),$E67,"")</f>
        <v>M's</v>
      </c>
      <c r="BA67" s="48" t="str">
        <f>IF(AND($BA$12&gt;=$F67,$BA$12&lt;$G67),$E67,"")</f>
        <v>M's</v>
      </c>
      <c r="BB67" s="48" t="str">
        <f>IF(AND($BB$12&gt;=$F67,$BB$12&lt;$G67),$E67,"")</f>
        <v>M's</v>
      </c>
      <c r="BC67" s="84" t="str">
        <f>IF(AND($BC$12&gt;=$F67,$BC$12&lt;$G67),$E67,"")</f>
        <v>M's</v>
      </c>
      <c r="BD67" s="82" t="str">
        <f>IF(AND($BD$12&gt;=$F67,$BD$12&lt;$G67),$E67,"")</f>
        <v/>
      </c>
      <c r="BE67" s="48" t="str">
        <f>IF(AND($BE$12&gt;=$F67,$BE$12&lt;$G67),$E67,"")</f>
        <v/>
      </c>
      <c r="BF67" s="48" t="str">
        <f>IF(AND($BF$12&gt;=$F67,$BF$12&lt;$G67),$E67,"")</f>
        <v/>
      </c>
      <c r="BG67" s="84" t="str">
        <f>IF(AND($BG$12&gt;=$F67,$BG$12&lt;$G67),$E67,"")</f>
        <v/>
      </c>
      <c r="BH67" s="87" t="str">
        <f>IF(AND($BH$12&gt;=$F67,$BH$12&lt;$G67),$E67,"")</f>
        <v/>
      </c>
      <c r="BI67" s="49" t="str">
        <f>IF(AND($BI$12&gt;=$F67,$BI$12&lt;$G67),$E67,"")</f>
        <v/>
      </c>
      <c r="BJ67" s="49" t="str">
        <f>IF(AND($BJ$12&gt;=$F67,$BJ$12&lt;$G67),$E67,"")</f>
        <v/>
      </c>
      <c r="BK67" s="89" t="str">
        <f>IF(AND($BK$12&gt;=$F67,$BK$12&lt;$G67),$E67,"")</f>
        <v/>
      </c>
      <c r="BL67" s="87" t="str">
        <f>IF(AND($BL$12&gt;=$F67,$BL$12&lt;$G67),$E67,"")</f>
        <v/>
      </c>
      <c r="BM67" s="49" t="str">
        <f>IF(AND($BM$12&gt;=$F67,$BM$12&lt;$G67),$E67,"")</f>
        <v/>
      </c>
      <c r="BN67" s="49" t="str">
        <f>IF(AND($BN$12&gt;=$F67,$BN$12&lt;$G67),$E67,"")</f>
        <v/>
      </c>
      <c r="BO67" s="89" t="str">
        <f>IF(AND($BO$12&gt;=$F67,$BO$12&lt;$G67),$E67,"")</f>
        <v/>
      </c>
      <c r="BP67" s="87" t="str">
        <f>IF(AND($BP$12&gt;=$F67,$BP$12&lt;$G67),$E67,"")</f>
        <v/>
      </c>
      <c r="BQ67" s="49" t="str">
        <f>IF(AND($BQ$12&gt;=$F67,$BQ$12&lt;$G67),$E67,"")</f>
        <v/>
      </c>
      <c r="BR67" s="49" t="str">
        <f>IF(AND($BR$12&gt;=$F67,$BR$12&lt;$G67),$E67,"")</f>
        <v/>
      </c>
      <c r="BS67" s="89" t="str">
        <f>IF(AND($BS$12&gt;=$F67,$BS$12&lt;$G67),$E67,"")</f>
        <v/>
      </c>
      <c r="BT67" s="87" t="str">
        <f>IF(AND($BT$12&gt;=$F67,$BT$12&lt;$G67),$E67,"")</f>
        <v/>
      </c>
    </row>
    <row r="68" spans="2:72" s="93" customFormat="1" hidden="1">
      <c r="B68" s="81" t="str">
        <f>Weekly!B60</f>
        <v>1149</v>
      </c>
      <c r="C68" s="90" t="str">
        <f>Weekly!C60</f>
        <v>Vera</v>
      </c>
      <c r="D68" s="90" t="str">
        <f>Weekly!D16</f>
        <v>Park</v>
      </c>
      <c r="E68" s="91" t="str">
        <f>VLOOKUP(B68,Team!$B$4:$E$183,4,FALSE)</f>
        <v>L's</v>
      </c>
      <c r="F68" s="92" t="str">
        <f>Weekly!G60</f>
        <v/>
      </c>
      <c r="G68" s="92" t="str">
        <f>Weekly!H60</f>
        <v/>
      </c>
      <c r="H68" s="48" t="str">
        <f>IF(AND($H$12&gt;=$F68,$H$12&lt;$G68),$E68,"")</f>
        <v/>
      </c>
      <c r="I68" s="48" t="str">
        <f>IF(AND($I$12&gt;=$F68,$I$12&lt;$G68),$E68,"")</f>
        <v/>
      </c>
      <c r="J68" s="48" t="str">
        <f>IF(AND($J$12&gt;=$F68,$J$12&lt;$G68),$E68,"")</f>
        <v/>
      </c>
      <c r="K68" s="84" t="str">
        <f>IF(AND($K$12&gt;=$F68,$K$12&lt;$G68),$E68,"")</f>
        <v/>
      </c>
      <c r="L68" s="82" t="str">
        <f>IF(AND($L$12&gt;=$F68,$L$12&lt;$G68),$E68,"")</f>
        <v/>
      </c>
      <c r="M68" s="48" t="str">
        <f>IF(AND($M$12&gt;=$F68,$M$12&lt;$G68),$E68,"")</f>
        <v/>
      </c>
      <c r="N68" s="48" t="str">
        <f>IF(AND($N$12&gt;=$F68,$N$12&lt;$G68),$E68,"")</f>
        <v/>
      </c>
      <c r="O68" s="84" t="str">
        <f>IF(AND($O$12&gt;=$F68,$O$12&lt;$G68),$E68,"")</f>
        <v/>
      </c>
      <c r="P68" s="82" t="str">
        <f>IF(AND($P$12&gt;=$F68,$P$12&lt;$G68),$E68,"")</f>
        <v/>
      </c>
      <c r="Q68" s="48" t="str">
        <f>IF(AND($Q$12&gt;=$F68,$Q$12&lt;$G68),$E68,"")</f>
        <v/>
      </c>
      <c r="R68" s="48" t="str">
        <f>IF(AND($R$12&gt;=$F68,$R$12&lt;$G68),$E68,"")</f>
        <v/>
      </c>
      <c r="S68" s="84" t="str">
        <f>IF(AND($S$12&gt;=$F68,$S$12&lt;$G68),$E68,"")</f>
        <v/>
      </c>
      <c r="T68" s="82" t="str">
        <f>IF(AND($T$12&gt;=$F68,$T$12&lt;$G68),$E68,"")</f>
        <v/>
      </c>
      <c r="U68" s="48" t="str">
        <f>IF(AND($U$12&gt;=$F68,$U$12&lt;$G68),$E68,"")</f>
        <v/>
      </c>
      <c r="V68" s="48" t="str">
        <f>IF(AND($V$12&gt;=$F68,$V$12&lt;$G68),$E68,"")</f>
        <v/>
      </c>
      <c r="W68" s="84" t="str">
        <f>IF(AND($W$12&gt;=$F68,$W$12&lt;$G68),$E68,"")</f>
        <v/>
      </c>
      <c r="X68" s="82" t="str">
        <f>IF(AND($X$12&gt;=$F68,$X$12&lt;$G68),$E68,"")</f>
        <v/>
      </c>
      <c r="Y68" s="48" t="str">
        <f>IF(AND($Y$12&gt;=$F68,$Y$12&lt;$G68),$E68,"")</f>
        <v/>
      </c>
      <c r="Z68" s="48" t="str">
        <f>IF(AND($Z$12&gt;=$F68,$Z$12&lt;$G68),$E68,"")</f>
        <v/>
      </c>
      <c r="AA68" s="84" t="str">
        <f>IF(AND($AA$12&gt;=$F68,$AA$12&lt;$G68),$E68,"")</f>
        <v/>
      </c>
      <c r="AB68" s="82" t="str">
        <f>IF(AND($AB$12&gt;=$F68,$AB$12&lt;$G68),$E68,"")</f>
        <v/>
      </c>
      <c r="AC68" s="48" t="str">
        <f>IF(AND($AC$12&gt;=$F68,$AC$12&lt;$G68),$E68,"")</f>
        <v/>
      </c>
      <c r="AD68" s="48" t="str">
        <f>IF(AND($AD$12&gt;=$F68,$AD$12&lt;$G68),$E68,"")</f>
        <v/>
      </c>
      <c r="AE68" s="84" t="str">
        <f>IF(AND($AE$12&gt;=$F68,$AE$12&lt;$G68),$E68,"")</f>
        <v/>
      </c>
      <c r="AF68" s="82" t="str">
        <f>IF(AND($AF$12&gt;=$F68,$AF$12&lt;$G68),$E68,"")</f>
        <v/>
      </c>
      <c r="AG68" s="48" t="str">
        <f>IF(AND($AG$12&gt;=$F68,$AG$12&lt;$G68),$E68,"")</f>
        <v/>
      </c>
      <c r="AH68" s="48" t="str">
        <f>IF(AND($AH$12&gt;=$F68,$AH$12&lt;$G68),$E68,"")</f>
        <v/>
      </c>
      <c r="AI68" s="84" t="str">
        <f>IF(AND($AI$12&gt;=$F68,$AI$12&lt;$G68),$E68,"")</f>
        <v/>
      </c>
      <c r="AJ68" s="82" t="str">
        <f>IF(AND($AJ$12&gt;=$F68,$AJ$12&lt;$G68),$E68,"")</f>
        <v/>
      </c>
      <c r="AK68" s="48" t="str">
        <f>IF(AND($AK$12&gt;=$F68,$AK$12&lt;$G68),$E68,"")</f>
        <v/>
      </c>
      <c r="AL68" s="48" t="str">
        <f>IF(AND($AL$12&gt;=$F68,$AL$12&lt;$G68),$E68,"")</f>
        <v/>
      </c>
      <c r="AM68" s="84" t="str">
        <f>IF(AND($AM$12&gt;=$F68,$AM$12&lt;$G68),$E68,"")</f>
        <v/>
      </c>
      <c r="AN68" s="82" t="str">
        <f>IF(AND($AN$12&gt;=$F68,$AN$12&lt;$G68),$E68,"")</f>
        <v/>
      </c>
      <c r="AO68" s="48" t="str">
        <f>IF(AND($AO$12&gt;=$F68,$AO$12&lt;$G68),$E68,"")</f>
        <v/>
      </c>
      <c r="AP68" s="48" t="str">
        <f>IF(AND($AP$12&gt;=$F68,$AP$12&lt;$G68),$E68,"")</f>
        <v/>
      </c>
      <c r="AQ68" s="84" t="str">
        <f>IF(AND($AQ$12&gt;=$F68,$AQ$12&lt;$G68),$E68,"")</f>
        <v/>
      </c>
      <c r="AR68" s="82" t="str">
        <f>IF(AND($AR$12&gt;=$F68,$AR$12&lt;$G68),$E68,"")</f>
        <v/>
      </c>
      <c r="AS68" s="48" t="str">
        <f>IF(AND($AS$12&gt;=$F68,$AS$12&lt;$G68),$E68,"")</f>
        <v/>
      </c>
      <c r="AT68" s="48" t="str">
        <f>IF(AND($AT$12&gt;=$F68,$AT$12&lt;$G68),$E68,"")</f>
        <v/>
      </c>
      <c r="AU68" s="84" t="str">
        <f>IF(AND($AU$12&gt;=$F68,$AU$12&lt;$G68),$E68,"")</f>
        <v/>
      </c>
      <c r="AV68" s="82" t="str">
        <f>IF(AND($AV$12&gt;=$F68,$AV$12&lt;$G68),$E68,"")</f>
        <v/>
      </c>
      <c r="AW68" s="48" t="str">
        <f>IF(AND($AW$12&gt;=$F68,$AW$12&lt;$G68),$E68,"")</f>
        <v/>
      </c>
      <c r="AX68" s="48" t="str">
        <f>IF(AND($AX$12&gt;=$F68,$AX$12&lt;$G68),$E68,"")</f>
        <v/>
      </c>
      <c r="AY68" s="84" t="str">
        <f>IF(AND($AY$12&gt;=$F68,$AY$12&lt;$G68),$E68,"")</f>
        <v/>
      </c>
      <c r="AZ68" s="82" t="str">
        <f>IF(AND($AZ$12&gt;=$F68,$AZ$12&lt;$G68),$E68,"")</f>
        <v/>
      </c>
      <c r="BA68" s="48" t="str">
        <f>IF(AND($BA$12&gt;=$F68,$BA$12&lt;$G68),$E68,"")</f>
        <v/>
      </c>
      <c r="BB68" s="48" t="str">
        <f>IF(AND($BB$12&gt;=$F68,$BB$12&lt;$G68),$E68,"")</f>
        <v/>
      </c>
      <c r="BC68" s="84" t="str">
        <f>IF(AND($BC$12&gt;=$F68,$BC$12&lt;$G68),$E68,"")</f>
        <v/>
      </c>
      <c r="BD68" s="82" t="str">
        <f>IF(AND($BD$12&gt;=$F68,$BD$12&lt;$G68),$E68,"")</f>
        <v/>
      </c>
      <c r="BE68" s="48" t="str">
        <f>IF(AND($BE$12&gt;=$F68,$BE$12&lt;$G68),$E68,"")</f>
        <v/>
      </c>
      <c r="BF68" s="48" t="str">
        <f>IF(AND($BF$12&gt;=$F68,$BF$12&lt;$G68),$E68,"")</f>
        <v/>
      </c>
      <c r="BG68" s="84" t="str">
        <f>IF(AND($BG$12&gt;=$F68,$BG$12&lt;$G68),$E68,"")</f>
        <v/>
      </c>
      <c r="BH68" s="87" t="str">
        <f>IF(AND($BH$12&gt;=$F68,$BH$12&lt;$G68),$E68,"")</f>
        <v/>
      </c>
      <c r="BI68" s="49" t="str">
        <f>IF(AND($BI$12&gt;=$F68,$BI$12&lt;$G68),$E68,"")</f>
        <v/>
      </c>
      <c r="BJ68" s="49" t="str">
        <f>IF(AND($BJ$12&gt;=$F68,$BJ$12&lt;$G68),$E68,"")</f>
        <v/>
      </c>
      <c r="BK68" s="89" t="str">
        <f>IF(AND($BK$12&gt;=$F68,$BK$12&lt;$G68),$E68,"")</f>
        <v/>
      </c>
      <c r="BL68" s="87" t="str">
        <f>IF(AND($BL$12&gt;=$F68,$BL$12&lt;$G68),$E68,"")</f>
        <v/>
      </c>
      <c r="BM68" s="49" t="str">
        <f>IF(AND($BM$12&gt;=$F68,$BM$12&lt;$G68),$E68,"")</f>
        <v/>
      </c>
      <c r="BN68" s="49" t="str">
        <f>IF(AND($BN$12&gt;=$F68,$BN$12&lt;$G68),$E68,"")</f>
        <v/>
      </c>
      <c r="BO68" s="89" t="str">
        <f>IF(AND($BO$12&gt;=$F68,$BO$12&lt;$G68),$E68,"")</f>
        <v/>
      </c>
      <c r="BP68" s="87" t="str">
        <f>IF(AND($BP$12&gt;=$F68,$BP$12&lt;$G68),$E68,"")</f>
        <v/>
      </c>
      <c r="BQ68" s="49" t="str">
        <f>IF(AND($BQ$12&gt;=$F68,$BQ$12&lt;$G68),$E68,"")</f>
        <v/>
      </c>
      <c r="BR68" s="49" t="str">
        <f>IF(AND($BR$12&gt;=$F68,$BR$12&lt;$G68),$E68,"")</f>
        <v/>
      </c>
      <c r="BS68" s="89" t="str">
        <f>IF(AND($BS$12&gt;=$F68,$BS$12&lt;$G68),$E68,"")</f>
        <v/>
      </c>
      <c r="BT68" s="87" t="str">
        <f>IF(AND($BT$12&gt;=$F68,$BT$12&lt;$G68),$E68,"")</f>
        <v/>
      </c>
    </row>
    <row r="69" spans="2:72" s="93" customFormat="1">
      <c r="B69" s="81" t="str">
        <f>Weekly!B25</f>
        <v>01504</v>
      </c>
      <c r="C69" s="90" t="str">
        <f>Weekly!C25</f>
        <v>Hannah</v>
      </c>
      <c r="D69" s="90" t="str">
        <f>Weekly!D22</f>
        <v>Blackburn</v>
      </c>
      <c r="E69" s="91" t="str">
        <f>VLOOKUP(B69,Team!$B$4:$E$183,4,FALSE)</f>
        <v>L's</v>
      </c>
      <c r="F69" s="92">
        <f>Weekly!G25</f>
        <v>0.58333333333333304</v>
      </c>
      <c r="G69" s="92">
        <f>Weekly!H25</f>
        <v>0.79166666666666596</v>
      </c>
      <c r="H69" s="48" t="str">
        <f>IF(AND($H$12&gt;=$F69,$H$12&lt;$G69),$E69,"")</f>
        <v/>
      </c>
      <c r="I69" s="48" t="str">
        <f>IF(AND($I$12&gt;=$F69,$I$12&lt;$G69),$E69,"")</f>
        <v/>
      </c>
      <c r="J69" s="48" t="str">
        <f>IF(AND($J$12&gt;=$F69,$J$12&lt;$G69),$E69,"")</f>
        <v/>
      </c>
      <c r="K69" s="84" t="str">
        <f>IF(AND($K$12&gt;=$F69,$K$12&lt;$G69),$E69,"")</f>
        <v/>
      </c>
      <c r="L69" s="82" t="str">
        <f>IF(AND($L$12&gt;=$F69,$L$12&lt;$G69),$E69,"")</f>
        <v/>
      </c>
      <c r="M69" s="48" t="str">
        <f>IF(AND($M$12&gt;=$F69,$M$12&lt;$G69),$E69,"")</f>
        <v/>
      </c>
      <c r="N69" s="48" t="str">
        <f>IF(AND($N$12&gt;=$F69,$N$12&lt;$G69),$E69,"")</f>
        <v/>
      </c>
      <c r="O69" s="84" t="str">
        <f>IF(AND($O$12&gt;=$F69,$O$12&lt;$G69),$E69,"")</f>
        <v/>
      </c>
      <c r="P69" s="82" t="str">
        <f>IF(AND($P$12&gt;=$F69,$P$12&lt;$G69),$E69,"")</f>
        <v/>
      </c>
      <c r="Q69" s="48" t="str">
        <f>IF(AND($Q$12&gt;=$F69,$Q$12&lt;$G69),$E69,"")</f>
        <v/>
      </c>
      <c r="R69" s="48" t="str">
        <f>IF(AND($R$12&gt;=$F69,$R$12&lt;$G69),$E69,"")</f>
        <v/>
      </c>
      <c r="S69" s="84" t="str">
        <f>IF(AND($S$12&gt;=$F69,$S$12&lt;$G69),$E69,"")</f>
        <v/>
      </c>
      <c r="T69" s="82" t="str">
        <f>IF(AND($T$12&gt;=$F69,$T$12&lt;$G69),$E69,"")</f>
        <v/>
      </c>
      <c r="U69" s="48" t="str">
        <f>IF(AND($U$12&gt;=$F69,$U$12&lt;$G69),$E69,"")</f>
        <v/>
      </c>
      <c r="V69" s="48" t="str">
        <f>IF(AND($V$12&gt;=$F69,$V$12&lt;$G69),$E69,"")</f>
        <v/>
      </c>
      <c r="W69" s="84" t="str">
        <f>IF(AND($W$12&gt;=$F69,$W$12&lt;$G69),$E69,"")</f>
        <v/>
      </c>
      <c r="X69" s="82" t="str">
        <f>IF(AND($X$12&gt;=$F69,$X$12&lt;$G69),$E69,"")</f>
        <v/>
      </c>
      <c r="Y69" s="48" t="str">
        <f>IF(AND($Y$12&gt;=$F69,$Y$12&lt;$G69),$E69,"")</f>
        <v/>
      </c>
      <c r="Z69" s="48" t="str">
        <f>IF(AND($Z$12&gt;=$F69,$Z$12&lt;$G69),$E69,"")</f>
        <v/>
      </c>
      <c r="AA69" s="84" t="str">
        <f>IF(AND($AA$12&gt;=$F69,$AA$12&lt;$G69),$E69,"")</f>
        <v/>
      </c>
      <c r="AB69" s="82" t="str">
        <f>IF(AND($AB$12&gt;=$F69,$AB$12&lt;$G69),$E69,"")</f>
        <v/>
      </c>
      <c r="AC69" s="48" t="str">
        <f>IF(AND($AC$12&gt;=$F69,$AC$12&lt;$G69),$E69,"")</f>
        <v/>
      </c>
      <c r="AD69" s="48" t="str">
        <f>IF(AND($AD$12&gt;=$F69,$AD$12&lt;$G69),$E69,"")</f>
        <v/>
      </c>
      <c r="AE69" s="84" t="str">
        <f>IF(AND($AE$12&gt;=$F69,$AE$12&lt;$G69),$E69,"")</f>
        <v/>
      </c>
      <c r="AF69" s="82" t="str">
        <f>IF(AND($AF$12&gt;=$F69,$AF$12&lt;$G69),$E69,"")</f>
        <v/>
      </c>
      <c r="AG69" s="48" t="str">
        <f>IF(AND($AG$12&gt;=$F69,$AG$12&lt;$G69),$E69,"")</f>
        <v/>
      </c>
      <c r="AH69" s="48" t="str">
        <f>IF(AND($AH$12&gt;=$F69,$AH$12&lt;$G69),$E69,"")</f>
        <v/>
      </c>
      <c r="AI69" s="84" t="str">
        <f>IF(AND($AI$12&gt;=$F69,$AI$12&lt;$G69),$E69,"")</f>
        <v/>
      </c>
      <c r="AJ69" s="123" t="s">
        <v>237</v>
      </c>
      <c r="AK69" s="123" t="s">
        <v>237</v>
      </c>
      <c r="AL69" s="123" t="s">
        <v>237</v>
      </c>
      <c r="AM69" s="123" t="s">
        <v>237</v>
      </c>
      <c r="AN69" s="123" t="s">
        <v>237</v>
      </c>
      <c r="AO69" s="48" t="str">
        <f>IF(AND($AO$12&gt;=$F69,$AO$12&lt;$G69),$E69,"")</f>
        <v>L's</v>
      </c>
      <c r="AP69" s="48" t="str">
        <f>IF(AND($AP$12&gt;=$F69,$AP$12&lt;$G69),$E69,"")</f>
        <v>L's</v>
      </c>
      <c r="AQ69" s="84" t="str">
        <f>IF(AND($AQ$12&gt;=$F69,$AQ$12&lt;$G69),$E69,"")</f>
        <v>L's</v>
      </c>
      <c r="AR69" s="82" t="str">
        <f>IF(AND($AR$12&gt;=$F69,$AR$12&lt;$G69),$E69,"")</f>
        <v>L's</v>
      </c>
      <c r="AS69" s="121">
        <v>10</v>
      </c>
      <c r="AT69" s="124" t="s">
        <v>241</v>
      </c>
      <c r="AU69" s="124" t="s">
        <v>241</v>
      </c>
      <c r="AV69" s="124" t="s">
        <v>241</v>
      </c>
      <c r="AW69" s="124" t="s">
        <v>241</v>
      </c>
      <c r="AX69" s="124" t="s">
        <v>241</v>
      </c>
      <c r="AY69" s="124" t="s">
        <v>241</v>
      </c>
      <c r="AZ69" s="82" t="str">
        <f>IF(AND($AZ$12&gt;=$F69,$AZ$12&lt;$G69),$E69,"")</f>
        <v>L's</v>
      </c>
      <c r="BA69" s="48" t="str">
        <f>IF(AND($BA$12&gt;=$F69,$BA$12&lt;$G69),$E69,"")</f>
        <v>L's</v>
      </c>
      <c r="BB69" s="48" t="str">
        <f>IF(AND($BB$12&gt;=$F69,$BB$12&lt;$G69),$E69,"")</f>
        <v>L's</v>
      </c>
      <c r="BC69" s="84" t="str">
        <f>IF(AND($BC$12&gt;=$F69,$BC$12&lt;$G69),$E69,"")</f>
        <v>L's</v>
      </c>
      <c r="BD69" s="82" t="str">
        <f>IF(AND($BD$12&gt;=$F69,$BD$12&lt;$G69),$E69,"")</f>
        <v/>
      </c>
      <c r="BE69" s="48" t="str">
        <f>IF(AND($BE$12&gt;=$F69,$BE$12&lt;$G69),$E69,"")</f>
        <v/>
      </c>
      <c r="BF69" s="48" t="str">
        <f>IF(AND($BF$12&gt;=$F69,$BF$12&lt;$G69),$E69,"")</f>
        <v/>
      </c>
      <c r="BG69" s="84" t="str">
        <f>IF(AND($BG$12&gt;=$F69,$BG$12&lt;$G69),$E69,"")</f>
        <v/>
      </c>
      <c r="BH69" s="87" t="str">
        <f>IF(AND($BH$12&gt;=$F69,$BH$12&lt;$G69),$E69,"")</f>
        <v/>
      </c>
      <c r="BI69" s="49" t="str">
        <f>IF(AND($BI$12&gt;=$F69,$BI$12&lt;$G69),$E69,"")</f>
        <v/>
      </c>
      <c r="BJ69" s="49" t="str">
        <f>IF(AND($BJ$12&gt;=$F69,$BJ$12&lt;$G69),$E69,"")</f>
        <v/>
      </c>
      <c r="BK69" s="89" t="str">
        <f>IF(AND($BK$12&gt;=$F69,$BK$12&lt;$G69),$E69,"")</f>
        <v/>
      </c>
      <c r="BL69" s="87" t="str">
        <f>IF(AND($BL$12&gt;=$F69,$BL$12&lt;$G69),$E69,"")</f>
        <v/>
      </c>
      <c r="BM69" s="49" t="str">
        <f>IF(AND($BM$12&gt;=$F69,$BM$12&lt;$G69),$E69,"")</f>
        <v/>
      </c>
      <c r="BN69" s="49" t="str">
        <f>IF(AND($BN$12&gt;=$F69,$BN$12&lt;$G69),$E69,"")</f>
        <v/>
      </c>
      <c r="BO69" s="89" t="str">
        <f>IF(AND($BO$12&gt;=$F69,$BO$12&lt;$G69),$E69,"")</f>
        <v/>
      </c>
      <c r="BP69" s="87" t="str">
        <f>IF(AND($BP$12&gt;=$F69,$BP$12&lt;$G69),$E69,"")</f>
        <v/>
      </c>
      <c r="BQ69" s="49" t="str">
        <f>IF(AND($BQ$12&gt;=$F69,$BQ$12&lt;$G69),$E69,"")</f>
        <v/>
      </c>
      <c r="BR69" s="49" t="str">
        <f>IF(AND($BR$12&gt;=$F69,$BR$12&lt;$G69),$E69,"")</f>
        <v/>
      </c>
      <c r="BS69" s="89" t="str">
        <f>IF(AND($BS$12&gt;=$F69,$BS$12&lt;$G69),$E69,"")</f>
        <v/>
      </c>
      <c r="BT69" s="87" t="str">
        <f>IF(AND($BT$12&gt;=$F69,$BT$12&lt;$G69),$E69,"")</f>
        <v/>
      </c>
    </row>
    <row r="70" spans="2:72" s="93" customFormat="1" hidden="1">
      <c r="B70" s="81">
        <f>Weekly!B62</f>
        <v>0</v>
      </c>
      <c r="C70" s="90">
        <f>Weekly!C62</f>
        <v>0</v>
      </c>
      <c r="D70" s="90" t="str">
        <f>Weekly!D60</f>
        <v>Kim</v>
      </c>
      <c r="E70" s="91" t="e">
        <f>VLOOKUP(B70,Team!$B$4:$E$183,4,FALSE)</f>
        <v>#N/A</v>
      </c>
      <c r="F70" s="92" t="str">
        <f>Weekly!G62</f>
        <v/>
      </c>
      <c r="G70" s="92" t="str">
        <f>Weekly!H62</f>
        <v/>
      </c>
      <c r="H70" s="48" t="str">
        <f t="shared" ref="H49:H80" si="76">IF(AND($H$12&gt;=$F70,$H$12&lt;$G70),$E70,"")</f>
        <v/>
      </c>
      <c r="I70" s="48" t="str">
        <f t="shared" ref="I49:I80" si="77">IF(AND($I$12&gt;=$F70,$I$12&lt;$G70),$E70,"")</f>
        <v/>
      </c>
      <c r="J70" s="48" t="str">
        <f t="shared" ref="J49:J80" si="78">IF(AND($J$12&gt;=$F70,$J$12&lt;$G70),$E70,"")</f>
        <v/>
      </c>
      <c r="K70" s="84" t="str">
        <f t="shared" ref="K49:K80" si="79">IF(AND($K$12&gt;=$F70,$K$12&lt;$G70),$E70,"")</f>
        <v/>
      </c>
      <c r="L70" s="82" t="str">
        <f t="shared" ref="L49:L80" si="80">IF(AND($L$12&gt;=$F70,$L$12&lt;$G70),$E70,"")</f>
        <v/>
      </c>
      <c r="M70" s="48" t="str">
        <f t="shared" ref="M49:M80" si="81">IF(AND($M$12&gt;=$F70,$M$12&lt;$G70),$E70,"")</f>
        <v/>
      </c>
      <c r="N70" s="48" t="str">
        <f t="shared" ref="N49:N80" si="82">IF(AND($N$12&gt;=$F70,$N$12&lt;$G70),$E70,"")</f>
        <v/>
      </c>
      <c r="O70" s="84" t="str">
        <f t="shared" ref="O49:O80" si="83">IF(AND($O$12&gt;=$F70,$O$12&lt;$G70),$E70,"")</f>
        <v/>
      </c>
      <c r="P70" s="82" t="str">
        <f t="shared" ref="P49:P80" si="84">IF(AND($P$12&gt;=$F70,$P$12&lt;$G70),$E70,"")</f>
        <v/>
      </c>
      <c r="Q70" s="48" t="str">
        <f t="shared" ref="Q49:Q80" si="85">IF(AND($Q$12&gt;=$F70,$Q$12&lt;$G70),$E70,"")</f>
        <v/>
      </c>
      <c r="R70" s="48" t="str">
        <f t="shared" ref="R49:R80" si="86">IF(AND($R$12&gt;=$F70,$R$12&lt;$G70),$E70,"")</f>
        <v/>
      </c>
      <c r="S70" s="84" t="str">
        <f t="shared" ref="S49:S80" si="87">IF(AND($S$12&gt;=$F70,$S$12&lt;$G70),$E70,"")</f>
        <v/>
      </c>
      <c r="T70" s="82" t="str">
        <f t="shared" ref="T49:T80" si="88">IF(AND($T$12&gt;=$F70,$T$12&lt;$G70),$E70,"")</f>
        <v/>
      </c>
      <c r="U70" s="48" t="str">
        <f t="shared" ref="U49:U80" si="89">IF(AND($U$12&gt;=$F70,$U$12&lt;$G70),$E70,"")</f>
        <v/>
      </c>
      <c r="V70" s="48" t="str">
        <f t="shared" ref="V49:V80" si="90">IF(AND($V$12&gt;=$F70,$V$12&lt;$G70),$E70,"")</f>
        <v/>
      </c>
      <c r="W70" s="84" t="str">
        <f t="shared" ref="W49:W80" si="91">IF(AND($W$12&gt;=$F70,$W$12&lt;$G70),$E70,"")</f>
        <v/>
      </c>
      <c r="X70" s="82" t="str">
        <f t="shared" ref="X49:X80" si="92">IF(AND($X$12&gt;=$F70,$X$12&lt;$G70),$E70,"")</f>
        <v/>
      </c>
      <c r="Y70" s="48" t="str">
        <f t="shared" ref="Y49:Y80" si="93">IF(AND($Y$12&gt;=$F70,$Y$12&lt;$G70),$E70,"")</f>
        <v/>
      </c>
      <c r="Z70" s="48" t="str">
        <f t="shared" ref="Z49:Z80" si="94">IF(AND($Z$12&gt;=$F70,$Z$12&lt;$G70),$E70,"")</f>
        <v/>
      </c>
      <c r="AA70" s="84" t="str">
        <f t="shared" ref="AA49:AA80" si="95">IF(AND($AA$12&gt;=$F70,$AA$12&lt;$G70),$E70,"")</f>
        <v/>
      </c>
      <c r="AB70" s="82" t="str">
        <f t="shared" ref="AB49:AB80" si="96">IF(AND($AB$12&gt;=$F70,$AB$12&lt;$G70),$E70,"")</f>
        <v/>
      </c>
      <c r="AC70" s="48" t="str">
        <f t="shared" ref="AC49:AC80" si="97">IF(AND($AC$12&gt;=$F70,$AC$12&lt;$G70),$E70,"")</f>
        <v/>
      </c>
      <c r="AD70" s="48" t="str">
        <f t="shared" ref="AD49:AD80" si="98">IF(AND($AD$12&gt;=$F70,$AD$12&lt;$G70),$E70,"")</f>
        <v/>
      </c>
      <c r="AE70" s="84" t="str">
        <f t="shared" ref="AE49:AE80" si="99">IF(AND($AE$12&gt;=$F70,$AE$12&lt;$G70),$E70,"")</f>
        <v/>
      </c>
      <c r="AF70" s="82" t="str">
        <f t="shared" ref="AF49:AF80" si="100">IF(AND($AF$12&gt;=$F70,$AF$12&lt;$G70),$E70,"")</f>
        <v/>
      </c>
      <c r="AG70" s="48" t="str">
        <f t="shared" ref="AG49:AG80" si="101">IF(AND($AG$12&gt;=$F70,$AG$12&lt;$G70),$E70,"")</f>
        <v/>
      </c>
      <c r="AH70" s="48" t="str">
        <f t="shared" ref="AH49:AH80" si="102">IF(AND($AH$12&gt;=$F70,$AH$12&lt;$G70),$E70,"")</f>
        <v/>
      </c>
      <c r="AI70" s="84" t="str">
        <f t="shared" ref="AI49:AI80" si="103">IF(AND($AI$12&gt;=$F70,$AI$12&lt;$G70),$E70,"")</f>
        <v/>
      </c>
      <c r="AJ70" s="82" t="str">
        <f t="shared" ref="AJ49:AJ80" si="104">IF(AND($AJ$12&gt;=$F70,$AJ$12&lt;$G70),$E70,"")</f>
        <v/>
      </c>
      <c r="AK70" s="48" t="str">
        <f t="shared" ref="AK49:AK80" si="105">IF(AND($AK$12&gt;=$F70,$AK$12&lt;$G70),$E70,"")</f>
        <v/>
      </c>
      <c r="AL70" s="48" t="str">
        <f t="shared" ref="AL49:AL80" si="106">IF(AND($AL$12&gt;=$F70,$AL$12&lt;$G70),$E70,"")</f>
        <v/>
      </c>
      <c r="AM70" s="84" t="str">
        <f t="shared" ref="AM49:AM80" si="107">IF(AND($AM$12&gt;=$F70,$AM$12&lt;$G70),$E70,"")</f>
        <v/>
      </c>
      <c r="AN70" s="82" t="str">
        <f t="shared" ref="AN49:AN80" si="108">IF(AND($AN$12&gt;=$F70,$AN$12&lt;$G70),$E70,"")</f>
        <v/>
      </c>
      <c r="AO70" s="48" t="str">
        <f t="shared" ref="AO49:AO80" si="109">IF(AND($AO$12&gt;=$F70,$AO$12&lt;$G70),$E70,"")</f>
        <v/>
      </c>
      <c r="AP70" s="48" t="str">
        <f t="shared" ref="AP49:AP80" si="110">IF(AND($AP$12&gt;=$F70,$AP$12&lt;$G70),$E70,"")</f>
        <v/>
      </c>
      <c r="AQ70" s="84" t="str">
        <f t="shared" ref="AQ49:AQ80" si="111">IF(AND($AQ$12&gt;=$F70,$AQ$12&lt;$G70),$E70,"")</f>
        <v/>
      </c>
      <c r="AR70" s="82" t="str">
        <f t="shared" ref="AR49:AR80" si="112">IF(AND($AR$12&gt;=$F70,$AR$12&lt;$G70),$E70,"")</f>
        <v/>
      </c>
      <c r="AS70" s="48" t="str">
        <f t="shared" ref="AS49:AS80" si="113">IF(AND($AS$12&gt;=$F70,$AS$12&lt;$G70),$E70,"")</f>
        <v/>
      </c>
      <c r="AT70" s="48" t="str">
        <f t="shared" ref="AT49:AT80" si="114">IF(AND($AT$12&gt;=$F70,$AT$12&lt;$G70),$E70,"")</f>
        <v/>
      </c>
      <c r="AU70" s="84" t="str">
        <f t="shared" ref="AU49:AU80" si="115">IF(AND($AU$12&gt;=$F70,$AU$12&lt;$G70),$E70,"")</f>
        <v/>
      </c>
      <c r="AV70" s="82" t="str">
        <f t="shared" ref="AV49:AV80" si="116">IF(AND($AV$12&gt;=$F70,$AV$12&lt;$G70),$E70,"")</f>
        <v/>
      </c>
      <c r="AW70" s="48" t="str">
        <f t="shared" ref="AW49:AW80" si="117">IF(AND($AW$12&gt;=$F70,$AW$12&lt;$G70),$E70,"")</f>
        <v/>
      </c>
      <c r="AX70" s="48" t="str">
        <f t="shared" ref="AX49:AX80" si="118">IF(AND($AX$12&gt;=$F70,$AX$12&lt;$G70),$E70,"")</f>
        <v/>
      </c>
      <c r="AY70" s="84" t="str">
        <f t="shared" ref="AY49:AY80" si="119">IF(AND($AY$12&gt;=$F70,$AY$12&lt;$G70),$E70,"")</f>
        <v/>
      </c>
      <c r="AZ70" s="82" t="str">
        <f t="shared" ref="AZ49:AZ80" si="120">IF(AND($AZ$12&gt;=$F70,$AZ$12&lt;$G70),$E70,"")</f>
        <v/>
      </c>
      <c r="BA70" s="48" t="str">
        <f t="shared" ref="BA49:BA80" si="121">IF(AND($BA$12&gt;=$F70,$BA$12&lt;$G70),$E70,"")</f>
        <v/>
      </c>
      <c r="BB70" s="48" t="str">
        <f t="shared" ref="BB49:BB80" si="122">IF(AND($BB$12&gt;=$F70,$BB$12&lt;$G70),$E70,"")</f>
        <v/>
      </c>
      <c r="BC70" s="84" t="str">
        <f t="shared" ref="BC49:BC80" si="123">IF(AND($BC$12&gt;=$F70,$BC$12&lt;$G70),$E70,"")</f>
        <v/>
      </c>
      <c r="BD70" s="82" t="str">
        <f t="shared" ref="BD49:BD80" si="124">IF(AND($BD$12&gt;=$F70,$BD$12&lt;$G70),$E70,"")</f>
        <v/>
      </c>
      <c r="BE70" s="48" t="str">
        <f t="shared" ref="BE49:BE80" si="125">IF(AND($BE$12&gt;=$F70,$BE$12&lt;$G70),$E70,"")</f>
        <v/>
      </c>
      <c r="BF70" s="48" t="str">
        <f t="shared" ref="BF49:BF80" si="126">IF(AND($BF$12&gt;=$F70,$BF$12&lt;$G70),$E70,"")</f>
        <v/>
      </c>
      <c r="BG70" s="84" t="str">
        <f t="shared" ref="BG49:BG80" si="127">IF(AND($BG$12&gt;=$F70,$BG$12&lt;$G70),$E70,"")</f>
        <v/>
      </c>
      <c r="BH70" s="87" t="str">
        <f t="shared" ref="BH49:BH80" si="128">IF(AND($BH$12&gt;=$F70,$BH$12&lt;$G70),$E70,"")</f>
        <v/>
      </c>
      <c r="BI70" s="49" t="str">
        <f t="shared" ref="BI49:BI80" si="129">IF(AND($BI$12&gt;=$F70,$BI$12&lt;$G70),$E70,"")</f>
        <v/>
      </c>
      <c r="BJ70" s="49" t="str">
        <f t="shared" ref="BJ49:BJ80" si="130">IF(AND($BJ$12&gt;=$F70,$BJ$12&lt;$G70),$E70,"")</f>
        <v/>
      </c>
      <c r="BK70" s="89" t="str">
        <f t="shared" ref="BK49:BK80" si="131">IF(AND($BK$12&gt;=$F70,$BK$12&lt;$G70),$E70,"")</f>
        <v/>
      </c>
      <c r="BL70" s="87" t="str">
        <f t="shared" ref="BL49:BL80" si="132">IF(AND($BL$12&gt;=$F70,$BL$12&lt;$G70),$E70,"")</f>
        <v/>
      </c>
      <c r="BM70" s="49" t="str">
        <f t="shared" ref="BM49:BM80" si="133">IF(AND($BM$12&gt;=$F70,$BM$12&lt;$G70),$E70,"")</f>
        <v/>
      </c>
      <c r="BN70" s="49" t="str">
        <f t="shared" ref="BN49:BN80" si="134">IF(AND($BN$12&gt;=$F70,$BN$12&lt;$G70),$E70,"")</f>
        <v/>
      </c>
      <c r="BO70" s="89" t="str">
        <f t="shared" ref="BO49:BO80" si="135">IF(AND($BO$12&gt;=$F70,$BO$12&lt;$G70),$E70,"")</f>
        <v/>
      </c>
      <c r="BP70" s="87" t="str">
        <f t="shared" ref="BP49:BP80" si="136">IF(AND($BP$12&gt;=$F70,$BP$12&lt;$G70),$E70,"")</f>
        <v/>
      </c>
      <c r="BQ70" s="49" t="str">
        <f t="shared" ref="BQ49:BQ80" si="137">IF(AND($BQ$12&gt;=$F70,$BQ$12&lt;$G70),$E70,"")</f>
        <v/>
      </c>
      <c r="BR70" s="49" t="str">
        <f t="shared" ref="BR49:BR80" si="138">IF(AND($BR$12&gt;=$F70,$BR$12&lt;$G70),$E70,"")</f>
        <v/>
      </c>
      <c r="BS70" s="89" t="str">
        <f t="shared" ref="BS49:BS80" si="139">IF(AND($BS$12&gt;=$F70,$BS$12&lt;$G70),$E70,"")</f>
        <v/>
      </c>
      <c r="BT70" s="87" t="str">
        <f t="shared" ref="BT49:BT80" si="140">IF(AND($BT$12&gt;=$F70,$BT$12&lt;$G70),$E70,"")</f>
        <v/>
      </c>
    </row>
    <row r="71" spans="2:72" s="93" customFormat="1" hidden="1">
      <c r="B71" s="81">
        <f>Weekly!B63</f>
        <v>0</v>
      </c>
      <c r="C71" s="90">
        <f>Weekly!C63</f>
        <v>0</v>
      </c>
      <c r="D71" s="90" t="str">
        <f>Weekly!D30</f>
        <v>Zhang</v>
      </c>
      <c r="E71" s="91" t="e">
        <f>VLOOKUP(B71,Team!$B$4:$E$183,4,FALSE)</f>
        <v>#N/A</v>
      </c>
      <c r="F71" s="92" t="str">
        <f>Weekly!G63</f>
        <v/>
      </c>
      <c r="G71" s="92" t="str">
        <f>Weekly!H63</f>
        <v/>
      </c>
      <c r="H71" s="48" t="str">
        <f t="shared" si="76"/>
        <v/>
      </c>
      <c r="I71" s="48" t="str">
        <f t="shared" si="77"/>
        <v/>
      </c>
      <c r="J71" s="48" t="str">
        <f t="shared" si="78"/>
        <v/>
      </c>
      <c r="K71" s="84" t="str">
        <f t="shared" si="79"/>
        <v/>
      </c>
      <c r="L71" s="82" t="str">
        <f t="shared" si="80"/>
        <v/>
      </c>
      <c r="M71" s="48" t="str">
        <f t="shared" si="81"/>
        <v/>
      </c>
      <c r="N71" s="48" t="str">
        <f t="shared" si="82"/>
        <v/>
      </c>
      <c r="O71" s="84" t="str">
        <f t="shared" si="83"/>
        <v/>
      </c>
      <c r="P71" s="82" t="str">
        <f t="shared" si="84"/>
        <v/>
      </c>
      <c r="Q71" s="48" t="str">
        <f t="shared" si="85"/>
        <v/>
      </c>
      <c r="R71" s="48" t="str">
        <f t="shared" si="86"/>
        <v/>
      </c>
      <c r="S71" s="84" t="str">
        <f t="shared" si="87"/>
        <v/>
      </c>
      <c r="T71" s="82" t="str">
        <f t="shared" si="88"/>
        <v/>
      </c>
      <c r="U71" s="48" t="str">
        <f t="shared" si="89"/>
        <v/>
      </c>
      <c r="V71" s="48" t="str">
        <f t="shared" si="90"/>
        <v/>
      </c>
      <c r="W71" s="84" t="str">
        <f t="shared" si="91"/>
        <v/>
      </c>
      <c r="X71" s="82" t="str">
        <f t="shared" si="92"/>
        <v/>
      </c>
      <c r="Y71" s="48" t="str">
        <f t="shared" si="93"/>
        <v/>
      </c>
      <c r="Z71" s="48" t="str">
        <f t="shared" si="94"/>
        <v/>
      </c>
      <c r="AA71" s="84" t="str">
        <f t="shared" si="95"/>
        <v/>
      </c>
      <c r="AB71" s="82" t="str">
        <f t="shared" si="96"/>
        <v/>
      </c>
      <c r="AC71" s="48" t="str">
        <f t="shared" si="97"/>
        <v/>
      </c>
      <c r="AD71" s="48" t="str">
        <f t="shared" si="98"/>
        <v/>
      </c>
      <c r="AE71" s="84" t="str">
        <f t="shared" si="99"/>
        <v/>
      </c>
      <c r="AF71" s="82" t="str">
        <f t="shared" si="100"/>
        <v/>
      </c>
      <c r="AG71" s="48" t="str">
        <f t="shared" si="101"/>
        <v/>
      </c>
      <c r="AH71" s="48" t="str">
        <f t="shared" si="102"/>
        <v/>
      </c>
      <c r="AI71" s="84" t="str">
        <f t="shared" si="103"/>
        <v/>
      </c>
      <c r="AJ71" s="82" t="str">
        <f t="shared" si="104"/>
        <v/>
      </c>
      <c r="AK71" s="48" t="str">
        <f t="shared" si="105"/>
        <v/>
      </c>
      <c r="AL71" s="48" t="str">
        <f t="shared" si="106"/>
        <v/>
      </c>
      <c r="AM71" s="84" t="str">
        <f t="shared" si="107"/>
        <v/>
      </c>
      <c r="AN71" s="82" t="str">
        <f t="shared" si="108"/>
        <v/>
      </c>
      <c r="AO71" s="48" t="str">
        <f t="shared" si="109"/>
        <v/>
      </c>
      <c r="AP71" s="48" t="str">
        <f t="shared" si="110"/>
        <v/>
      </c>
      <c r="AQ71" s="84" t="str">
        <f t="shared" si="111"/>
        <v/>
      </c>
      <c r="AR71" s="82" t="str">
        <f t="shared" si="112"/>
        <v/>
      </c>
      <c r="AS71" s="48" t="str">
        <f t="shared" si="113"/>
        <v/>
      </c>
      <c r="AT71" s="48" t="str">
        <f t="shared" si="114"/>
        <v/>
      </c>
      <c r="AU71" s="84" t="str">
        <f t="shared" si="115"/>
        <v/>
      </c>
      <c r="AV71" s="82" t="str">
        <f t="shared" si="116"/>
        <v/>
      </c>
      <c r="AW71" s="48" t="str">
        <f t="shared" si="117"/>
        <v/>
      </c>
      <c r="AX71" s="48" t="str">
        <f t="shared" si="118"/>
        <v/>
      </c>
      <c r="AY71" s="84" t="str">
        <f t="shared" si="119"/>
        <v/>
      </c>
      <c r="AZ71" s="82" t="str">
        <f t="shared" si="120"/>
        <v/>
      </c>
      <c r="BA71" s="48" t="str">
        <f t="shared" si="121"/>
        <v/>
      </c>
      <c r="BB71" s="48" t="str">
        <f t="shared" si="122"/>
        <v/>
      </c>
      <c r="BC71" s="84" t="str">
        <f t="shared" si="123"/>
        <v/>
      </c>
      <c r="BD71" s="82" t="str">
        <f t="shared" si="124"/>
        <v/>
      </c>
      <c r="BE71" s="48" t="str">
        <f t="shared" si="125"/>
        <v/>
      </c>
      <c r="BF71" s="48" t="str">
        <f t="shared" si="126"/>
        <v/>
      </c>
      <c r="BG71" s="84" t="str">
        <f t="shared" si="127"/>
        <v/>
      </c>
      <c r="BH71" s="87" t="str">
        <f t="shared" si="128"/>
        <v/>
      </c>
      <c r="BI71" s="49" t="str">
        <f t="shared" si="129"/>
        <v/>
      </c>
      <c r="BJ71" s="49" t="str">
        <f t="shared" si="130"/>
        <v/>
      </c>
      <c r="BK71" s="89" t="str">
        <f t="shared" si="131"/>
        <v/>
      </c>
      <c r="BL71" s="87" t="str">
        <f t="shared" si="132"/>
        <v/>
      </c>
      <c r="BM71" s="49" t="str">
        <f t="shared" si="133"/>
        <v/>
      </c>
      <c r="BN71" s="49" t="str">
        <f t="shared" si="134"/>
        <v/>
      </c>
      <c r="BO71" s="89" t="str">
        <f t="shared" si="135"/>
        <v/>
      </c>
      <c r="BP71" s="87" t="str">
        <f t="shared" si="136"/>
        <v/>
      </c>
      <c r="BQ71" s="49" t="str">
        <f t="shared" si="137"/>
        <v/>
      </c>
      <c r="BR71" s="49" t="str">
        <f t="shared" si="138"/>
        <v/>
      </c>
      <c r="BS71" s="89" t="str">
        <f t="shared" si="139"/>
        <v/>
      </c>
      <c r="BT71" s="87" t="str">
        <f t="shared" si="140"/>
        <v/>
      </c>
    </row>
    <row r="72" spans="2:72" s="93" customFormat="1" hidden="1">
      <c r="B72" s="81">
        <f>Weekly!B64</f>
        <v>0</v>
      </c>
      <c r="C72" s="90">
        <f>Weekly!C64</f>
        <v>0</v>
      </c>
      <c r="D72" s="90" t="str">
        <f>Weekly!D11</f>
        <v>Prashanth</v>
      </c>
      <c r="E72" s="91" t="e">
        <f>VLOOKUP(B72,Team!$B$4:$E$183,4,FALSE)</f>
        <v>#N/A</v>
      </c>
      <c r="F72" s="92" t="str">
        <f>Weekly!G64</f>
        <v/>
      </c>
      <c r="G72" s="92" t="str">
        <f>Weekly!H64</f>
        <v/>
      </c>
      <c r="H72" s="48" t="str">
        <f t="shared" si="76"/>
        <v/>
      </c>
      <c r="I72" s="48" t="str">
        <f t="shared" si="77"/>
        <v/>
      </c>
      <c r="J72" s="48" t="str">
        <f t="shared" si="78"/>
        <v/>
      </c>
      <c r="K72" s="84" t="str">
        <f t="shared" si="79"/>
        <v/>
      </c>
      <c r="L72" s="82" t="str">
        <f t="shared" si="80"/>
        <v/>
      </c>
      <c r="M72" s="48" t="str">
        <f t="shared" si="81"/>
        <v/>
      </c>
      <c r="N72" s="48" t="str">
        <f t="shared" si="82"/>
        <v/>
      </c>
      <c r="O72" s="84" t="str">
        <f t="shared" si="83"/>
        <v/>
      </c>
      <c r="P72" s="82" t="str">
        <f t="shared" si="84"/>
        <v/>
      </c>
      <c r="Q72" s="48" t="str">
        <f t="shared" si="85"/>
        <v/>
      </c>
      <c r="R72" s="48" t="str">
        <f t="shared" si="86"/>
        <v/>
      </c>
      <c r="S72" s="84" t="str">
        <f t="shared" si="87"/>
        <v/>
      </c>
      <c r="T72" s="82" t="str">
        <f t="shared" si="88"/>
        <v/>
      </c>
      <c r="U72" s="48" t="str">
        <f t="shared" si="89"/>
        <v/>
      </c>
      <c r="V72" s="48" t="str">
        <f t="shared" si="90"/>
        <v/>
      </c>
      <c r="W72" s="84" t="str">
        <f t="shared" si="91"/>
        <v/>
      </c>
      <c r="X72" s="82" t="str">
        <f t="shared" si="92"/>
        <v/>
      </c>
      <c r="Y72" s="48" t="str">
        <f t="shared" si="93"/>
        <v/>
      </c>
      <c r="Z72" s="48" t="str">
        <f t="shared" si="94"/>
        <v/>
      </c>
      <c r="AA72" s="84" t="str">
        <f t="shared" si="95"/>
        <v/>
      </c>
      <c r="AB72" s="82" t="str">
        <f t="shared" si="96"/>
        <v/>
      </c>
      <c r="AC72" s="48" t="str">
        <f t="shared" si="97"/>
        <v/>
      </c>
      <c r="AD72" s="48" t="str">
        <f t="shared" si="98"/>
        <v/>
      </c>
      <c r="AE72" s="84" t="str">
        <f t="shared" si="99"/>
        <v/>
      </c>
      <c r="AF72" s="82" t="str">
        <f t="shared" si="100"/>
        <v/>
      </c>
      <c r="AG72" s="48" t="str">
        <f t="shared" si="101"/>
        <v/>
      </c>
      <c r="AH72" s="48" t="str">
        <f t="shared" si="102"/>
        <v/>
      </c>
      <c r="AI72" s="84" t="str">
        <f t="shared" si="103"/>
        <v/>
      </c>
      <c r="AJ72" s="82" t="str">
        <f t="shared" si="104"/>
        <v/>
      </c>
      <c r="AK72" s="48" t="str">
        <f t="shared" si="105"/>
        <v/>
      </c>
      <c r="AL72" s="48" t="str">
        <f t="shared" si="106"/>
        <v/>
      </c>
      <c r="AM72" s="84" t="str">
        <f t="shared" si="107"/>
        <v/>
      </c>
      <c r="AN72" s="82" t="str">
        <f t="shared" si="108"/>
        <v/>
      </c>
      <c r="AO72" s="48" t="str">
        <f t="shared" si="109"/>
        <v/>
      </c>
      <c r="AP72" s="48" t="str">
        <f t="shared" si="110"/>
        <v/>
      </c>
      <c r="AQ72" s="84" t="str">
        <f t="shared" si="111"/>
        <v/>
      </c>
      <c r="AR72" s="82" t="str">
        <f t="shared" si="112"/>
        <v/>
      </c>
      <c r="AS72" s="48" t="str">
        <f t="shared" si="113"/>
        <v/>
      </c>
      <c r="AT72" s="48" t="str">
        <f t="shared" si="114"/>
        <v/>
      </c>
      <c r="AU72" s="84" t="str">
        <f t="shared" si="115"/>
        <v/>
      </c>
      <c r="AV72" s="82" t="str">
        <f t="shared" si="116"/>
        <v/>
      </c>
      <c r="AW72" s="48" t="str">
        <f t="shared" si="117"/>
        <v/>
      </c>
      <c r="AX72" s="48" t="str">
        <f t="shared" si="118"/>
        <v/>
      </c>
      <c r="AY72" s="84" t="str">
        <f t="shared" si="119"/>
        <v/>
      </c>
      <c r="AZ72" s="82" t="str">
        <f t="shared" si="120"/>
        <v/>
      </c>
      <c r="BA72" s="48" t="str">
        <f t="shared" si="121"/>
        <v/>
      </c>
      <c r="BB72" s="48" t="str">
        <f t="shared" si="122"/>
        <v/>
      </c>
      <c r="BC72" s="84" t="str">
        <f t="shared" si="123"/>
        <v/>
      </c>
      <c r="BD72" s="82" t="str">
        <f t="shared" si="124"/>
        <v/>
      </c>
      <c r="BE72" s="48" t="str">
        <f t="shared" si="125"/>
        <v/>
      </c>
      <c r="BF72" s="48" t="str">
        <f t="shared" si="126"/>
        <v/>
      </c>
      <c r="BG72" s="84" t="str">
        <f t="shared" si="127"/>
        <v/>
      </c>
      <c r="BH72" s="87" t="str">
        <f t="shared" si="128"/>
        <v/>
      </c>
      <c r="BI72" s="49" t="str">
        <f t="shared" si="129"/>
        <v/>
      </c>
      <c r="BJ72" s="49" t="str">
        <f t="shared" si="130"/>
        <v/>
      </c>
      <c r="BK72" s="89" t="str">
        <f t="shared" si="131"/>
        <v/>
      </c>
      <c r="BL72" s="87" t="str">
        <f t="shared" si="132"/>
        <v/>
      </c>
      <c r="BM72" s="49" t="str">
        <f t="shared" si="133"/>
        <v/>
      </c>
      <c r="BN72" s="49" t="str">
        <f t="shared" si="134"/>
        <v/>
      </c>
      <c r="BO72" s="89" t="str">
        <f t="shared" si="135"/>
        <v/>
      </c>
      <c r="BP72" s="87" t="str">
        <f t="shared" si="136"/>
        <v/>
      </c>
      <c r="BQ72" s="49" t="str">
        <f t="shared" si="137"/>
        <v/>
      </c>
      <c r="BR72" s="49" t="str">
        <f t="shared" si="138"/>
        <v/>
      </c>
      <c r="BS72" s="89" t="str">
        <f t="shared" si="139"/>
        <v/>
      </c>
      <c r="BT72" s="87" t="str">
        <f t="shared" si="140"/>
        <v/>
      </c>
    </row>
    <row r="73" spans="2:72" s="93" customFormat="1" hidden="1">
      <c r="B73" s="81">
        <f>Weekly!B65</f>
        <v>0</v>
      </c>
      <c r="C73" s="90">
        <f>Weekly!C65</f>
        <v>0</v>
      </c>
      <c r="D73" s="90" t="str">
        <f>Weekly!D33</f>
        <v>Lam</v>
      </c>
      <c r="E73" s="91" t="e">
        <f>VLOOKUP(B73,Team!$B$4:$E$183,4,FALSE)</f>
        <v>#N/A</v>
      </c>
      <c r="F73" s="92" t="str">
        <f>Weekly!G65</f>
        <v/>
      </c>
      <c r="G73" s="92" t="str">
        <f>Weekly!H65</f>
        <v/>
      </c>
      <c r="H73" s="48" t="str">
        <f t="shared" si="76"/>
        <v/>
      </c>
      <c r="I73" s="48" t="str">
        <f t="shared" si="77"/>
        <v/>
      </c>
      <c r="J73" s="48" t="str">
        <f t="shared" si="78"/>
        <v/>
      </c>
      <c r="K73" s="84" t="str">
        <f t="shared" si="79"/>
        <v/>
      </c>
      <c r="L73" s="82" t="str">
        <f t="shared" si="80"/>
        <v/>
      </c>
      <c r="M73" s="48" t="str">
        <f t="shared" si="81"/>
        <v/>
      </c>
      <c r="N73" s="48" t="str">
        <f t="shared" si="82"/>
        <v/>
      </c>
      <c r="O73" s="84" t="str">
        <f t="shared" si="83"/>
        <v/>
      </c>
      <c r="P73" s="82" t="str">
        <f t="shared" si="84"/>
        <v/>
      </c>
      <c r="Q73" s="48" t="str">
        <f t="shared" si="85"/>
        <v/>
      </c>
      <c r="R73" s="48" t="str">
        <f t="shared" si="86"/>
        <v/>
      </c>
      <c r="S73" s="84" t="str">
        <f t="shared" si="87"/>
        <v/>
      </c>
      <c r="T73" s="82" t="str">
        <f t="shared" si="88"/>
        <v/>
      </c>
      <c r="U73" s="48" t="str">
        <f t="shared" si="89"/>
        <v/>
      </c>
      <c r="V73" s="48" t="str">
        <f t="shared" si="90"/>
        <v/>
      </c>
      <c r="W73" s="84" t="str">
        <f t="shared" si="91"/>
        <v/>
      </c>
      <c r="X73" s="82" t="str">
        <f t="shared" si="92"/>
        <v/>
      </c>
      <c r="Y73" s="48" t="str">
        <f t="shared" si="93"/>
        <v/>
      </c>
      <c r="Z73" s="48" t="str">
        <f t="shared" si="94"/>
        <v/>
      </c>
      <c r="AA73" s="84" t="str">
        <f t="shared" si="95"/>
        <v/>
      </c>
      <c r="AB73" s="82" t="str">
        <f t="shared" si="96"/>
        <v/>
      </c>
      <c r="AC73" s="48" t="str">
        <f t="shared" si="97"/>
        <v/>
      </c>
      <c r="AD73" s="48" t="str">
        <f t="shared" si="98"/>
        <v/>
      </c>
      <c r="AE73" s="84" t="str">
        <f t="shared" si="99"/>
        <v/>
      </c>
      <c r="AF73" s="82" t="str">
        <f t="shared" si="100"/>
        <v/>
      </c>
      <c r="AG73" s="48" t="str">
        <f t="shared" si="101"/>
        <v/>
      </c>
      <c r="AH73" s="48" t="str">
        <f t="shared" si="102"/>
        <v/>
      </c>
      <c r="AI73" s="84" t="str">
        <f t="shared" si="103"/>
        <v/>
      </c>
      <c r="AJ73" s="82" t="str">
        <f t="shared" si="104"/>
        <v/>
      </c>
      <c r="AK73" s="48" t="str">
        <f t="shared" si="105"/>
        <v/>
      </c>
      <c r="AL73" s="48" t="str">
        <f t="shared" si="106"/>
        <v/>
      </c>
      <c r="AM73" s="84" t="str">
        <f t="shared" si="107"/>
        <v/>
      </c>
      <c r="AN73" s="82" t="str">
        <f t="shared" si="108"/>
        <v/>
      </c>
      <c r="AO73" s="48" t="str">
        <f t="shared" si="109"/>
        <v/>
      </c>
      <c r="AP73" s="48" t="str">
        <f t="shared" si="110"/>
        <v/>
      </c>
      <c r="AQ73" s="84" t="str">
        <f t="shared" si="111"/>
        <v/>
      </c>
      <c r="AR73" s="82" t="str">
        <f t="shared" si="112"/>
        <v/>
      </c>
      <c r="AS73" s="48" t="str">
        <f t="shared" si="113"/>
        <v/>
      </c>
      <c r="AT73" s="48" t="str">
        <f t="shared" si="114"/>
        <v/>
      </c>
      <c r="AU73" s="84" t="str">
        <f t="shared" si="115"/>
        <v/>
      </c>
      <c r="AV73" s="82" t="str">
        <f t="shared" si="116"/>
        <v/>
      </c>
      <c r="AW73" s="48" t="str">
        <f t="shared" si="117"/>
        <v/>
      </c>
      <c r="AX73" s="48" t="str">
        <f t="shared" si="118"/>
        <v/>
      </c>
      <c r="AY73" s="84" t="str">
        <f t="shared" si="119"/>
        <v/>
      </c>
      <c r="AZ73" s="82" t="str">
        <f t="shared" si="120"/>
        <v/>
      </c>
      <c r="BA73" s="48" t="str">
        <f t="shared" si="121"/>
        <v/>
      </c>
      <c r="BB73" s="48" t="str">
        <f t="shared" si="122"/>
        <v/>
      </c>
      <c r="BC73" s="84" t="str">
        <f t="shared" si="123"/>
        <v/>
      </c>
      <c r="BD73" s="82" t="str">
        <f t="shared" si="124"/>
        <v/>
      </c>
      <c r="BE73" s="48" t="str">
        <f t="shared" si="125"/>
        <v/>
      </c>
      <c r="BF73" s="48" t="str">
        <f t="shared" si="126"/>
        <v/>
      </c>
      <c r="BG73" s="84" t="str">
        <f t="shared" si="127"/>
        <v/>
      </c>
      <c r="BH73" s="87" t="str">
        <f t="shared" si="128"/>
        <v/>
      </c>
      <c r="BI73" s="49" t="str">
        <f t="shared" si="129"/>
        <v/>
      </c>
      <c r="BJ73" s="49" t="str">
        <f t="shared" si="130"/>
        <v/>
      </c>
      <c r="BK73" s="89" t="str">
        <f t="shared" si="131"/>
        <v/>
      </c>
      <c r="BL73" s="87" t="str">
        <f t="shared" si="132"/>
        <v/>
      </c>
      <c r="BM73" s="49" t="str">
        <f t="shared" si="133"/>
        <v/>
      </c>
      <c r="BN73" s="49" t="str">
        <f t="shared" si="134"/>
        <v/>
      </c>
      <c r="BO73" s="89" t="str">
        <f t="shared" si="135"/>
        <v/>
      </c>
      <c r="BP73" s="87" t="str">
        <f t="shared" si="136"/>
        <v/>
      </c>
      <c r="BQ73" s="49" t="str">
        <f t="shared" si="137"/>
        <v/>
      </c>
      <c r="BR73" s="49" t="str">
        <f t="shared" si="138"/>
        <v/>
      </c>
      <c r="BS73" s="89" t="str">
        <f t="shared" si="139"/>
        <v/>
      </c>
      <c r="BT73" s="87" t="str">
        <f t="shared" si="140"/>
        <v/>
      </c>
    </row>
    <row r="74" spans="2:72" s="93" customFormat="1" hidden="1">
      <c r="B74" s="81">
        <f>Weekly!B66</f>
        <v>0</v>
      </c>
      <c r="C74" s="90">
        <f>Weekly!C66</f>
        <v>0</v>
      </c>
      <c r="D74" s="90" t="str">
        <f>Weekly!D12</f>
        <v>Robertson</v>
      </c>
      <c r="E74" s="91" t="e">
        <f>VLOOKUP(B74,Team!$B$4:$E$183,4,FALSE)</f>
        <v>#N/A</v>
      </c>
      <c r="F74" s="92" t="str">
        <f>Weekly!G66</f>
        <v/>
      </c>
      <c r="G74" s="92" t="str">
        <f>Weekly!H66</f>
        <v/>
      </c>
      <c r="H74" s="48" t="str">
        <f t="shared" si="76"/>
        <v/>
      </c>
      <c r="I74" s="48" t="str">
        <f t="shared" si="77"/>
        <v/>
      </c>
      <c r="J74" s="48" t="str">
        <f t="shared" si="78"/>
        <v/>
      </c>
      <c r="K74" s="84" t="str">
        <f t="shared" si="79"/>
        <v/>
      </c>
      <c r="L74" s="82" t="str">
        <f t="shared" si="80"/>
        <v/>
      </c>
      <c r="M74" s="48" t="str">
        <f t="shared" si="81"/>
        <v/>
      </c>
      <c r="N74" s="48" t="str">
        <f t="shared" si="82"/>
        <v/>
      </c>
      <c r="O74" s="84" t="str">
        <f t="shared" si="83"/>
        <v/>
      </c>
      <c r="P74" s="82" t="str">
        <f t="shared" si="84"/>
        <v/>
      </c>
      <c r="Q74" s="48" t="str">
        <f t="shared" si="85"/>
        <v/>
      </c>
      <c r="R74" s="48" t="str">
        <f t="shared" si="86"/>
        <v/>
      </c>
      <c r="S74" s="84" t="str">
        <f t="shared" si="87"/>
        <v/>
      </c>
      <c r="T74" s="82" t="str">
        <f t="shared" si="88"/>
        <v/>
      </c>
      <c r="U74" s="48" t="str">
        <f t="shared" si="89"/>
        <v/>
      </c>
      <c r="V74" s="48" t="str">
        <f t="shared" si="90"/>
        <v/>
      </c>
      <c r="W74" s="84" t="str">
        <f t="shared" si="91"/>
        <v/>
      </c>
      <c r="X74" s="82" t="str">
        <f t="shared" si="92"/>
        <v/>
      </c>
      <c r="Y74" s="48" t="str">
        <f t="shared" si="93"/>
        <v/>
      </c>
      <c r="Z74" s="48" t="str">
        <f t="shared" si="94"/>
        <v/>
      </c>
      <c r="AA74" s="84" t="str">
        <f t="shared" si="95"/>
        <v/>
      </c>
      <c r="AB74" s="82" t="str">
        <f t="shared" si="96"/>
        <v/>
      </c>
      <c r="AC74" s="48" t="str">
        <f t="shared" si="97"/>
        <v/>
      </c>
      <c r="AD74" s="48" t="str">
        <f t="shared" si="98"/>
        <v/>
      </c>
      <c r="AE74" s="84" t="str">
        <f t="shared" si="99"/>
        <v/>
      </c>
      <c r="AF74" s="82" t="str">
        <f t="shared" si="100"/>
        <v/>
      </c>
      <c r="AG74" s="48" t="str">
        <f t="shared" si="101"/>
        <v/>
      </c>
      <c r="AH74" s="48" t="str">
        <f t="shared" si="102"/>
        <v/>
      </c>
      <c r="AI74" s="84" t="str">
        <f t="shared" si="103"/>
        <v/>
      </c>
      <c r="AJ74" s="82" t="str">
        <f t="shared" si="104"/>
        <v/>
      </c>
      <c r="AK74" s="48" t="str">
        <f t="shared" si="105"/>
        <v/>
      </c>
      <c r="AL74" s="48" t="str">
        <f t="shared" si="106"/>
        <v/>
      </c>
      <c r="AM74" s="84" t="str">
        <f t="shared" si="107"/>
        <v/>
      </c>
      <c r="AN74" s="82" t="str">
        <f t="shared" si="108"/>
        <v/>
      </c>
      <c r="AO74" s="48" t="str">
        <f t="shared" si="109"/>
        <v/>
      </c>
      <c r="AP74" s="48" t="str">
        <f t="shared" si="110"/>
        <v/>
      </c>
      <c r="AQ74" s="84" t="str">
        <f t="shared" si="111"/>
        <v/>
      </c>
      <c r="AR74" s="82" t="str">
        <f t="shared" si="112"/>
        <v/>
      </c>
      <c r="AS74" s="48" t="str">
        <f t="shared" si="113"/>
        <v/>
      </c>
      <c r="AT74" s="48" t="str">
        <f t="shared" si="114"/>
        <v/>
      </c>
      <c r="AU74" s="84" t="str">
        <f t="shared" si="115"/>
        <v/>
      </c>
      <c r="AV74" s="82" t="str">
        <f t="shared" si="116"/>
        <v/>
      </c>
      <c r="AW74" s="48" t="str">
        <f t="shared" si="117"/>
        <v/>
      </c>
      <c r="AX74" s="48" t="str">
        <f t="shared" si="118"/>
        <v/>
      </c>
      <c r="AY74" s="84" t="str">
        <f t="shared" si="119"/>
        <v/>
      </c>
      <c r="AZ74" s="82" t="str">
        <f t="shared" si="120"/>
        <v/>
      </c>
      <c r="BA74" s="48" t="str">
        <f t="shared" si="121"/>
        <v/>
      </c>
      <c r="BB74" s="48" t="str">
        <f t="shared" si="122"/>
        <v/>
      </c>
      <c r="BC74" s="84" t="str">
        <f t="shared" si="123"/>
        <v/>
      </c>
      <c r="BD74" s="82" t="str">
        <f t="shared" si="124"/>
        <v/>
      </c>
      <c r="BE74" s="48" t="str">
        <f t="shared" si="125"/>
        <v/>
      </c>
      <c r="BF74" s="48" t="str">
        <f t="shared" si="126"/>
        <v/>
      </c>
      <c r="BG74" s="84" t="str">
        <f t="shared" si="127"/>
        <v/>
      </c>
      <c r="BH74" s="87" t="str">
        <f t="shared" si="128"/>
        <v/>
      </c>
      <c r="BI74" s="49" t="str">
        <f t="shared" si="129"/>
        <v/>
      </c>
      <c r="BJ74" s="49" t="str">
        <f t="shared" si="130"/>
        <v/>
      </c>
      <c r="BK74" s="89" t="str">
        <f t="shared" si="131"/>
        <v/>
      </c>
      <c r="BL74" s="87" t="str">
        <f t="shared" si="132"/>
        <v/>
      </c>
      <c r="BM74" s="49" t="str">
        <f t="shared" si="133"/>
        <v/>
      </c>
      <c r="BN74" s="49" t="str">
        <f t="shared" si="134"/>
        <v/>
      </c>
      <c r="BO74" s="89" t="str">
        <f t="shared" si="135"/>
        <v/>
      </c>
      <c r="BP74" s="87" t="str">
        <f t="shared" si="136"/>
        <v/>
      </c>
      <c r="BQ74" s="49" t="str">
        <f t="shared" si="137"/>
        <v/>
      </c>
      <c r="BR74" s="49" t="str">
        <f t="shared" si="138"/>
        <v/>
      </c>
      <c r="BS74" s="89" t="str">
        <f t="shared" si="139"/>
        <v/>
      </c>
      <c r="BT74" s="87" t="str">
        <f t="shared" si="140"/>
        <v/>
      </c>
    </row>
    <row r="75" spans="2:72" s="93" customFormat="1" hidden="1">
      <c r="B75" s="81">
        <f>Weekly!B67</f>
        <v>0</v>
      </c>
      <c r="C75" s="90">
        <f>Weekly!C67</f>
        <v>0</v>
      </c>
      <c r="D75" s="90" t="str">
        <f>Weekly!D24</f>
        <v>Hwa</v>
      </c>
      <c r="E75" s="91" t="e">
        <f>VLOOKUP(B75,Team!$B$4:$E$183,4,FALSE)</f>
        <v>#N/A</v>
      </c>
      <c r="F75" s="92" t="str">
        <f>Weekly!G67</f>
        <v/>
      </c>
      <c r="G75" s="92" t="str">
        <f>Weekly!H67</f>
        <v/>
      </c>
      <c r="H75" s="48" t="str">
        <f t="shared" si="76"/>
        <v/>
      </c>
      <c r="I75" s="48" t="str">
        <f t="shared" si="77"/>
        <v/>
      </c>
      <c r="J75" s="48" t="str">
        <f t="shared" si="78"/>
        <v/>
      </c>
      <c r="K75" s="84" t="str">
        <f t="shared" si="79"/>
        <v/>
      </c>
      <c r="L75" s="82" t="str">
        <f t="shared" si="80"/>
        <v/>
      </c>
      <c r="M75" s="48" t="str">
        <f t="shared" si="81"/>
        <v/>
      </c>
      <c r="N75" s="48" t="str">
        <f t="shared" si="82"/>
        <v/>
      </c>
      <c r="O75" s="84" t="str">
        <f t="shared" si="83"/>
        <v/>
      </c>
      <c r="P75" s="82" t="str">
        <f t="shared" si="84"/>
        <v/>
      </c>
      <c r="Q75" s="48" t="str">
        <f t="shared" si="85"/>
        <v/>
      </c>
      <c r="R75" s="48" t="str">
        <f t="shared" si="86"/>
        <v/>
      </c>
      <c r="S75" s="84" t="str">
        <f t="shared" si="87"/>
        <v/>
      </c>
      <c r="T75" s="82" t="str">
        <f t="shared" si="88"/>
        <v/>
      </c>
      <c r="U75" s="48" t="str">
        <f t="shared" si="89"/>
        <v/>
      </c>
      <c r="V75" s="48" t="str">
        <f t="shared" si="90"/>
        <v/>
      </c>
      <c r="W75" s="84" t="str">
        <f t="shared" si="91"/>
        <v/>
      </c>
      <c r="X75" s="82" t="str">
        <f t="shared" si="92"/>
        <v/>
      </c>
      <c r="Y75" s="48" t="str">
        <f t="shared" si="93"/>
        <v/>
      </c>
      <c r="Z75" s="48" t="str">
        <f t="shared" si="94"/>
        <v/>
      </c>
      <c r="AA75" s="84" t="str">
        <f t="shared" si="95"/>
        <v/>
      </c>
      <c r="AB75" s="82" t="str">
        <f t="shared" si="96"/>
        <v/>
      </c>
      <c r="AC75" s="48" t="str">
        <f t="shared" si="97"/>
        <v/>
      </c>
      <c r="AD75" s="48" t="str">
        <f t="shared" si="98"/>
        <v/>
      </c>
      <c r="AE75" s="84" t="str">
        <f t="shared" si="99"/>
        <v/>
      </c>
      <c r="AF75" s="82" t="str">
        <f t="shared" si="100"/>
        <v/>
      </c>
      <c r="AG75" s="48" t="str">
        <f t="shared" si="101"/>
        <v/>
      </c>
      <c r="AH75" s="48" t="str">
        <f t="shared" si="102"/>
        <v/>
      </c>
      <c r="AI75" s="84" t="str">
        <f t="shared" si="103"/>
        <v/>
      </c>
      <c r="AJ75" s="82" t="str">
        <f t="shared" si="104"/>
        <v/>
      </c>
      <c r="AK75" s="48" t="str">
        <f t="shared" si="105"/>
        <v/>
      </c>
      <c r="AL75" s="48" t="str">
        <f t="shared" si="106"/>
        <v/>
      </c>
      <c r="AM75" s="84" t="str">
        <f t="shared" si="107"/>
        <v/>
      </c>
      <c r="AN75" s="82" t="str">
        <f t="shared" si="108"/>
        <v/>
      </c>
      <c r="AO75" s="48" t="str">
        <f t="shared" si="109"/>
        <v/>
      </c>
      <c r="AP75" s="48" t="str">
        <f t="shared" si="110"/>
        <v/>
      </c>
      <c r="AQ75" s="84" t="str">
        <f t="shared" si="111"/>
        <v/>
      </c>
      <c r="AR75" s="82" t="str">
        <f t="shared" si="112"/>
        <v/>
      </c>
      <c r="AS75" s="48" t="str">
        <f t="shared" si="113"/>
        <v/>
      </c>
      <c r="AT75" s="48" t="str">
        <f t="shared" si="114"/>
        <v/>
      </c>
      <c r="AU75" s="84" t="str">
        <f t="shared" si="115"/>
        <v/>
      </c>
      <c r="AV75" s="82" t="str">
        <f t="shared" si="116"/>
        <v/>
      </c>
      <c r="AW75" s="48" t="str">
        <f t="shared" si="117"/>
        <v/>
      </c>
      <c r="AX75" s="48" t="str">
        <f t="shared" si="118"/>
        <v/>
      </c>
      <c r="AY75" s="84" t="str">
        <f t="shared" si="119"/>
        <v/>
      </c>
      <c r="AZ75" s="82" t="str">
        <f t="shared" si="120"/>
        <v/>
      </c>
      <c r="BA75" s="48" t="str">
        <f t="shared" si="121"/>
        <v/>
      </c>
      <c r="BB75" s="48" t="str">
        <f t="shared" si="122"/>
        <v/>
      </c>
      <c r="BC75" s="84" t="str">
        <f t="shared" si="123"/>
        <v/>
      </c>
      <c r="BD75" s="82" t="str">
        <f t="shared" si="124"/>
        <v/>
      </c>
      <c r="BE75" s="48" t="str">
        <f t="shared" si="125"/>
        <v/>
      </c>
      <c r="BF75" s="48" t="str">
        <f t="shared" si="126"/>
        <v/>
      </c>
      <c r="BG75" s="84" t="str">
        <f t="shared" si="127"/>
        <v/>
      </c>
      <c r="BH75" s="87" t="str">
        <f t="shared" si="128"/>
        <v/>
      </c>
      <c r="BI75" s="49" t="str">
        <f t="shared" si="129"/>
        <v/>
      </c>
      <c r="BJ75" s="49" t="str">
        <f t="shared" si="130"/>
        <v/>
      </c>
      <c r="BK75" s="89" t="str">
        <f t="shared" si="131"/>
        <v/>
      </c>
      <c r="BL75" s="87" t="str">
        <f t="shared" si="132"/>
        <v/>
      </c>
      <c r="BM75" s="49" t="str">
        <f t="shared" si="133"/>
        <v/>
      </c>
      <c r="BN75" s="49" t="str">
        <f t="shared" si="134"/>
        <v/>
      </c>
      <c r="BO75" s="89" t="str">
        <f t="shared" si="135"/>
        <v/>
      </c>
      <c r="BP75" s="87" t="str">
        <f t="shared" si="136"/>
        <v/>
      </c>
      <c r="BQ75" s="49" t="str">
        <f t="shared" si="137"/>
        <v/>
      </c>
      <c r="BR75" s="49" t="str">
        <f t="shared" si="138"/>
        <v/>
      </c>
      <c r="BS75" s="89" t="str">
        <f t="shared" si="139"/>
        <v/>
      </c>
      <c r="BT75" s="87" t="str">
        <f t="shared" si="140"/>
        <v/>
      </c>
    </row>
    <row r="76" spans="2:72" s="93" customFormat="1" hidden="1">
      <c r="B76" s="81">
        <f>Weekly!B68</f>
        <v>0</v>
      </c>
      <c r="C76" s="90">
        <f>Weekly!C68</f>
        <v>0</v>
      </c>
      <c r="D76" s="90" t="str">
        <f>Weekly!D59</f>
        <v>Shimada</v>
      </c>
      <c r="E76" s="91" t="e">
        <f>VLOOKUP(B76,Team!$B$4:$E$183,4,FALSE)</f>
        <v>#N/A</v>
      </c>
      <c r="F76" s="92" t="str">
        <f>Weekly!G68</f>
        <v/>
      </c>
      <c r="G76" s="92" t="str">
        <f>Weekly!H68</f>
        <v/>
      </c>
      <c r="H76" s="48" t="str">
        <f t="shared" si="76"/>
        <v/>
      </c>
      <c r="I76" s="48" t="str">
        <f t="shared" si="77"/>
        <v/>
      </c>
      <c r="J76" s="48" t="str">
        <f t="shared" si="78"/>
        <v/>
      </c>
      <c r="K76" s="84" t="str">
        <f t="shared" si="79"/>
        <v/>
      </c>
      <c r="L76" s="82" t="str">
        <f t="shared" si="80"/>
        <v/>
      </c>
      <c r="M76" s="48" t="str">
        <f t="shared" si="81"/>
        <v/>
      </c>
      <c r="N76" s="48" t="str">
        <f t="shared" si="82"/>
        <v/>
      </c>
      <c r="O76" s="84" t="str">
        <f t="shared" si="83"/>
        <v/>
      </c>
      <c r="P76" s="82" t="str">
        <f t="shared" si="84"/>
        <v/>
      </c>
      <c r="Q76" s="48" t="str">
        <f t="shared" si="85"/>
        <v/>
      </c>
      <c r="R76" s="48" t="str">
        <f t="shared" si="86"/>
        <v/>
      </c>
      <c r="S76" s="84" t="str">
        <f t="shared" si="87"/>
        <v/>
      </c>
      <c r="T76" s="82" t="str">
        <f t="shared" si="88"/>
        <v/>
      </c>
      <c r="U76" s="48" t="str">
        <f t="shared" si="89"/>
        <v/>
      </c>
      <c r="V76" s="48" t="str">
        <f t="shared" si="90"/>
        <v/>
      </c>
      <c r="W76" s="84" t="str">
        <f t="shared" si="91"/>
        <v/>
      </c>
      <c r="X76" s="82" t="str">
        <f t="shared" si="92"/>
        <v/>
      </c>
      <c r="Y76" s="48" t="str">
        <f t="shared" si="93"/>
        <v/>
      </c>
      <c r="Z76" s="48" t="str">
        <f t="shared" si="94"/>
        <v/>
      </c>
      <c r="AA76" s="84" t="str">
        <f t="shared" si="95"/>
        <v/>
      </c>
      <c r="AB76" s="82" t="str">
        <f t="shared" si="96"/>
        <v/>
      </c>
      <c r="AC76" s="48" t="str">
        <f t="shared" si="97"/>
        <v/>
      </c>
      <c r="AD76" s="48" t="str">
        <f t="shared" si="98"/>
        <v/>
      </c>
      <c r="AE76" s="84" t="str">
        <f t="shared" si="99"/>
        <v/>
      </c>
      <c r="AF76" s="82" t="str">
        <f t="shared" si="100"/>
        <v/>
      </c>
      <c r="AG76" s="48" t="str">
        <f t="shared" si="101"/>
        <v/>
      </c>
      <c r="AH76" s="48" t="str">
        <f t="shared" si="102"/>
        <v/>
      </c>
      <c r="AI76" s="84" t="str">
        <f t="shared" si="103"/>
        <v/>
      </c>
      <c r="AJ76" s="82" t="str">
        <f t="shared" si="104"/>
        <v/>
      </c>
      <c r="AK76" s="48" t="str">
        <f t="shared" si="105"/>
        <v/>
      </c>
      <c r="AL76" s="48" t="str">
        <f t="shared" si="106"/>
        <v/>
      </c>
      <c r="AM76" s="84" t="str">
        <f t="shared" si="107"/>
        <v/>
      </c>
      <c r="AN76" s="82" t="str">
        <f t="shared" si="108"/>
        <v/>
      </c>
      <c r="AO76" s="48" t="str">
        <f t="shared" si="109"/>
        <v/>
      </c>
      <c r="AP76" s="48" t="str">
        <f t="shared" si="110"/>
        <v/>
      </c>
      <c r="AQ76" s="84" t="str">
        <f t="shared" si="111"/>
        <v/>
      </c>
      <c r="AR76" s="82" t="str">
        <f t="shared" si="112"/>
        <v/>
      </c>
      <c r="AS76" s="48" t="str">
        <f t="shared" si="113"/>
        <v/>
      </c>
      <c r="AT76" s="48" t="str">
        <f t="shared" si="114"/>
        <v/>
      </c>
      <c r="AU76" s="84" t="str">
        <f t="shared" si="115"/>
        <v/>
      </c>
      <c r="AV76" s="82" t="str">
        <f t="shared" si="116"/>
        <v/>
      </c>
      <c r="AW76" s="48" t="str">
        <f t="shared" si="117"/>
        <v/>
      </c>
      <c r="AX76" s="48" t="str">
        <f t="shared" si="118"/>
        <v/>
      </c>
      <c r="AY76" s="84" t="str">
        <f t="shared" si="119"/>
        <v/>
      </c>
      <c r="AZ76" s="82" t="str">
        <f t="shared" si="120"/>
        <v/>
      </c>
      <c r="BA76" s="48" t="str">
        <f t="shared" si="121"/>
        <v/>
      </c>
      <c r="BB76" s="48" t="str">
        <f t="shared" si="122"/>
        <v/>
      </c>
      <c r="BC76" s="84" t="str">
        <f t="shared" si="123"/>
        <v/>
      </c>
      <c r="BD76" s="82" t="str">
        <f t="shared" si="124"/>
        <v/>
      </c>
      <c r="BE76" s="48" t="str">
        <f t="shared" si="125"/>
        <v/>
      </c>
      <c r="BF76" s="48" t="str">
        <f t="shared" si="126"/>
        <v/>
      </c>
      <c r="BG76" s="84" t="str">
        <f t="shared" si="127"/>
        <v/>
      </c>
      <c r="BH76" s="87" t="str">
        <f t="shared" si="128"/>
        <v/>
      </c>
      <c r="BI76" s="49" t="str">
        <f t="shared" si="129"/>
        <v/>
      </c>
      <c r="BJ76" s="49" t="str">
        <f t="shared" si="130"/>
        <v/>
      </c>
      <c r="BK76" s="89" t="str">
        <f t="shared" si="131"/>
        <v/>
      </c>
      <c r="BL76" s="87" t="str">
        <f t="shared" si="132"/>
        <v/>
      </c>
      <c r="BM76" s="49" t="str">
        <f t="shared" si="133"/>
        <v/>
      </c>
      <c r="BN76" s="49" t="str">
        <f t="shared" si="134"/>
        <v/>
      </c>
      <c r="BO76" s="89" t="str">
        <f t="shared" si="135"/>
        <v/>
      </c>
      <c r="BP76" s="87" t="str">
        <f t="shared" si="136"/>
        <v/>
      </c>
      <c r="BQ76" s="49" t="str">
        <f t="shared" si="137"/>
        <v/>
      </c>
      <c r="BR76" s="49" t="str">
        <f t="shared" si="138"/>
        <v/>
      </c>
      <c r="BS76" s="89" t="str">
        <f t="shared" si="139"/>
        <v/>
      </c>
      <c r="BT76" s="87" t="str">
        <f t="shared" si="140"/>
        <v/>
      </c>
    </row>
    <row r="77" spans="2:72" s="93" customFormat="1" hidden="1">
      <c r="B77" s="81">
        <f>Weekly!B69</f>
        <v>0</v>
      </c>
      <c r="C77" s="90">
        <f>Weekly!C69</f>
        <v>0</v>
      </c>
      <c r="D77" s="90" t="str">
        <f>Weekly!D61</f>
        <v>Sin</v>
      </c>
      <c r="E77" s="91" t="e">
        <f>VLOOKUP(B77,Team!$B$4:$E$183,4,FALSE)</f>
        <v>#N/A</v>
      </c>
      <c r="F77" s="92" t="str">
        <f>Weekly!G69</f>
        <v/>
      </c>
      <c r="G77" s="92" t="str">
        <f>Weekly!H69</f>
        <v/>
      </c>
      <c r="H77" s="48" t="str">
        <f t="shared" si="76"/>
        <v/>
      </c>
      <c r="I77" s="48" t="str">
        <f t="shared" si="77"/>
        <v/>
      </c>
      <c r="J77" s="48" t="str">
        <f t="shared" si="78"/>
        <v/>
      </c>
      <c r="K77" s="84" t="str">
        <f t="shared" si="79"/>
        <v/>
      </c>
      <c r="L77" s="82" t="str">
        <f t="shared" si="80"/>
        <v/>
      </c>
      <c r="M77" s="48" t="str">
        <f t="shared" si="81"/>
        <v/>
      </c>
      <c r="N77" s="48" t="str">
        <f t="shared" si="82"/>
        <v/>
      </c>
      <c r="O77" s="84" t="str">
        <f t="shared" si="83"/>
        <v/>
      </c>
      <c r="P77" s="82" t="str">
        <f t="shared" si="84"/>
        <v/>
      </c>
      <c r="Q77" s="48" t="str">
        <f t="shared" si="85"/>
        <v/>
      </c>
      <c r="R77" s="48" t="str">
        <f t="shared" si="86"/>
        <v/>
      </c>
      <c r="S77" s="84" t="str">
        <f t="shared" si="87"/>
        <v/>
      </c>
      <c r="T77" s="82" t="str">
        <f t="shared" si="88"/>
        <v/>
      </c>
      <c r="U77" s="48" t="str">
        <f t="shared" si="89"/>
        <v/>
      </c>
      <c r="V77" s="48" t="str">
        <f t="shared" si="90"/>
        <v/>
      </c>
      <c r="W77" s="84" t="str">
        <f t="shared" si="91"/>
        <v/>
      </c>
      <c r="X77" s="82" t="str">
        <f t="shared" si="92"/>
        <v/>
      </c>
      <c r="Y77" s="48" t="str">
        <f t="shared" si="93"/>
        <v/>
      </c>
      <c r="Z77" s="48" t="str">
        <f t="shared" si="94"/>
        <v/>
      </c>
      <c r="AA77" s="84" t="str">
        <f t="shared" si="95"/>
        <v/>
      </c>
      <c r="AB77" s="82" t="str">
        <f t="shared" si="96"/>
        <v/>
      </c>
      <c r="AC77" s="48" t="str">
        <f t="shared" si="97"/>
        <v/>
      </c>
      <c r="AD77" s="48" t="str">
        <f t="shared" si="98"/>
        <v/>
      </c>
      <c r="AE77" s="84" t="str">
        <f t="shared" si="99"/>
        <v/>
      </c>
      <c r="AF77" s="82" t="str">
        <f t="shared" si="100"/>
        <v/>
      </c>
      <c r="AG77" s="48" t="str">
        <f t="shared" si="101"/>
        <v/>
      </c>
      <c r="AH77" s="48" t="str">
        <f t="shared" si="102"/>
        <v/>
      </c>
      <c r="AI77" s="84" t="str">
        <f t="shared" si="103"/>
        <v/>
      </c>
      <c r="AJ77" s="82" t="str">
        <f t="shared" si="104"/>
        <v/>
      </c>
      <c r="AK77" s="48" t="str">
        <f t="shared" si="105"/>
        <v/>
      </c>
      <c r="AL77" s="48" t="str">
        <f t="shared" si="106"/>
        <v/>
      </c>
      <c r="AM77" s="84" t="str">
        <f t="shared" si="107"/>
        <v/>
      </c>
      <c r="AN77" s="82" t="str">
        <f t="shared" si="108"/>
        <v/>
      </c>
      <c r="AO77" s="48" t="str">
        <f t="shared" si="109"/>
        <v/>
      </c>
      <c r="AP77" s="48" t="str">
        <f t="shared" si="110"/>
        <v/>
      </c>
      <c r="AQ77" s="84" t="str">
        <f t="shared" si="111"/>
        <v/>
      </c>
      <c r="AR77" s="82" t="str">
        <f t="shared" si="112"/>
        <v/>
      </c>
      <c r="AS77" s="48" t="str">
        <f t="shared" si="113"/>
        <v/>
      </c>
      <c r="AT77" s="48" t="str">
        <f t="shared" si="114"/>
        <v/>
      </c>
      <c r="AU77" s="84" t="str">
        <f t="shared" si="115"/>
        <v/>
      </c>
      <c r="AV77" s="82" t="str">
        <f t="shared" si="116"/>
        <v/>
      </c>
      <c r="AW77" s="48" t="str">
        <f t="shared" si="117"/>
        <v/>
      </c>
      <c r="AX77" s="48" t="str">
        <f t="shared" si="118"/>
        <v/>
      </c>
      <c r="AY77" s="84" t="str">
        <f t="shared" si="119"/>
        <v/>
      </c>
      <c r="AZ77" s="82" t="str">
        <f t="shared" si="120"/>
        <v/>
      </c>
      <c r="BA77" s="48" t="str">
        <f t="shared" si="121"/>
        <v/>
      </c>
      <c r="BB77" s="48" t="str">
        <f t="shared" si="122"/>
        <v/>
      </c>
      <c r="BC77" s="84" t="str">
        <f t="shared" si="123"/>
        <v/>
      </c>
      <c r="BD77" s="82" t="str">
        <f t="shared" si="124"/>
        <v/>
      </c>
      <c r="BE77" s="48" t="str">
        <f t="shared" si="125"/>
        <v/>
      </c>
      <c r="BF77" s="48" t="str">
        <f t="shared" si="126"/>
        <v/>
      </c>
      <c r="BG77" s="84" t="str">
        <f t="shared" si="127"/>
        <v/>
      </c>
      <c r="BH77" s="87" t="str">
        <f t="shared" si="128"/>
        <v/>
      </c>
      <c r="BI77" s="49" t="str">
        <f t="shared" si="129"/>
        <v/>
      </c>
      <c r="BJ77" s="49" t="str">
        <f t="shared" si="130"/>
        <v/>
      </c>
      <c r="BK77" s="89" t="str">
        <f t="shared" si="131"/>
        <v/>
      </c>
      <c r="BL77" s="87" t="str">
        <f t="shared" si="132"/>
        <v/>
      </c>
      <c r="BM77" s="49" t="str">
        <f t="shared" si="133"/>
        <v/>
      </c>
      <c r="BN77" s="49" t="str">
        <f t="shared" si="134"/>
        <v/>
      </c>
      <c r="BO77" s="89" t="str">
        <f t="shared" si="135"/>
        <v/>
      </c>
      <c r="BP77" s="87" t="str">
        <f t="shared" si="136"/>
        <v/>
      </c>
      <c r="BQ77" s="49" t="str">
        <f t="shared" si="137"/>
        <v/>
      </c>
      <c r="BR77" s="49" t="str">
        <f t="shared" si="138"/>
        <v/>
      </c>
      <c r="BS77" s="89" t="str">
        <f t="shared" si="139"/>
        <v/>
      </c>
      <c r="BT77" s="87" t="str">
        <f t="shared" si="140"/>
        <v/>
      </c>
    </row>
    <row r="78" spans="2:72" s="93" customFormat="1" hidden="1">
      <c r="B78" s="81">
        <f>Weekly!B70</f>
        <v>0</v>
      </c>
      <c r="C78" s="90">
        <f>Weekly!C70</f>
        <v>0</v>
      </c>
      <c r="D78" s="90" t="str">
        <f>Weekly!D35</f>
        <v>Luong</v>
      </c>
      <c r="E78" s="91" t="e">
        <f>VLOOKUP(B78,Team!$B$4:$E$183,4,FALSE)</f>
        <v>#N/A</v>
      </c>
      <c r="F78" s="92" t="str">
        <f>Weekly!G70</f>
        <v/>
      </c>
      <c r="G78" s="92" t="str">
        <f>Weekly!H70</f>
        <v/>
      </c>
      <c r="H78" s="48" t="str">
        <f t="shared" si="76"/>
        <v/>
      </c>
      <c r="I78" s="48" t="str">
        <f t="shared" si="77"/>
        <v/>
      </c>
      <c r="J78" s="48" t="str">
        <f t="shared" si="78"/>
        <v/>
      </c>
      <c r="K78" s="84" t="str">
        <f t="shared" si="79"/>
        <v/>
      </c>
      <c r="L78" s="82" t="str">
        <f t="shared" si="80"/>
        <v/>
      </c>
      <c r="M78" s="48" t="str">
        <f t="shared" si="81"/>
        <v/>
      </c>
      <c r="N78" s="48" t="str">
        <f t="shared" si="82"/>
        <v/>
      </c>
      <c r="O78" s="84" t="str">
        <f t="shared" si="83"/>
        <v/>
      </c>
      <c r="P78" s="82" t="str">
        <f t="shared" si="84"/>
        <v/>
      </c>
      <c r="Q78" s="48" t="str">
        <f t="shared" si="85"/>
        <v/>
      </c>
      <c r="R78" s="48" t="str">
        <f t="shared" si="86"/>
        <v/>
      </c>
      <c r="S78" s="84" t="str">
        <f t="shared" si="87"/>
        <v/>
      </c>
      <c r="T78" s="82" t="str">
        <f t="shared" si="88"/>
        <v/>
      </c>
      <c r="U78" s="48" t="str">
        <f t="shared" si="89"/>
        <v/>
      </c>
      <c r="V78" s="48" t="str">
        <f t="shared" si="90"/>
        <v/>
      </c>
      <c r="W78" s="84" t="str">
        <f t="shared" si="91"/>
        <v/>
      </c>
      <c r="X78" s="82" t="str">
        <f t="shared" si="92"/>
        <v/>
      </c>
      <c r="Y78" s="48" t="str">
        <f t="shared" si="93"/>
        <v/>
      </c>
      <c r="Z78" s="48" t="str">
        <f t="shared" si="94"/>
        <v/>
      </c>
      <c r="AA78" s="84" t="str">
        <f t="shared" si="95"/>
        <v/>
      </c>
      <c r="AB78" s="82" t="str">
        <f t="shared" si="96"/>
        <v/>
      </c>
      <c r="AC78" s="48" t="str">
        <f t="shared" si="97"/>
        <v/>
      </c>
      <c r="AD78" s="48" t="str">
        <f t="shared" si="98"/>
        <v/>
      </c>
      <c r="AE78" s="84" t="str">
        <f t="shared" si="99"/>
        <v/>
      </c>
      <c r="AF78" s="82" t="str">
        <f t="shared" si="100"/>
        <v/>
      </c>
      <c r="AG78" s="48" t="str">
        <f t="shared" si="101"/>
        <v/>
      </c>
      <c r="AH78" s="48" t="str">
        <f t="shared" si="102"/>
        <v/>
      </c>
      <c r="AI78" s="84" t="str">
        <f t="shared" si="103"/>
        <v/>
      </c>
      <c r="AJ78" s="82" t="str">
        <f t="shared" si="104"/>
        <v/>
      </c>
      <c r="AK78" s="48" t="str">
        <f t="shared" si="105"/>
        <v/>
      </c>
      <c r="AL78" s="48" t="str">
        <f t="shared" si="106"/>
        <v/>
      </c>
      <c r="AM78" s="84" t="str">
        <f t="shared" si="107"/>
        <v/>
      </c>
      <c r="AN78" s="82" t="str">
        <f t="shared" si="108"/>
        <v/>
      </c>
      <c r="AO78" s="48" t="str">
        <f t="shared" si="109"/>
        <v/>
      </c>
      <c r="AP78" s="48" t="str">
        <f t="shared" si="110"/>
        <v/>
      </c>
      <c r="AQ78" s="84" t="str">
        <f t="shared" si="111"/>
        <v/>
      </c>
      <c r="AR78" s="82" t="str">
        <f t="shared" si="112"/>
        <v/>
      </c>
      <c r="AS78" s="48" t="str">
        <f t="shared" si="113"/>
        <v/>
      </c>
      <c r="AT78" s="48" t="str">
        <f t="shared" si="114"/>
        <v/>
      </c>
      <c r="AU78" s="84" t="str">
        <f t="shared" si="115"/>
        <v/>
      </c>
      <c r="AV78" s="82" t="str">
        <f t="shared" si="116"/>
        <v/>
      </c>
      <c r="AW78" s="48" t="str">
        <f t="shared" si="117"/>
        <v/>
      </c>
      <c r="AX78" s="48" t="str">
        <f t="shared" si="118"/>
        <v/>
      </c>
      <c r="AY78" s="84" t="str">
        <f t="shared" si="119"/>
        <v/>
      </c>
      <c r="AZ78" s="82" t="str">
        <f t="shared" si="120"/>
        <v/>
      </c>
      <c r="BA78" s="48" t="str">
        <f t="shared" si="121"/>
        <v/>
      </c>
      <c r="BB78" s="48" t="str">
        <f t="shared" si="122"/>
        <v/>
      </c>
      <c r="BC78" s="84" t="str">
        <f t="shared" si="123"/>
        <v/>
      </c>
      <c r="BD78" s="82" t="str">
        <f t="shared" si="124"/>
        <v/>
      </c>
      <c r="BE78" s="48" t="str">
        <f t="shared" si="125"/>
        <v/>
      </c>
      <c r="BF78" s="48" t="str">
        <f t="shared" si="126"/>
        <v/>
      </c>
      <c r="BG78" s="84" t="str">
        <f t="shared" si="127"/>
        <v/>
      </c>
      <c r="BH78" s="87" t="str">
        <f t="shared" si="128"/>
        <v/>
      </c>
      <c r="BI78" s="49" t="str">
        <f t="shared" si="129"/>
        <v/>
      </c>
      <c r="BJ78" s="49" t="str">
        <f t="shared" si="130"/>
        <v/>
      </c>
      <c r="BK78" s="89" t="str">
        <f t="shared" si="131"/>
        <v/>
      </c>
      <c r="BL78" s="87" t="str">
        <f t="shared" si="132"/>
        <v/>
      </c>
      <c r="BM78" s="49" t="str">
        <f t="shared" si="133"/>
        <v/>
      </c>
      <c r="BN78" s="49" t="str">
        <f t="shared" si="134"/>
        <v/>
      </c>
      <c r="BO78" s="89" t="str">
        <f t="shared" si="135"/>
        <v/>
      </c>
      <c r="BP78" s="87" t="str">
        <f t="shared" si="136"/>
        <v/>
      </c>
      <c r="BQ78" s="49" t="str">
        <f t="shared" si="137"/>
        <v/>
      </c>
      <c r="BR78" s="49" t="str">
        <f t="shared" si="138"/>
        <v/>
      </c>
      <c r="BS78" s="89" t="str">
        <f t="shared" si="139"/>
        <v/>
      </c>
      <c r="BT78" s="87" t="str">
        <f t="shared" si="140"/>
        <v/>
      </c>
    </row>
    <row r="79" spans="2:72" s="93" customFormat="1" hidden="1">
      <c r="B79" s="81">
        <f>Weekly!B71</f>
        <v>0</v>
      </c>
      <c r="C79" s="90">
        <f>Weekly!C71</f>
        <v>0</v>
      </c>
      <c r="D79" s="90" t="str">
        <f>Weekly!D40</f>
        <v>Huynh</v>
      </c>
      <c r="E79" s="91" t="e">
        <f>VLOOKUP(B79,Team!$B$4:$E$183,4,FALSE)</f>
        <v>#N/A</v>
      </c>
      <c r="F79" s="92" t="str">
        <f>Weekly!G71</f>
        <v/>
      </c>
      <c r="G79" s="92" t="str">
        <f>Weekly!H71</f>
        <v/>
      </c>
      <c r="H79" s="48" t="str">
        <f t="shared" si="76"/>
        <v/>
      </c>
      <c r="I79" s="48" t="str">
        <f t="shared" si="77"/>
        <v/>
      </c>
      <c r="J79" s="48" t="str">
        <f t="shared" si="78"/>
        <v/>
      </c>
      <c r="K79" s="84" t="str">
        <f t="shared" si="79"/>
        <v/>
      </c>
      <c r="L79" s="82" t="str">
        <f t="shared" si="80"/>
        <v/>
      </c>
      <c r="M79" s="48" t="str">
        <f t="shared" si="81"/>
        <v/>
      </c>
      <c r="N79" s="48" t="str">
        <f t="shared" si="82"/>
        <v/>
      </c>
      <c r="O79" s="84" t="str">
        <f t="shared" si="83"/>
        <v/>
      </c>
      <c r="P79" s="82" t="str">
        <f t="shared" si="84"/>
        <v/>
      </c>
      <c r="Q79" s="48" t="str">
        <f t="shared" si="85"/>
        <v/>
      </c>
      <c r="R79" s="48" t="str">
        <f t="shared" si="86"/>
        <v/>
      </c>
      <c r="S79" s="84" t="str">
        <f t="shared" si="87"/>
        <v/>
      </c>
      <c r="T79" s="82" t="str">
        <f t="shared" si="88"/>
        <v/>
      </c>
      <c r="U79" s="48" t="str">
        <f t="shared" si="89"/>
        <v/>
      </c>
      <c r="V79" s="48" t="str">
        <f t="shared" si="90"/>
        <v/>
      </c>
      <c r="W79" s="84" t="str">
        <f t="shared" si="91"/>
        <v/>
      </c>
      <c r="X79" s="82" t="str">
        <f t="shared" si="92"/>
        <v/>
      </c>
      <c r="Y79" s="48" t="str">
        <f t="shared" si="93"/>
        <v/>
      </c>
      <c r="Z79" s="48" t="str">
        <f t="shared" si="94"/>
        <v/>
      </c>
      <c r="AA79" s="84" t="str">
        <f t="shared" si="95"/>
        <v/>
      </c>
      <c r="AB79" s="82" t="str">
        <f t="shared" si="96"/>
        <v/>
      </c>
      <c r="AC79" s="48" t="str">
        <f t="shared" si="97"/>
        <v/>
      </c>
      <c r="AD79" s="48" t="str">
        <f t="shared" si="98"/>
        <v/>
      </c>
      <c r="AE79" s="84" t="str">
        <f t="shared" si="99"/>
        <v/>
      </c>
      <c r="AF79" s="82" t="str">
        <f t="shared" si="100"/>
        <v/>
      </c>
      <c r="AG79" s="48" t="str">
        <f t="shared" si="101"/>
        <v/>
      </c>
      <c r="AH79" s="48" t="str">
        <f t="shared" si="102"/>
        <v/>
      </c>
      <c r="AI79" s="84" t="str">
        <f t="shared" si="103"/>
        <v/>
      </c>
      <c r="AJ79" s="82" t="str">
        <f t="shared" si="104"/>
        <v/>
      </c>
      <c r="AK79" s="48" t="str">
        <f t="shared" si="105"/>
        <v/>
      </c>
      <c r="AL79" s="48" t="str">
        <f t="shared" si="106"/>
        <v/>
      </c>
      <c r="AM79" s="84" t="str">
        <f t="shared" si="107"/>
        <v/>
      </c>
      <c r="AN79" s="82" t="str">
        <f t="shared" si="108"/>
        <v/>
      </c>
      <c r="AO79" s="48" t="str">
        <f t="shared" si="109"/>
        <v/>
      </c>
      <c r="AP79" s="48" t="str">
        <f t="shared" si="110"/>
        <v/>
      </c>
      <c r="AQ79" s="84" t="str">
        <f t="shared" si="111"/>
        <v/>
      </c>
      <c r="AR79" s="82" t="str">
        <f t="shared" si="112"/>
        <v/>
      </c>
      <c r="AS79" s="48" t="str">
        <f t="shared" si="113"/>
        <v/>
      </c>
      <c r="AT79" s="48" t="str">
        <f t="shared" si="114"/>
        <v/>
      </c>
      <c r="AU79" s="84" t="str">
        <f t="shared" si="115"/>
        <v/>
      </c>
      <c r="AV79" s="82" t="str">
        <f t="shared" si="116"/>
        <v/>
      </c>
      <c r="AW79" s="48" t="str">
        <f t="shared" si="117"/>
        <v/>
      </c>
      <c r="AX79" s="48" t="str">
        <f t="shared" si="118"/>
        <v/>
      </c>
      <c r="AY79" s="84" t="str">
        <f t="shared" si="119"/>
        <v/>
      </c>
      <c r="AZ79" s="82" t="str">
        <f t="shared" si="120"/>
        <v/>
      </c>
      <c r="BA79" s="48" t="str">
        <f t="shared" si="121"/>
        <v/>
      </c>
      <c r="BB79" s="48" t="str">
        <f t="shared" si="122"/>
        <v/>
      </c>
      <c r="BC79" s="84" t="str">
        <f t="shared" si="123"/>
        <v/>
      </c>
      <c r="BD79" s="82" t="str">
        <f t="shared" si="124"/>
        <v/>
      </c>
      <c r="BE79" s="48" t="str">
        <f t="shared" si="125"/>
        <v/>
      </c>
      <c r="BF79" s="48" t="str">
        <f t="shared" si="126"/>
        <v/>
      </c>
      <c r="BG79" s="84" t="str">
        <f t="shared" si="127"/>
        <v/>
      </c>
      <c r="BH79" s="87" t="str">
        <f t="shared" si="128"/>
        <v/>
      </c>
      <c r="BI79" s="49" t="str">
        <f t="shared" si="129"/>
        <v/>
      </c>
      <c r="BJ79" s="49" t="str">
        <f t="shared" si="130"/>
        <v/>
      </c>
      <c r="BK79" s="89" t="str">
        <f t="shared" si="131"/>
        <v/>
      </c>
      <c r="BL79" s="87" t="str">
        <f t="shared" si="132"/>
        <v/>
      </c>
      <c r="BM79" s="49" t="str">
        <f t="shared" si="133"/>
        <v/>
      </c>
      <c r="BN79" s="49" t="str">
        <f t="shared" si="134"/>
        <v/>
      </c>
      <c r="BO79" s="89" t="str">
        <f t="shared" si="135"/>
        <v/>
      </c>
      <c r="BP79" s="87" t="str">
        <f t="shared" si="136"/>
        <v/>
      </c>
      <c r="BQ79" s="49" t="str">
        <f t="shared" si="137"/>
        <v/>
      </c>
      <c r="BR79" s="49" t="str">
        <f t="shared" si="138"/>
        <v/>
      </c>
      <c r="BS79" s="89" t="str">
        <f t="shared" si="139"/>
        <v/>
      </c>
      <c r="BT79" s="87" t="str">
        <f t="shared" si="140"/>
        <v/>
      </c>
    </row>
    <row r="80" spans="2:72" s="93" customFormat="1" hidden="1">
      <c r="B80" s="81">
        <f>Weekly!B72</f>
        <v>0</v>
      </c>
      <c r="C80" s="90">
        <f>Weekly!C72</f>
        <v>0</v>
      </c>
      <c r="D80" s="90" t="str">
        <f>Weekly!D51</f>
        <v>Seeto</v>
      </c>
      <c r="E80" s="91" t="e">
        <f>VLOOKUP(B80,Team!$B$4:$E$183,4,FALSE)</f>
        <v>#N/A</v>
      </c>
      <c r="F80" s="92" t="str">
        <f>Weekly!G72</f>
        <v/>
      </c>
      <c r="G80" s="92" t="str">
        <f>Weekly!H72</f>
        <v/>
      </c>
      <c r="H80" s="48" t="str">
        <f t="shared" si="76"/>
        <v/>
      </c>
      <c r="I80" s="48" t="str">
        <f t="shared" si="77"/>
        <v/>
      </c>
      <c r="J80" s="48" t="str">
        <f t="shared" si="78"/>
        <v/>
      </c>
      <c r="K80" s="84" t="str">
        <f t="shared" si="79"/>
        <v/>
      </c>
      <c r="L80" s="82" t="str">
        <f t="shared" si="80"/>
        <v/>
      </c>
      <c r="M80" s="48" t="str">
        <f t="shared" si="81"/>
        <v/>
      </c>
      <c r="N80" s="48" t="str">
        <f t="shared" si="82"/>
        <v/>
      </c>
      <c r="O80" s="84" t="str">
        <f t="shared" si="83"/>
        <v/>
      </c>
      <c r="P80" s="82" t="str">
        <f t="shared" si="84"/>
        <v/>
      </c>
      <c r="Q80" s="48" t="str">
        <f t="shared" si="85"/>
        <v/>
      </c>
      <c r="R80" s="48" t="str">
        <f t="shared" si="86"/>
        <v/>
      </c>
      <c r="S80" s="84" t="str">
        <f t="shared" si="87"/>
        <v/>
      </c>
      <c r="T80" s="82" t="str">
        <f t="shared" si="88"/>
        <v/>
      </c>
      <c r="U80" s="48" t="str">
        <f t="shared" si="89"/>
        <v/>
      </c>
      <c r="V80" s="48" t="str">
        <f t="shared" si="90"/>
        <v/>
      </c>
      <c r="W80" s="84" t="str">
        <f t="shared" si="91"/>
        <v/>
      </c>
      <c r="X80" s="82" t="str">
        <f t="shared" si="92"/>
        <v/>
      </c>
      <c r="Y80" s="48" t="str">
        <f t="shared" si="93"/>
        <v/>
      </c>
      <c r="Z80" s="48" t="str">
        <f t="shared" si="94"/>
        <v/>
      </c>
      <c r="AA80" s="84" t="str">
        <f t="shared" si="95"/>
        <v/>
      </c>
      <c r="AB80" s="82" t="str">
        <f t="shared" si="96"/>
        <v/>
      </c>
      <c r="AC80" s="48" t="str">
        <f t="shared" si="97"/>
        <v/>
      </c>
      <c r="AD80" s="48" t="str">
        <f t="shared" si="98"/>
        <v/>
      </c>
      <c r="AE80" s="84" t="str">
        <f t="shared" si="99"/>
        <v/>
      </c>
      <c r="AF80" s="82" t="str">
        <f t="shared" si="100"/>
        <v/>
      </c>
      <c r="AG80" s="48" t="str">
        <f t="shared" si="101"/>
        <v/>
      </c>
      <c r="AH80" s="48" t="str">
        <f t="shared" si="102"/>
        <v/>
      </c>
      <c r="AI80" s="84" t="str">
        <f t="shared" si="103"/>
        <v/>
      </c>
      <c r="AJ80" s="82" t="str">
        <f t="shared" si="104"/>
        <v/>
      </c>
      <c r="AK80" s="48" t="str">
        <f t="shared" si="105"/>
        <v/>
      </c>
      <c r="AL80" s="48" t="str">
        <f t="shared" si="106"/>
        <v/>
      </c>
      <c r="AM80" s="84" t="str">
        <f t="shared" si="107"/>
        <v/>
      </c>
      <c r="AN80" s="82" t="str">
        <f t="shared" si="108"/>
        <v/>
      </c>
      <c r="AO80" s="48" t="str">
        <f t="shared" si="109"/>
        <v/>
      </c>
      <c r="AP80" s="48" t="str">
        <f t="shared" si="110"/>
        <v/>
      </c>
      <c r="AQ80" s="84" t="str">
        <f t="shared" si="111"/>
        <v/>
      </c>
      <c r="AR80" s="82" t="str">
        <f t="shared" si="112"/>
        <v/>
      </c>
      <c r="AS80" s="48" t="str">
        <f t="shared" si="113"/>
        <v/>
      </c>
      <c r="AT80" s="48" t="str">
        <f t="shared" si="114"/>
        <v/>
      </c>
      <c r="AU80" s="84" t="str">
        <f t="shared" si="115"/>
        <v/>
      </c>
      <c r="AV80" s="82" t="str">
        <f t="shared" si="116"/>
        <v/>
      </c>
      <c r="AW80" s="48" t="str">
        <f t="shared" si="117"/>
        <v/>
      </c>
      <c r="AX80" s="48" t="str">
        <f t="shared" si="118"/>
        <v/>
      </c>
      <c r="AY80" s="84" t="str">
        <f t="shared" si="119"/>
        <v/>
      </c>
      <c r="AZ80" s="82" t="str">
        <f t="shared" si="120"/>
        <v/>
      </c>
      <c r="BA80" s="48" t="str">
        <f t="shared" si="121"/>
        <v/>
      </c>
      <c r="BB80" s="48" t="str">
        <f t="shared" si="122"/>
        <v/>
      </c>
      <c r="BC80" s="84" t="str">
        <f t="shared" si="123"/>
        <v/>
      </c>
      <c r="BD80" s="82" t="str">
        <f t="shared" si="124"/>
        <v/>
      </c>
      <c r="BE80" s="48" t="str">
        <f t="shared" si="125"/>
        <v/>
      </c>
      <c r="BF80" s="48" t="str">
        <f t="shared" si="126"/>
        <v/>
      </c>
      <c r="BG80" s="84" t="str">
        <f t="shared" si="127"/>
        <v/>
      </c>
      <c r="BH80" s="87" t="str">
        <f t="shared" si="128"/>
        <v/>
      </c>
      <c r="BI80" s="49" t="str">
        <f t="shared" si="129"/>
        <v/>
      </c>
      <c r="BJ80" s="49" t="str">
        <f t="shared" si="130"/>
        <v/>
      </c>
      <c r="BK80" s="89" t="str">
        <f t="shared" si="131"/>
        <v/>
      </c>
      <c r="BL80" s="87" t="str">
        <f t="shared" si="132"/>
        <v/>
      </c>
      <c r="BM80" s="49" t="str">
        <f t="shared" si="133"/>
        <v/>
      </c>
      <c r="BN80" s="49" t="str">
        <f t="shared" si="134"/>
        <v/>
      </c>
      <c r="BO80" s="89" t="str">
        <f t="shared" si="135"/>
        <v/>
      </c>
      <c r="BP80" s="87" t="str">
        <f t="shared" si="136"/>
        <v/>
      </c>
      <c r="BQ80" s="49" t="str">
        <f t="shared" si="137"/>
        <v/>
      </c>
      <c r="BR80" s="49" t="str">
        <f t="shared" si="138"/>
        <v/>
      </c>
      <c r="BS80" s="89" t="str">
        <f t="shared" si="139"/>
        <v/>
      </c>
      <c r="BT80" s="87" t="str">
        <f t="shared" si="140"/>
        <v/>
      </c>
    </row>
    <row r="81" spans="2:72" s="93" customFormat="1" hidden="1">
      <c r="B81" s="81">
        <f>Weekly!B73</f>
        <v>0</v>
      </c>
      <c r="C81" s="90">
        <f>Weekly!C73</f>
        <v>0</v>
      </c>
      <c r="D81" s="90" t="str">
        <f>Weekly!D50</f>
        <v>Rabena</v>
      </c>
      <c r="E81" s="91" t="e">
        <f>VLOOKUP(B81,Team!$B$4:$E$183,4,FALSE)</f>
        <v>#N/A</v>
      </c>
      <c r="F81" s="92" t="str">
        <f>Weekly!G73</f>
        <v/>
      </c>
      <c r="G81" s="92" t="str">
        <f>Weekly!H73</f>
        <v/>
      </c>
      <c r="H81" s="48" t="str">
        <f t="shared" ref="H81:H103" si="141">IF(AND($H$12&gt;=$F81,$H$12&lt;$G81),$E81,"")</f>
        <v/>
      </c>
      <c r="I81" s="48" t="str">
        <f t="shared" ref="I81:I103" si="142">IF(AND($I$12&gt;=$F81,$I$12&lt;$G81),$E81,"")</f>
        <v/>
      </c>
      <c r="J81" s="48" t="str">
        <f t="shared" ref="J81:J103" si="143">IF(AND($J$12&gt;=$F81,$J$12&lt;$G81),$E81,"")</f>
        <v/>
      </c>
      <c r="K81" s="84" t="str">
        <f t="shared" ref="K81:K103" si="144">IF(AND($K$12&gt;=$F81,$K$12&lt;$G81),$E81,"")</f>
        <v/>
      </c>
      <c r="L81" s="82" t="str">
        <f t="shared" ref="L81:L103" si="145">IF(AND($L$12&gt;=$F81,$L$12&lt;$G81),$E81,"")</f>
        <v/>
      </c>
      <c r="M81" s="48" t="str">
        <f t="shared" ref="M81:M103" si="146">IF(AND($M$12&gt;=$F81,$M$12&lt;$G81),$E81,"")</f>
        <v/>
      </c>
      <c r="N81" s="48" t="str">
        <f t="shared" ref="N81:N103" si="147">IF(AND($N$12&gt;=$F81,$N$12&lt;$G81),$E81,"")</f>
        <v/>
      </c>
      <c r="O81" s="84" t="str">
        <f t="shared" ref="O81:O103" si="148">IF(AND($O$12&gt;=$F81,$O$12&lt;$G81),$E81,"")</f>
        <v/>
      </c>
      <c r="P81" s="82" t="str">
        <f t="shared" ref="P81:P103" si="149">IF(AND($P$12&gt;=$F81,$P$12&lt;$G81),$E81,"")</f>
        <v/>
      </c>
      <c r="Q81" s="48" t="str">
        <f t="shared" ref="Q81:Q103" si="150">IF(AND($Q$12&gt;=$F81,$Q$12&lt;$G81),$E81,"")</f>
        <v/>
      </c>
      <c r="R81" s="48" t="str">
        <f t="shared" ref="R81:R103" si="151">IF(AND($R$12&gt;=$F81,$R$12&lt;$G81),$E81,"")</f>
        <v/>
      </c>
      <c r="S81" s="84" t="str">
        <f t="shared" ref="S81:S103" si="152">IF(AND($S$12&gt;=$F81,$S$12&lt;$G81),$E81,"")</f>
        <v/>
      </c>
      <c r="T81" s="82" t="str">
        <f t="shared" ref="T81:T103" si="153">IF(AND($T$12&gt;=$F81,$T$12&lt;$G81),$E81,"")</f>
        <v/>
      </c>
      <c r="U81" s="48" t="str">
        <f t="shared" ref="U81:U103" si="154">IF(AND($U$12&gt;=$F81,$U$12&lt;$G81),$E81,"")</f>
        <v/>
      </c>
      <c r="V81" s="48" t="str">
        <f t="shared" ref="V81:V103" si="155">IF(AND($V$12&gt;=$F81,$V$12&lt;$G81),$E81,"")</f>
        <v/>
      </c>
      <c r="W81" s="84" t="str">
        <f t="shared" ref="W81:W103" si="156">IF(AND($W$12&gt;=$F81,$W$12&lt;$G81),$E81,"")</f>
        <v/>
      </c>
      <c r="X81" s="82" t="str">
        <f t="shared" ref="X81:X103" si="157">IF(AND($X$12&gt;=$F81,$X$12&lt;$G81),$E81,"")</f>
        <v/>
      </c>
      <c r="Y81" s="48" t="str">
        <f t="shared" ref="Y81:Y103" si="158">IF(AND($Y$12&gt;=$F81,$Y$12&lt;$G81),$E81,"")</f>
        <v/>
      </c>
      <c r="Z81" s="48" t="str">
        <f t="shared" ref="Z81:Z103" si="159">IF(AND($Z$12&gt;=$F81,$Z$12&lt;$G81),$E81,"")</f>
        <v/>
      </c>
      <c r="AA81" s="84" t="str">
        <f t="shared" ref="AA81:AA103" si="160">IF(AND($AA$12&gt;=$F81,$AA$12&lt;$G81),$E81,"")</f>
        <v/>
      </c>
      <c r="AB81" s="82" t="str">
        <f t="shared" ref="AB81:AB103" si="161">IF(AND($AB$12&gt;=$F81,$AB$12&lt;$G81),$E81,"")</f>
        <v/>
      </c>
      <c r="AC81" s="48" t="str">
        <f t="shared" ref="AC81:AC103" si="162">IF(AND($AC$12&gt;=$F81,$AC$12&lt;$G81),$E81,"")</f>
        <v/>
      </c>
      <c r="AD81" s="48" t="str">
        <f t="shared" ref="AD81:AD103" si="163">IF(AND($AD$12&gt;=$F81,$AD$12&lt;$G81),$E81,"")</f>
        <v/>
      </c>
      <c r="AE81" s="84" t="str">
        <f t="shared" ref="AE81:AE103" si="164">IF(AND($AE$12&gt;=$F81,$AE$12&lt;$G81),$E81,"")</f>
        <v/>
      </c>
      <c r="AF81" s="82" t="str">
        <f t="shared" ref="AF81:AF103" si="165">IF(AND($AF$12&gt;=$F81,$AF$12&lt;$G81),$E81,"")</f>
        <v/>
      </c>
      <c r="AG81" s="48" t="str">
        <f t="shared" ref="AG81:AG103" si="166">IF(AND($AG$12&gt;=$F81,$AG$12&lt;$G81),$E81,"")</f>
        <v/>
      </c>
      <c r="AH81" s="48" t="str">
        <f t="shared" ref="AH81:AH103" si="167">IF(AND($AH$12&gt;=$F81,$AH$12&lt;$G81),$E81,"")</f>
        <v/>
      </c>
      <c r="AI81" s="84" t="str">
        <f t="shared" ref="AI81:AI103" si="168">IF(AND($AI$12&gt;=$F81,$AI$12&lt;$G81),$E81,"")</f>
        <v/>
      </c>
      <c r="AJ81" s="82" t="str">
        <f t="shared" ref="AJ81:AJ103" si="169">IF(AND($AJ$12&gt;=$F81,$AJ$12&lt;$G81),$E81,"")</f>
        <v/>
      </c>
      <c r="AK81" s="48" t="str">
        <f t="shared" ref="AK81:AK103" si="170">IF(AND($AK$12&gt;=$F81,$AK$12&lt;$G81),$E81,"")</f>
        <v/>
      </c>
      <c r="AL81" s="48" t="str">
        <f t="shared" ref="AL81:AL103" si="171">IF(AND($AL$12&gt;=$F81,$AL$12&lt;$G81),$E81,"")</f>
        <v/>
      </c>
      <c r="AM81" s="84" t="str">
        <f t="shared" ref="AM81:AM103" si="172">IF(AND($AM$12&gt;=$F81,$AM$12&lt;$G81),$E81,"")</f>
        <v/>
      </c>
      <c r="AN81" s="82" t="str">
        <f t="shared" ref="AN81:AN103" si="173">IF(AND($AN$12&gt;=$F81,$AN$12&lt;$G81),$E81,"")</f>
        <v/>
      </c>
      <c r="AO81" s="48" t="str">
        <f t="shared" ref="AO81:AO103" si="174">IF(AND($AO$12&gt;=$F81,$AO$12&lt;$G81),$E81,"")</f>
        <v/>
      </c>
      <c r="AP81" s="48" t="str">
        <f t="shared" ref="AP81:AP103" si="175">IF(AND($AP$12&gt;=$F81,$AP$12&lt;$G81),$E81,"")</f>
        <v/>
      </c>
      <c r="AQ81" s="84" t="str">
        <f t="shared" ref="AQ81:AQ103" si="176">IF(AND($AQ$12&gt;=$F81,$AQ$12&lt;$G81),$E81,"")</f>
        <v/>
      </c>
      <c r="AR81" s="82" t="str">
        <f t="shared" ref="AR81:AR103" si="177">IF(AND($AR$12&gt;=$F81,$AR$12&lt;$G81),$E81,"")</f>
        <v/>
      </c>
      <c r="AS81" s="48" t="str">
        <f t="shared" ref="AS81:AS103" si="178">IF(AND($AS$12&gt;=$F81,$AS$12&lt;$G81),$E81,"")</f>
        <v/>
      </c>
      <c r="AT81" s="48" t="str">
        <f t="shared" ref="AT81:AT103" si="179">IF(AND($AT$12&gt;=$F81,$AT$12&lt;$G81),$E81,"")</f>
        <v/>
      </c>
      <c r="AU81" s="84" t="str">
        <f t="shared" ref="AU81:AU103" si="180">IF(AND($AU$12&gt;=$F81,$AU$12&lt;$G81),$E81,"")</f>
        <v/>
      </c>
      <c r="AV81" s="82" t="str">
        <f t="shared" ref="AV81:AV103" si="181">IF(AND($AV$12&gt;=$F81,$AV$12&lt;$G81),$E81,"")</f>
        <v/>
      </c>
      <c r="AW81" s="48" t="str">
        <f t="shared" ref="AW81:AW103" si="182">IF(AND($AW$12&gt;=$F81,$AW$12&lt;$G81),$E81,"")</f>
        <v/>
      </c>
      <c r="AX81" s="48" t="str">
        <f t="shared" ref="AX81:AX103" si="183">IF(AND($AX$12&gt;=$F81,$AX$12&lt;$G81),$E81,"")</f>
        <v/>
      </c>
      <c r="AY81" s="84" t="str">
        <f t="shared" ref="AY81:AY103" si="184">IF(AND($AY$12&gt;=$F81,$AY$12&lt;$G81),$E81,"")</f>
        <v/>
      </c>
      <c r="AZ81" s="82" t="str">
        <f t="shared" ref="AZ81:AZ103" si="185">IF(AND($AZ$12&gt;=$F81,$AZ$12&lt;$G81),$E81,"")</f>
        <v/>
      </c>
      <c r="BA81" s="48" t="str">
        <f t="shared" ref="BA81:BA103" si="186">IF(AND($BA$12&gt;=$F81,$BA$12&lt;$G81),$E81,"")</f>
        <v/>
      </c>
      <c r="BB81" s="48" t="str">
        <f t="shared" ref="BB81:BB103" si="187">IF(AND($BB$12&gt;=$F81,$BB$12&lt;$G81),$E81,"")</f>
        <v/>
      </c>
      <c r="BC81" s="84" t="str">
        <f t="shared" ref="BC81:BC103" si="188">IF(AND($BC$12&gt;=$F81,$BC$12&lt;$G81),$E81,"")</f>
        <v/>
      </c>
      <c r="BD81" s="82" t="str">
        <f t="shared" ref="BD81:BD103" si="189">IF(AND($BD$12&gt;=$F81,$BD$12&lt;$G81),$E81,"")</f>
        <v/>
      </c>
      <c r="BE81" s="48" t="str">
        <f t="shared" ref="BE81:BE103" si="190">IF(AND($BE$12&gt;=$F81,$BE$12&lt;$G81),$E81,"")</f>
        <v/>
      </c>
      <c r="BF81" s="48" t="str">
        <f t="shared" ref="BF81:BF103" si="191">IF(AND($BF$12&gt;=$F81,$BF$12&lt;$G81),$E81,"")</f>
        <v/>
      </c>
      <c r="BG81" s="84" t="str">
        <f t="shared" ref="BG81:BG103" si="192">IF(AND($BG$12&gt;=$F81,$BG$12&lt;$G81),$E81,"")</f>
        <v/>
      </c>
      <c r="BH81" s="87" t="str">
        <f t="shared" ref="BH81:BH103" si="193">IF(AND($BH$12&gt;=$F81,$BH$12&lt;$G81),$E81,"")</f>
        <v/>
      </c>
      <c r="BI81" s="49" t="str">
        <f t="shared" ref="BI81:BI103" si="194">IF(AND($BI$12&gt;=$F81,$BI$12&lt;$G81),$E81,"")</f>
        <v/>
      </c>
      <c r="BJ81" s="49" t="str">
        <f t="shared" ref="BJ81:BJ103" si="195">IF(AND($BJ$12&gt;=$F81,$BJ$12&lt;$G81),$E81,"")</f>
        <v/>
      </c>
      <c r="BK81" s="89" t="str">
        <f t="shared" ref="BK81:BK103" si="196">IF(AND($BK$12&gt;=$F81,$BK$12&lt;$G81),$E81,"")</f>
        <v/>
      </c>
      <c r="BL81" s="87" t="str">
        <f t="shared" ref="BL81:BL103" si="197">IF(AND($BL$12&gt;=$F81,$BL$12&lt;$G81),$E81,"")</f>
        <v/>
      </c>
      <c r="BM81" s="49" t="str">
        <f t="shared" ref="BM81:BM103" si="198">IF(AND($BM$12&gt;=$F81,$BM$12&lt;$G81),$E81,"")</f>
        <v/>
      </c>
      <c r="BN81" s="49" t="str">
        <f t="shared" ref="BN81:BN103" si="199">IF(AND($BN$12&gt;=$F81,$BN$12&lt;$G81),$E81,"")</f>
        <v/>
      </c>
      <c r="BO81" s="89" t="str">
        <f t="shared" ref="BO81:BO103" si="200">IF(AND($BO$12&gt;=$F81,$BO$12&lt;$G81),$E81,"")</f>
        <v/>
      </c>
      <c r="BP81" s="87" t="str">
        <f t="shared" ref="BP81:BP103" si="201">IF(AND($BP$12&gt;=$F81,$BP$12&lt;$G81),$E81,"")</f>
        <v/>
      </c>
      <c r="BQ81" s="49" t="str">
        <f t="shared" ref="BQ81:BQ103" si="202">IF(AND($BQ$12&gt;=$F81,$BQ$12&lt;$G81),$E81,"")</f>
        <v/>
      </c>
      <c r="BR81" s="49" t="str">
        <f t="shared" ref="BR81:BR103" si="203">IF(AND($BR$12&gt;=$F81,$BR$12&lt;$G81),$E81,"")</f>
        <v/>
      </c>
      <c r="BS81" s="89" t="str">
        <f t="shared" ref="BS81:BS103" si="204">IF(AND($BS$12&gt;=$F81,$BS$12&lt;$G81),$E81,"")</f>
        <v/>
      </c>
      <c r="BT81" s="87" t="str">
        <f t="shared" ref="BT81:BT103" si="205">IF(AND($BT$12&gt;=$F81,$BT$12&lt;$G81),$E81,"")</f>
        <v/>
      </c>
    </row>
    <row r="82" spans="2:72" s="93" customFormat="1" hidden="1">
      <c r="B82" s="81">
        <f>Weekly!B74</f>
        <v>0</v>
      </c>
      <c r="C82" s="90">
        <f>Weekly!C74</f>
        <v>0</v>
      </c>
      <c r="D82" s="90" t="str">
        <f>Weekly!D14</f>
        <v>Burgoyne</v>
      </c>
      <c r="E82" s="91" t="e">
        <f>VLOOKUP(B82,Team!$B$4:$E$183,4,FALSE)</f>
        <v>#N/A</v>
      </c>
      <c r="F82" s="92" t="str">
        <f>Weekly!G74</f>
        <v/>
      </c>
      <c r="G82" s="92" t="str">
        <f>Weekly!H74</f>
        <v/>
      </c>
      <c r="H82" s="48" t="str">
        <f t="shared" si="141"/>
        <v/>
      </c>
      <c r="I82" s="48" t="str">
        <f t="shared" si="142"/>
        <v/>
      </c>
      <c r="J82" s="48" t="str">
        <f t="shared" si="143"/>
        <v/>
      </c>
      <c r="K82" s="84" t="str">
        <f t="shared" si="144"/>
        <v/>
      </c>
      <c r="L82" s="82" t="str">
        <f t="shared" si="145"/>
        <v/>
      </c>
      <c r="M82" s="48" t="str">
        <f t="shared" si="146"/>
        <v/>
      </c>
      <c r="N82" s="48" t="str">
        <f t="shared" si="147"/>
        <v/>
      </c>
      <c r="O82" s="84" t="str">
        <f t="shared" si="148"/>
        <v/>
      </c>
      <c r="P82" s="82" t="str">
        <f t="shared" si="149"/>
        <v/>
      </c>
      <c r="Q82" s="48" t="str">
        <f t="shared" si="150"/>
        <v/>
      </c>
      <c r="R82" s="48" t="str">
        <f t="shared" si="151"/>
        <v/>
      </c>
      <c r="S82" s="84" t="str">
        <f t="shared" si="152"/>
        <v/>
      </c>
      <c r="T82" s="82" t="str">
        <f t="shared" si="153"/>
        <v/>
      </c>
      <c r="U82" s="48" t="str">
        <f t="shared" si="154"/>
        <v/>
      </c>
      <c r="V82" s="48" t="str">
        <f t="shared" si="155"/>
        <v/>
      </c>
      <c r="W82" s="84" t="str">
        <f t="shared" si="156"/>
        <v/>
      </c>
      <c r="X82" s="82" t="str">
        <f t="shared" si="157"/>
        <v/>
      </c>
      <c r="Y82" s="48" t="str">
        <f t="shared" si="158"/>
        <v/>
      </c>
      <c r="Z82" s="48" t="str">
        <f t="shared" si="159"/>
        <v/>
      </c>
      <c r="AA82" s="84" t="str">
        <f t="shared" si="160"/>
        <v/>
      </c>
      <c r="AB82" s="82" t="str">
        <f t="shared" si="161"/>
        <v/>
      </c>
      <c r="AC82" s="48" t="str">
        <f t="shared" si="162"/>
        <v/>
      </c>
      <c r="AD82" s="48" t="str">
        <f t="shared" si="163"/>
        <v/>
      </c>
      <c r="AE82" s="84" t="str">
        <f t="shared" si="164"/>
        <v/>
      </c>
      <c r="AF82" s="82" t="str">
        <f t="shared" si="165"/>
        <v/>
      </c>
      <c r="AG82" s="48" t="str">
        <f t="shared" si="166"/>
        <v/>
      </c>
      <c r="AH82" s="48" t="str">
        <f t="shared" si="167"/>
        <v/>
      </c>
      <c r="AI82" s="84" t="str">
        <f t="shared" si="168"/>
        <v/>
      </c>
      <c r="AJ82" s="82" t="str">
        <f t="shared" si="169"/>
        <v/>
      </c>
      <c r="AK82" s="48" t="str">
        <f t="shared" si="170"/>
        <v/>
      </c>
      <c r="AL82" s="48" t="str">
        <f t="shared" si="171"/>
        <v/>
      </c>
      <c r="AM82" s="84" t="str">
        <f t="shared" si="172"/>
        <v/>
      </c>
      <c r="AN82" s="82" t="str">
        <f t="shared" si="173"/>
        <v/>
      </c>
      <c r="AO82" s="48" t="str">
        <f t="shared" si="174"/>
        <v/>
      </c>
      <c r="AP82" s="48" t="str">
        <f t="shared" si="175"/>
        <v/>
      </c>
      <c r="AQ82" s="84" t="str">
        <f t="shared" si="176"/>
        <v/>
      </c>
      <c r="AR82" s="82" t="str">
        <f t="shared" si="177"/>
        <v/>
      </c>
      <c r="AS82" s="48" t="str">
        <f t="shared" si="178"/>
        <v/>
      </c>
      <c r="AT82" s="48" t="str">
        <f t="shared" si="179"/>
        <v/>
      </c>
      <c r="AU82" s="84" t="str">
        <f t="shared" si="180"/>
        <v/>
      </c>
      <c r="AV82" s="82" t="str">
        <f t="shared" si="181"/>
        <v/>
      </c>
      <c r="AW82" s="48" t="str">
        <f t="shared" si="182"/>
        <v/>
      </c>
      <c r="AX82" s="48" t="str">
        <f t="shared" si="183"/>
        <v/>
      </c>
      <c r="AY82" s="84" t="str">
        <f t="shared" si="184"/>
        <v/>
      </c>
      <c r="AZ82" s="82" t="str">
        <f t="shared" si="185"/>
        <v/>
      </c>
      <c r="BA82" s="48" t="str">
        <f t="shared" si="186"/>
        <v/>
      </c>
      <c r="BB82" s="48" t="str">
        <f t="shared" si="187"/>
        <v/>
      </c>
      <c r="BC82" s="84" t="str">
        <f t="shared" si="188"/>
        <v/>
      </c>
      <c r="BD82" s="82" t="str">
        <f t="shared" si="189"/>
        <v/>
      </c>
      <c r="BE82" s="48" t="str">
        <f t="shared" si="190"/>
        <v/>
      </c>
      <c r="BF82" s="48" t="str">
        <f t="shared" si="191"/>
        <v/>
      </c>
      <c r="BG82" s="84" t="str">
        <f t="shared" si="192"/>
        <v/>
      </c>
      <c r="BH82" s="87" t="str">
        <f t="shared" si="193"/>
        <v/>
      </c>
      <c r="BI82" s="49" t="str">
        <f t="shared" si="194"/>
        <v/>
      </c>
      <c r="BJ82" s="49" t="str">
        <f t="shared" si="195"/>
        <v/>
      </c>
      <c r="BK82" s="89" t="str">
        <f t="shared" si="196"/>
        <v/>
      </c>
      <c r="BL82" s="87" t="str">
        <f t="shared" si="197"/>
        <v/>
      </c>
      <c r="BM82" s="49" t="str">
        <f t="shared" si="198"/>
        <v/>
      </c>
      <c r="BN82" s="49" t="str">
        <f t="shared" si="199"/>
        <v/>
      </c>
      <c r="BO82" s="89" t="str">
        <f t="shared" si="200"/>
        <v/>
      </c>
      <c r="BP82" s="87" t="str">
        <f t="shared" si="201"/>
        <v/>
      </c>
      <c r="BQ82" s="49" t="str">
        <f t="shared" si="202"/>
        <v/>
      </c>
      <c r="BR82" s="49" t="str">
        <f t="shared" si="203"/>
        <v/>
      </c>
      <c r="BS82" s="89" t="str">
        <f t="shared" si="204"/>
        <v/>
      </c>
      <c r="BT82" s="87" t="str">
        <f t="shared" si="205"/>
        <v/>
      </c>
    </row>
    <row r="83" spans="2:72" s="93" customFormat="1" hidden="1">
      <c r="B83" s="81">
        <f>Weekly!B75</f>
        <v>0</v>
      </c>
      <c r="C83" s="90">
        <f>Weekly!C75</f>
        <v>0</v>
      </c>
      <c r="D83" s="90" t="str">
        <f>Weekly!D57</f>
        <v>Turner</v>
      </c>
      <c r="E83" s="91" t="e">
        <f>VLOOKUP(B83,Team!$B$4:$E$183,4,FALSE)</f>
        <v>#N/A</v>
      </c>
      <c r="F83" s="92" t="str">
        <f>Weekly!G75</f>
        <v/>
      </c>
      <c r="G83" s="92" t="str">
        <f>Weekly!H75</f>
        <v/>
      </c>
      <c r="H83" s="48" t="str">
        <f t="shared" si="141"/>
        <v/>
      </c>
      <c r="I83" s="48" t="str">
        <f t="shared" si="142"/>
        <v/>
      </c>
      <c r="J83" s="48" t="str">
        <f t="shared" si="143"/>
        <v/>
      </c>
      <c r="K83" s="84" t="str">
        <f t="shared" si="144"/>
        <v/>
      </c>
      <c r="L83" s="82" t="str">
        <f t="shared" si="145"/>
        <v/>
      </c>
      <c r="M83" s="48" t="str">
        <f t="shared" si="146"/>
        <v/>
      </c>
      <c r="N83" s="48" t="str">
        <f t="shared" si="147"/>
        <v/>
      </c>
      <c r="O83" s="84" t="str">
        <f t="shared" si="148"/>
        <v/>
      </c>
      <c r="P83" s="82" t="str">
        <f t="shared" si="149"/>
        <v/>
      </c>
      <c r="Q83" s="48" t="str">
        <f t="shared" si="150"/>
        <v/>
      </c>
      <c r="R83" s="48" t="str">
        <f t="shared" si="151"/>
        <v/>
      </c>
      <c r="S83" s="84" t="str">
        <f t="shared" si="152"/>
        <v/>
      </c>
      <c r="T83" s="82" t="str">
        <f t="shared" si="153"/>
        <v/>
      </c>
      <c r="U83" s="48" t="str">
        <f t="shared" si="154"/>
        <v/>
      </c>
      <c r="V83" s="48" t="str">
        <f t="shared" si="155"/>
        <v/>
      </c>
      <c r="W83" s="84" t="str">
        <f t="shared" si="156"/>
        <v/>
      </c>
      <c r="X83" s="82" t="str">
        <f t="shared" si="157"/>
        <v/>
      </c>
      <c r="Y83" s="48" t="str">
        <f t="shared" si="158"/>
        <v/>
      </c>
      <c r="Z83" s="48" t="str">
        <f t="shared" si="159"/>
        <v/>
      </c>
      <c r="AA83" s="84" t="str">
        <f t="shared" si="160"/>
        <v/>
      </c>
      <c r="AB83" s="82" t="str">
        <f t="shared" si="161"/>
        <v/>
      </c>
      <c r="AC83" s="48" t="str">
        <f t="shared" si="162"/>
        <v/>
      </c>
      <c r="AD83" s="48" t="str">
        <f t="shared" si="163"/>
        <v/>
      </c>
      <c r="AE83" s="84" t="str">
        <f t="shared" si="164"/>
        <v/>
      </c>
      <c r="AF83" s="82" t="str">
        <f t="shared" si="165"/>
        <v/>
      </c>
      <c r="AG83" s="48" t="str">
        <f t="shared" si="166"/>
        <v/>
      </c>
      <c r="AH83" s="48" t="str">
        <f t="shared" si="167"/>
        <v/>
      </c>
      <c r="AI83" s="84" t="str">
        <f t="shared" si="168"/>
        <v/>
      </c>
      <c r="AJ83" s="82" t="str">
        <f t="shared" si="169"/>
        <v/>
      </c>
      <c r="AK83" s="48" t="str">
        <f t="shared" si="170"/>
        <v/>
      </c>
      <c r="AL83" s="48" t="str">
        <f t="shared" si="171"/>
        <v/>
      </c>
      <c r="AM83" s="84" t="str">
        <f t="shared" si="172"/>
        <v/>
      </c>
      <c r="AN83" s="82" t="str">
        <f t="shared" si="173"/>
        <v/>
      </c>
      <c r="AO83" s="48" t="str">
        <f t="shared" si="174"/>
        <v/>
      </c>
      <c r="AP83" s="48" t="str">
        <f t="shared" si="175"/>
        <v/>
      </c>
      <c r="AQ83" s="84" t="str">
        <f t="shared" si="176"/>
        <v/>
      </c>
      <c r="AR83" s="82" t="str">
        <f t="shared" si="177"/>
        <v/>
      </c>
      <c r="AS83" s="48" t="str">
        <f t="shared" si="178"/>
        <v/>
      </c>
      <c r="AT83" s="48" t="str">
        <f t="shared" si="179"/>
        <v/>
      </c>
      <c r="AU83" s="84" t="str">
        <f t="shared" si="180"/>
        <v/>
      </c>
      <c r="AV83" s="82" t="str">
        <f t="shared" si="181"/>
        <v/>
      </c>
      <c r="AW83" s="48" t="str">
        <f t="shared" si="182"/>
        <v/>
      </c>
      <c r="AX83" s="48" t="str">
        <f t="shared" si="183"/>
        <v/>
      </c>
      <c r="AY83" s="84" t="str">
        <f t="shared" si="184"/>
        <v/>
      </c>
      <c r="AZ83" s="82" t="str">
        <f t="shared" si="185"/>
        <v/>
      </c>
      <c r="BA83" s="48" t="str">
        <f t="shared" si="186"/>
        <v/>
      </c>
      <c r="BB83" s="48" t="str">
        <f t="shared" si="187"/>
        <v/>
      </c>
      <c r="BC83" s="84" t="str">
        <f t="shared" si="188"/>
        <v/>
      </c>
      <c r="BD83" s="82" t="str">
        <f t="shared" si="189"/>
        <v/>
      </c>
      <c r="BE83" s="48" t="str">
        <f t="shared" si="190"/>
        <v/>
      </c>
      <c r="BF83" s="48" t="str">
        <f t="shared" si="191"/>
        <v/>
      </c>
      <c r="BG83" s="84" t="str">
        <f t="shared" si="192"/>
        <v/>
      </c>
      <c r="BH83" s="87" t="str">
        <f t="shared" si="193"/>
        <v/>
      </c>
      <c r="BI83" s="49" t="str">
        <f t="shared" si="194"/>
        <v/>
      </c>
      <c r="BJ83" s="49" t="str">
        <f t="shared" si="195"/>
        <v/>
      </c>
      <c r="BK83" s="89" t="str">
        <f t="shared" si="196"/>
        <v/>
      </c>
      <c r="BL83" s="87" t="str">
        <f t="shared" si="197"/>
        <v/>
      </c>
      <c r="BM83" s="49" t="str">
        <f t="shared" si="198"/>
        <v/>
      </c>
      <c r="BN83" s="49" t="str">
        <f t="shared" si="199"/>
        <v/>
      </c>
      <c r="BO83" s="89" t="str">
        <f t="shared" si="200"/>
        <v/>
      </c>
      <c r="BP83" s="87" t="str">
        <f t="shared" si="201"/>
        <v/>
      </c>
      <c r="BQ83" s="49" t="str">
        <f t="shared" si="202"/>
        <v/>
      </c>
      <c r="BR83" s="49" t="str">
        <f t="shared" si="203"/>
        <v/>
      </c>
      <c r="BS83" s="89" t="str">
        <f t="shared" si="204"/>
        <v/>
      </c>
      <c r="BT83" s="87" t="str">
        <f t="shared" si="205"/>
        <v/>
      </c>
    </row>
    <row r="84" spans="2:72" s="93" customFormat="1" hidden="1">
      <c r="B84" s="81">
        <f>Weekly!B76</f>
        <v>0</v>
      </c>
      <c r="C84" s="90">
        <f>Weekly!C76</f>
        <v>0</v>
      </c>
      <c r="D84" s="90" t="str">
        <f>Weekly!D13</f>
        <v>Ward</v>
      </c>
      <c r="E84" s="91" t="e">
        <f>VLOOKUP(B84,Team!$B$4:$E$183,4,FALSE)</f>
        <v>#N/A</v>
      </c>
      <c r="F84" s="92" t="str">
        <f>Weekly!G76</f>
        <v/>
      </c>
      <c r="G84" s="92" t="str">
        <f>Weekly!H76</f>
        <v/>
      </c>
      <c r="H84" s="48" t="str">
        <f t="shared" si="141"/>
        <v/>
      </c>
      <c r="I84" s="48" t="str">
        <f t="shared" si="142"/>
        <v/>
      </c>
      <c r="J84" s="48" t="str">
        <f t="shared" si="143"/>
        <v/>
      </c>
      <c r="K84" s="84" t="str">
        <f t="shared" si="144"/>
        <v/>
      </c>
      <c r="L84" s="82" t="str">
        <f t="shared" si="145"/>
        <v/>
      </c>
      <c r="M84" s="48" t="str">
        <f t="shared" si="146"/>
        <v/>
      </c>
      <c r="N84" s="48" t="str">
        <f t="shared" si="147"/>
        <v/>
      </c>
      <c r="O84" s="84" t="str">
        <f t="shared" si="148"/>
        <v/>
      </c>
      <c r="P84" s="82" t="str">
        <f t="shared" si="149"/>
        <v/>
      </c>
      <c r="Q84" s="48" t="str">
        <f t="shared" si="150"/>
        <v/>
      </c>
      <c r="R84" s="48" t="str">
        <f t="shared" si="151"/>
        <v/>
      </c>
      <c r="S84" s="84" t="str">
        <f t="shared" si="152"/>
        <v/>
      </c>
      <c r="T84" s="82" t="str">
        <f t="shared" si="153"/>
        <v/>
      </c>
      <c r="U84" s="48" t="str">
        <f t="shared" si="154"/>
        <v/>
      </c>
      <c r="V84" s="48" t="str">
        <f t="shared" si="155"/>
        <v/>
      </c>
      <c r="W84" s="84" t="str">
        <f t="shared" si="156"/>
        <v/>
      </c>
      <c r="X84" s="82" t="str">
        <f t="shared" si="157"/>
        <v/>
      </c>
      <c r="Y84" s="48" t="str">
        <f t="shared" si="158"/>
        <v/>
      </c>
      <c r="Z84" s="48" t="str">
        <f t="shared" si="159"/>
        <v/>
      </c>
      <c r="AA84" s="84" t="str">
        <f t="shared" si="160"/>
        <v/>
      </c>
      <c r="AB84" s="82" t="str">
        <f t="shared" si="161"/>
        <v/>
      </c>
      <c r="AC84" s="48" t="str">
        <f t="shared" si="162"/>
        <v/>
      </c>
      <c r="AD84" s="48" t="str">
        <f t="shared" si="163"/>
        <v/>
      </c>
      <c r="AE84" s="84" t="str">
        <f t="shared" si="164"/>
        <v/>
      </c>
      <c r="AF84" s="82" t="str">
        <f t="shared" si="165"/>
        <v/>
      </c>
      <c r="AG84" s="48" t="str">
        <f t="shared" si="166"/>
        <v/>
      </c>
      <c r="AH84" s="48" t="str">
        <f t="shared" si="167"/>
        <v/>
      </c>
      <c r="AI84" s="84" t="str">
        <f t="shared" si="168"/>
        <v/>
      </c>
      <c r="AJ84" s="82" t="str">
        <f t="shared" si="169"/>
        <v/>
      </c>
      <c r="AK84" s="48" t="str">
        <f t="shared" si="170"/>
        <v/>
      </c>
      <c r="AL84" s="48" t="str">
        <f t="shared" si="171"/>
        <v/>
      </c>
      <c r="AM84" s="84" t="str">
        <f t="shared" si="172"/>
        <v/>
      </c>
      <c r="AN84" s="82" t="str">
        <f t="shared" si="173"/>
        <v/>
      </c>
      <c r="AO84" s="48" t="str">
        <f t="shared" si="174"/>
        <v/>
      </c>
      <c r="AP84" s="48" t="str">
        <f t="shared" si="175"/>
        <v/>
      </c>
      <c r="AQ84" s="84" t="str">
        <f t="shared" si="176"/>
        <v/>
      </c>
      <c r="AR84" s="82" t="str">
        <f t="shared" si="177"/>
        <v/>
      </c>
      <c r="AS84" s="48" t="str">
        <f t="shared" si="178"/>
        <v/>
      </c>
      <c r="AT84" s="48" t="str">
        <f t="shared" si="179"/>
        <v/>
      </c>
      <c r="AU84" s="84" t="str">
        <f t="shared" si="180"/>
        <v/>
      </c>
      <c r="AV84" s="82" t="str">
        <f t="shared" si="181"/>
        <v/>
      </c>
      <c r="AW84" s="48" t="str">
        <f t="shared" si="182"/>
        <v/>
      </c>
      <c r="AX84" s="48" t="str">
        <f t="shared" si="183"/>
        <v/>
      </c>
      <c r="AY84" s="84" t="str">
        <f t="shared" si="184"/>
        <v/>
      </c>
      <c r="AZ84" s="82" t="str">
        <f t="shared" si="185"/>
        <v/>
      </c>
      <c r="BA84" s="48" t="str">
        <f t="shared" si="186"/>
        <v/>
      </c>
      <c r="BB84" s="48" t="str">
        <f t="shared" si="187"/>
        <v/>
      </c>
      <c r="BC84" s="84" t="str">
        <f t="shared" si="188"/>
        <v/>
      </c>
      <c r="BD84" s="82" t="str">
        <f t="shared" si="189"/>
        <v/>
      </c>
      <c r="BE84" s="48" t="str">
        <f t="shared" si="190"/>
        <v/>
      </c>
      <c r="BF84" s="48" t="str">
        <f t="shared" si="191"/>
        <v/>
      </c>
      <c r="BG84" s="84" t="str">
        <f t="shared" si="192"/>
        <v/>
      </c>
      <c r="BH84" s="87" t="str">
        <f t="shared" si="193"/>
        <v/>
      </c>
      <c r="BI84" s="49" t="str">
        <f t="shared" si="194"/>
        <v/>
      </c>
      <c r="BJ84" s="49" t="str">
        <f t="shared" si="195"/>
        <v/>
      </c>
      <c r="BK84" s="89" t="str">
        <f t="shared" si="196"/>
        <v/>
      </c>
      <c r="BL84" s="87" t="str">
        <f t="shared" si="197"/>
        <v/>
      </c>
      <c r="BM84" s="49" t="str">
        <f t="shared" si="198"/>
        <v/>
      </c>
      <c r="BN84" s="49" t="str">
        <f t="shared" si="199"/>
        <v/>
      </c>
      <c r="BO84" s="89" t="str">
        <f t="shared" si="200"/>
        <v/>
      </c>
      <c r="BP84" s="87" t="str">
        <f t="shared" si="201"/>
        <v/>
      </c>
      <c r="BQ84" s="49" t="str">
        <f t="shared" si="202"/>
        <v/>
      </c>
      <c r="BR84" s="49" t="str">
        <f t="shared" si="203"/>
        <v/>
      </c>
      <c r="BS84" s="89" t="str">
        <f t="shared" si="204"/>
        <v/>
      </c>
      <c r="BT84" s="87" t="str">
        <f t="shared" si="205"/>
        <v/>
      </c>
    </row>
    <row r="85" spans="2:72" s="93" customFormat="1" hidden="1">
      <c r="B85" s="81">
        <f>Weekly!B77</f>
        <v>0</v>
      </c>
      <c r="C85" s="90">
        <f>Weekly!C77</f>
        <v>0</v>
      </c>
      <c r="D85" s="90" t="str">
        <f>Weekly!D56</f>
        <v>Lim</v>
      </c>
      <c r="E85" s="91" t="e">
        <f>VLOOKUP(B85,Team!$B$4:$E$183,4,FALSE)</f>
        <v>#N/A</v>
      </c>
      <c r="F85" s="92" t="str">
        <f>Weekly!G77</f>
        <v/>
      </c>
      <c r="G85" s="92" t="str">
        <f>Weekly!H77</f>
        <v/>
      </c>
      <c r="H85" s="48" t="str">
        <f t="shared" si="141"/>
        <v/>
      </c>
      <c r="I85" s="48" t="str">
        <f t="shared" si="142"/>
        <v/>
      </c>
      <c r="J85" s="48" t="str">
        <f t="shared" si="143"/>
        <v/>
      </c>
      <c r="K85" s="84" t="str">
        <f t="shared" si="144"/>
        <v/>
      </c>
      <c r="L85" s="82" t="str">
        <f t="shared" si="145"/>
        <v/>
      </c>
      <c r="M85" s="48" t="str">
        <f t="shared" si="146"/>
        <v/>
      </c>
      <c r="N85" s="48" t="str">
        <f t="shared" si="147"/>
        <v/>
      </c>
      <c r="O85" s="84" t="str">
        <f t="shared" si="148"/>
        <v/>
      </c>
      <c r="P85" s="82" t="str">
        <f t="shared" si="149"/>
        <v/>
      </c>
      <c r="Q85" s="48" t="str">
        <f t="shared" si="150"/>
        <v/>
      </c>
      <c r="R85" s="48" t="str">
        <f t="shared" si="151"/>
        <v/>
      </c>
      <c r="S85" s="84" t="str">
        <f t="shared" si="152"/>
        <v/>
      </c>
      <c r="T85" s="82" t="str">
        <f t="shared" si="153"/>
        <v/>
      </c>
      <c r="U85" s="48" t="str">
        <f t="shared" si="154"/>
        <v/>
      </c>
      <c r="V85" s="48" t="str">
        <f t="shared" si="155"/>
        <v/>
      </c>
      <c r="W85" s="84" t="str">
        <f t="shared" si="156"/>
        <v/>
      </c>
      <c r="X85" s="82" t="str">
        <f t="shared" si="157"/>
        <v/>
      </c>
      <c r="Y85" s="48" t="str">
        <f t="shared" si="158"/>
        <v/>
      </c>
      <c r="Z85" s="48" t="str">
        <f t="shared" si="159"/>
        <v/>
      </c>
      <c r="AA85" s="84" t="str">
        <f t="shared" si="160"/>
        <v/>
      </c>
      <c r="AB85" s="82" t="str">
        <f t="shared" si="161"/>
        <v/>
      </c>
      <c r="AC85" s="48" t="str">
        <f t="shared" si="162"/>
        <v/>
      </c>
      <c r="AD85" s="48" t="str">
        <f t="shared" si="163"/>
        <v/>
      </c>
      <c r="AE85" s="84" t="str">
        <f t="shared" si="164"/>
        <v/>
      </c>
      <c r="AF85" s="82" t="str">
        <f t="shared" si="165"/>
        <v/>
      </c>
      <c r="AG85" s="48" t="str">
        <f t="shared" si="166"/>
        <v/>
      </c>
      <c r="AH85" s="48" t="str">
        <f t="shared" si="167"/>
        <v/>
      </c>
      <c r="AI85" s="84" t="str">
        <f t="shared" si="168"/>
        <v/>
      </c>
      <c r="AJ85" s="82" t="str">
        <f t="shared" si="169"/>
        <v/>
      </c>
      <c r="AK85" s="48" t="str">
        <f t="shared" si="170"/>
        <v/>
      </c>
      <c r="AL85" s="48" t="str">
        <f t="shared" si="171"/>
        <v/>
      </c>
      <c r="AM85" s="84" t="str">
        <f t="shared" si="172"/>
        <v/>
      </c>
      <c r="AN85" s="82" t="str">
        <f t="shared" si="173"/>
        <v/>
      </c>
      <c r="AO85" s="48" t="str">
        <f t="shared" si="174"/>
        <v/>
      </c>
      <c r="AP85" s="48" t="str">
        <f t="shared" si="175"/>
        <v/>
      </c>
      <c r="AQ85" s="84" t="str">
        <f t="shared" si="176"/>
        <v/>
      </c>
      <c r="AR85" s="82" t="str">
        <f t="shared" si="177"/>
        <v/>
      </c>
      <c r="AS85" s="48" t="str">
        <f t="shared" si="178"/>
        <v/>
      </c>
      <c r="AT85" s="48" t="str">
        <f t="shared" si="179"/>
        <v/>
      </c>
      <c r="AU85" s="84" t="str">
        <f t="shared" si="180"/>
        <v/>
      </c>
      <c r="AV85" s="82" t="str">
        <f t="shared" si="181"/>
        <v/>
      </c>
      <c r="AW85" s="48" t="str">
        <f t="shared" si="182"/>
        <v/>
      </c>
      <c r="AX85" s="48" t="str">
        <f t="shared" si="183"/>
        <v/>
      </c>
      <c r="AY85" s="84" t="str">
        <f t="shared" si="184"/>
        <v/>
      </c>
      <c r="AZ85" s="82" t="str">
        <f t="shared" si="185"/>
        <v/>
      </c>
      <c r="BA85" s="48" t="str">
        <f t="shared" si="186"/>
        <v/>
      </c>
      <c r="BB85" s="48" t="str">
        <f t="shared" si="187"/>
        <v/>
      </c>
      <c r="BC85" s="84" t="str">
        <f t="shared" si="188"/>
        <v/>
      </c>
      <c r="BD85" s="82" t="str">
        <f t="shared" si="189"/>
        <v/>
      </c>
      <c r="BE85" s="48" t="str">
        <f t="shared" si="190"/>
        <v/>
      </c>
      <c r="BF85" s="48" t="str">
        <f t="shared" si="191"/>
        <v/>
      </c>
      <c r="BG85" s="84" t="str">
        <f t="shared" si="192"/>
        <v/>
      </c>
      <c r="BH85" s="87" t="str">
        <f t="shared" si="193"/>
        <v/>
      </c>
      <c r="BI85" s="49" t="str">
        <f t="shared" si="194"/>
        <v/>
      </c>
      <c r="BJ85" s="49" t="str">
        <f t="shared" si="195"/>
        <v/>
      </c>
      <c r="BK85" s="89" t="str">
        <f t="shared" si="196"/>
        <v/>
      </c>
      <c r="BL85" s="87" t="str">
        <f t="shared" si="197"/>
        <v/>
      </c>
      <c r="BM85" s="49" t="str">
        <f t="shared" si="198"/>
        <v/>
      </c>
      <c r="BN85" s="49" t="str">
        <f t="shared" si="199"/>
        <v/>
      </c>
      <c r="BO85" s="89" t="str">
        <f t="shared" si="200"/>
        <v/>
      </c>
      <c r="BP85" s="87" t="str">
        <f t="shared" si="201"/>
        <v/>
      </c>
      <c r="BQ85" s="49" t="str">
        <f t="shared" si="202"/>
        <v/>
      </c>
      <c r="BR85" s="49" t="str">
        <f t="shared" si="203"/>
        <v/>
      </c>
      <c r="BS85" s="89" t="str">
        <f t="shared" si="204"/>
        <v/>
      </c>
      <c r="BT85" s="87" t="str">
        <f t="shared" si="205"/>
        <v/>
      </c>
    </row>
    <row r="86" spans="2:72" s="93" customFormat="1" hidden="1">
      <c r="B86" s="81">
        <f>Weekly!B78</f>
        <v>0</v>
      </c>
      <c r="C86" s="90">
        <f>Weekly!C78</f>
        <v>0</v>
      </c>
      <c r="D86" s="90" t="str">
        <f>Weekly!D39</f>
        <v>Ng</v>
      </c>
      <c r="E86" s="91" t="e">
        <f>VLOOKUP(B86,Team!$B$4:$E$183,4,FALSE)</f>
        <v>#N/A</v>
      </c>
      <c r="F86" s="92" t="str">
        <f>Weekly!G78</f>
        <v/>
      </c>
      <c r="G86" s="92" t="str">
        <f>Weekly!H78</f>
        <v/>
      </c>
      <c r="H86" s="48" t="str">
        <f t="shared" si="141"/>
        <v/>
      </c>
      <c r="I86" s="48" t="str">
        <f t="shared" si="142"/>
        <v/>
      </c>
      <c r="J86" s="48" t="str">
        <f t="shared" si="143"/>
        <v/>
      </c>
      <c r="K86" s="84" t="str">
        <f t="shared" si="144"/>
        <v/>
      </c>
      <c r="L86" s="82" t="str">
        <f t="shared" si="145"/>
        <v/>
      </c>
      <c r="M86" s="48" t="str">
        <f t="shared" si="146"/>
        <v/>
      </c>
      <c r="N86" s="48" t="str">
        <f t="shared" si="147"/>
        <v/>
      </c>
      <c r="O86" s="84" t="str">
        <f t="shared" si="148"/>
        <v/>
      </c>
      <c r="P86" s="82" t="str">
        <f t="shared" si="149"/>
        <v/>
      </c>
      <c r="Q86" s="48" t="str">
        <f t="shared" si="150"/>
        <v/>
      </c>
      <c r="R86" s="48" t="str">
        <f t="shared" si="151"/>
        <v/>
      </c>
      <c r="S86" s="84" t="str">
        <f t="shared" si="152"/>
        <v/>
      </c>
      <c r="T86" s="82" t="str">
        <f t="shared" si="153"/>
        <v/>
      </c>
      <c r="U86" s="48" t="str">
        <f t="shared" si="154"/>
        <v/>
      </c>
      <c r="V86" s="48" t="str">
        <f t="shared" si="155"/>
        <v/>
      </c>
      <c r="W86" s="84" t="str">
        <f t="shared" si="156"/>
        <v/>
      </c>
      <c r="X86" s="82" t="str">
        <f t="shared" si="157"/>
        <v/>
      </c>
      <c r="Y86" s="48" t="str">
        <f t="shared" si="158"/>
        <v/>
      </c>
      <c r="Z86" s="48" t="str">
        <f t="shared" si="159"/>
        <v/>
      </c>
      <c r="AA86" s="84" t="str">
        <f t="shared" si="160"/>
        <v/>
      </c>
      <c r="AB86" s="82" t="str">
        <f t="shared" si="161"/>
        <v/>
      </c>
      <c r="AC86" s="48" t="str">
        <f t="shared" si="162"/>
        <v/>
      </c>
      <c r="AD86" s="48" t="str">
        <f t="shared" si="163"/>
        <v/>
      </c>
      <c r="AE86" s="84" t="str">
        <f t="shared" si="164"/>
        <v/>
      </c>
      <c r="AF86" s="82" t="str">
        <f t="shared" si="165"/>
        <v/>
      </c>
      <c r="AG86" s="48" t="str">
        <f t="shared" si="166"/>
        <v/>
      </c>
      <c r="AH86" s="48" t="str">
        <f t="shared" si="167"/>
        <v/>
      </c>
      <c r="AI86" s="84" t="str">
        <f t="shared" si="168"/>
        <v/>
      </c>
      <c r="AJ86" s="82" t="str">
        <f t="shared" si="169"/>
        <v/>
      </c>
      <c r="AK86" s="48" t="str">
        <f t="shared" si="170"/>
        <v/>
      </c>
      <c r="AL86" s="48" t="str">
        <f t="shared" si="171"/>
        <v/>
      </c>
      <c r="AM86" s="84" t="str">
        <f t="shared" si="172"/>
        <v/>
      </c>
      <c r="AN86" s="82" t="str">
        <f t="shared" si="173"/>
        <v/>
      </c>
      <c r="AO86" s="48" t="str">
        <f t="shared" si="174"/>
        <v/>
      </c>
      <c r="AP86" s="48" t="str">
        <f t="shared" si="175"/>
        <v/>
      </c>
      <c r="AQ86" s="84" t="str">
        <f t="shared" si="176"/>
        <v/>
      </c>
      <c r="AR86" s="82" t="str">
        <f t="shared" si="177"/>
        <v/>
      </c>
      <c r="AS86" s="48" t="str">
        <f t="shared" si="178"/>
        <v/>
      </c>
      <c r="AT86" s="48" t="str">
        <f t="shared" si="179"/>
        <v/>
      </c>
      <c r="AU86" s="84" t="str">
        <f t="shared" si="180"/>
        <v/>
      </c>
      <c r="AV86" s="82" t="str">
        <f t="shared" si="181"/>
        <v/>
      </c>
      <c r="AW86" s="48" t="str">
        <f t="shared" si="182"/>
        <v/>
      </c>
      <c r="AX86" s="48" t="str">
        <f t="shared" si="183"/>
        <v/>
      </c>
      <c r="AY86" s="84" t="str">
        <f t="shared" si="184"/>
        <v/>
      </c>
      <c r="AZ86" s="82" t="str">
        <f t="shared" si="185"/>
        <v/>
      </c>
      <c r="BA86" s="48" t="str">
        <f t="shared" si="186"/>
        <v/>
      </c>
      <c r="BB86" s="48" t="str">
        <f t="shared" si="187"/>
        <v/>
      </c>
      <c r="BC86" s="84" t="str">
        <f t="shared" si="188"/>
        <v/>
      </c>
      <c r="BD86" s="82" t="str">
        <f t="shared" si="189"/>
        <v/>
      </c>
      <c r="BE86" s="48" t="str">
        <f t="shared" si="190"/>
        <v/>
      </c>
      <c r="BF86" s="48" t="str">
        <f t="shared" si="191"/>
        <v/>
      </c>
      <c r="BG86" s="84" t="str">
        <f t="shared" si="192"/>
        <v/>
      </c>
      <c r="BH86" s="87" t="str">
        <f t="shared" si="193"/>
        <v/>
      </c>
      <c r="BI86" s="49" t="str">
        <f t="shared" si="194"/>
        <v/>
      </c>
      <c r="BJ86" s="49" t="str">
        <f t="shared" si="195"/>
        <v/>
      </c>
      <c r="BK86" s="89" t="str">
        <f t="shared" si="196"/>
        <v/>
      </c>
      <c r="BL86" s="87" t="str">
        <f t="shared" si="197"/>
        <v/>
      </c>
      <c r="BM86" s="49" t="str">
        <f t="shared" si="198"/>
        <v/>
      </c>
      <c r="BN86" s="49" t="str">
        <f t="shared" si="199"/>
        <v/>
      </c>
      <c r="BO86" s="89" t="str">
        <f t="shared" si="200"/>
        <v/>
      </c>
      <c r="BP86" s="87" t="str">
        <f t="shared" si="201"/>
        <v/>
      </c>
      <c r="BQ86" s="49" t="str">
        <f t="shared" si="202"/>
        <v/>
      </c>
      <c r="BR86" s="49" t="str">
        <f t="shared" si="203"/>
        <v/>
      </c>
      <c r="BS86" s="89" t="str">
        <f t="shared" si="204"/>
        <v/>
      </c>
      <c r="BT86" s="87" t="str">
        <f t="shared" si="205"/>
        <v/>
      </c>
    </row>
    <row r="87" spans="2:72" s="93" customFormat="1" hidden="1">
      <c r="B87" s="81">
        <f>Weekly!B79</f>
        <v>0</v>
      </c>
      <c r="C87" s="90">
        <f>Weekly!C79</f>
        <v>0</v>
      </c>
      <c r="D87" s="90" t="str">
        <f>Weekly!D44</f>
        <v>Tran Wo</v>
      </c>
      <c r="E87" s="91" t="e">
        <f>VLOOKUP(B87,Team!$B$4:$E$183,4,FALSE)</f>
        <v>#N/A</v>
      </c>
      <c r="F87" s="92" t="str">
        <f>Weekly!G79</f>
        <v/>
      </c>
      <c r="G87" s="92" t="str">
        <f>Weekly!H79</f>
        <v/>
      </c>
      <c r="H87" s="48" t="str">
        <f t="shared" si="141"/>
        <v/>
      </c>
      <c r="I87" s="48" t="str">
        <f t="shared" si="142"/>
        <v/>
      </c>
      <c r="J87" s="48" t="str">
        <f t="shared" si="143"/>
        <v/>
      </c>
      <c r="K87" s="84" t="str">
        <f t="shared" si="144"/>
        <v/>
      </c>
      <c r="L87" s="82" t="str">
        <f t="shared" si="145"/>
        <v/>
      </c>
      <c r="M87" s="48" t="str">
        <f t="shared" si="146"/>
        <v/>
      </c>
      <c r="N87" s="48" t="str">
        <f t="shared" si="147"/>
        <v/>
      </c>
      <c r="O87" s="84" t="str">
        <f t="shared" si="148"/>
        <v/>
      </c>
      <c r="P87" s="82" t="str">
        <f t="shared" si="149"/>
        <v/>
      </c>
      <c r="Q87" s="48" t="str">
        <f t="shared" si="150"/>
        <v/>
      </c>
      <c r="R87" s="48" t="str">
        <f t="shared" si="151"/>
        <v/>
      </c>
      <c r="S87" s="84" t="str">
        <f t="shared" si="152"/>
        <v/>
      </c>
      <c r="T87" s="82" t="str">
        <f t="shared" si="153"/>
        <v/>
      </c>
      <c r="U87" s="48" t="str">
        <f t="shared" si="154"/>
        <v/>
      </c>
      <c r="V87" s="48" t="str">
        <f t="shared" si="155"/>
        <v/>
      </c>
      <c r="W87" s="84" t="str">
        <f t="shared" si="156"/>
        <v/>
      </c>
      <c r="X87" s="82" t="str">
        <f t="shared" si="157"/>
        <v/>
      </c>
      <c r="Y87" s="48" t="str">
        <f t="shared" si="158"/>
        <v/>
      </c>
      <c r="Z87" s="48" t="str">
        <f t="shared" si="159"/>
        <v/>
      </c>
      <c r="AA87" s="84" t="str">
        <f t="shared" si="160"/>
        <v/>
      </c>
      <c r="AB87" s="82" t="str">
        <f t="shared" si="161"/>
        <v/>
      </c>
      <c r="AC87" s="48" t="str">
        <f t="shared" si="162"/>
        <v/>
      </c>
      <c r="AD87" s="48" t="str">
        <f t="shared" si="163"/>
        <v/>
      </c>
      <c r="AE87" s="84" t="str">
        <f t="shared" si="164"/>
        <v/>
      </c>
      <c r="AF87" s="82" t="str">
        <f t="shared" si="165"/>
        <v/>
      </c>
      <c r="AG87" s="48" t="str">
        <f t="shared" si="166"/>
        <v/>
      </c>
      <c r="AH87" s="48" t="str">
        <f t="shared" si="167"/>
        <v/>
      </c>
      <c r="AI87" s="84" t="str">
        <f t="shared" si="168"/>
        <v/>
      </c>
      <c r="AJ87" s="82" t="str">
        <f t="shared" si="169"/>
        <v/>
      </c>
      <c r="AK87" s="48" t="str">
        <f t="shared" si="170"/>
        <v/>
      </c>
      <c r="AL87" s="48" t="str">
        <f t="shared" si="171"/>
        <v/>
      </c>
      <c r="AM87" s="84" t="str">
        <f t="shared" si="172"/>
        <v/>
      </c>
      <c r="AN87" s="82" t="str">
        <f t="shared" si="173"/>
        <v/>
      </c>
      <c r="AO87" s="48" t="str">
        <f t="shared" si="174"/>
        <v/>
      </c>
      <c r="AP87" s="48" t="str">
        <f t="shared" si="175"/>
        <v/>
      </c>
      <c r="AQ87" s="84" t="str">
        <f t="shared" si="176"/>
        <v/>
      </c>
      <c r="AR87" s="82" t="str">
        <f t="shared" si="177"/>
        <v/>
      </c>
      <c r="AS87" s="48" t="str">
        <f t="shared" si="178"/>
        <v/>
      </c>
      <c r="AT87" s="48" t="str">
        <f t="shared" si="179"/>
        <v/>
      </c>
      <c r="AU87" s="84" t="str">
        <f t="shared" si="180"/>
        <v/>
      </c>
      <c r="AV87" s="82" t="str">
        <f t="shared" si="181"/>
        <v/>
      </c>
      <c r="AW87" s="48" t="str">
        <f t="shared" si="182"/>
        <v/>
      </c>
      <c r="AX87" s="48" t="str">
        <f t="shared" si="183"/>
        <v/>
      </c>
      <c r="AY87" s="84" t="str">
        <f t="shared" si="184"/>
        <v/>
      </c>
      <c r="AZ87" s="82" t="str">
        <f t="shared" si="185"/>
        <v/>
      </c>
      <c r="BA87" s="48" t="str">
        <f t="shared" si="186"/>
        <v/>
      </c>
      <c r="BB87" s="48" t="str">
        <f t="shared" si="187"/>
        <v/>
      </c>
      <c r="BC87" s="84" t="str">
        <f t="shared" si="188"/>
        <v/>
      </c>
      <c r="BD87" s="82" t="str">
        <f t="shared" si="189"/>
        <v/>
      </c>
      <c r="BE87" s="48" t="str">
        <f t="shared" si="190"/>
        <v/>
      </c>
      <c r="BF87" s="48" t="str">
        <f t="shared" si="191"/>
        <v/>
      </c>
      <c r="BG87" s="84" t="str">
        <f t="shared" si="192"/>
        <v/>
      </c>
      <c r="BH87" s="87" t="str">
        <f t="shared" si="193"/>
        <v/>
      </c>
      <c r="BI87" s="49" t="str">
        <f t="shared" si="194"/>
        <v/>
      </c>
      <c r="BJ87" s="49" t="str">
        <f t="shared" si="195"/>
        <v/>
      </c>
      <c r="BK87" s="89" t="str">
        <f t="shared" si="196"/>
        <v/>
      </c>
      <c r="BL87" s="87" t="str">
        <f t="shared" si="197"/>
        <v/>
      </c>
      <c r="BM87" s="49" t="str">
        <f t="shared" si="198"/>
        <v/>
      </c>
      <c r="BN87" s="49" t="str">
        <f t="shared" si="199"/>
        <v/>
      </c>
      <c r="BO87" s="89" t="str">
        <f t="shared" si="200"/>
        <v/>
      </c>
      <c r="BP87" s="87" t="str">
        <f t="shared" si="201"/>
        <v/>
      </c>
      <c r="BQ87" s="49" t="str">
        <f t="shared" si="202"/>
        <v/>
      </c>
      <c r="BR87" s="49" t="str">
        <f t="shared" si="203"/>
        <v/>
      </c>
      <c r="BS87" s="89" t="str">
        <f t="shared" si="204"/>
        <v/>
      </c>
      <c r="BT87" s="87" t="str">
        <f t="shared" si="205"/>
        <v/>
      </c>
    </row>
    <row r="88" spans="2:72" s="93" customFormat="1" hidden="1">
      <c r="B88" s="81">
        <f>Weekly!B80</f>
        <v>0</v>
      </c>
      <c r="C88" s="90">
        <f>Weekly!C80</f>
        <v>0</v>
      </c>
      <c r="D88" s="90" t="str">
        <f>Weekly!D29</f>
        <v>Rao</v>
      </c>
      <c r="E88" s="91" t="e">
        <f>VLOOKUP(B88,Team!$B$4:$E$183,4,FALSE)</f>
        <v>#N/A</v>
      </c>
      <c r="F88" s="92" t="str">
        <f>Weekly!G80</f>
        <v/>
      </c>
      <c r="G88" s="92" t="str">
        <f>Weekly!H80</f>
        <v/>
      </c>
      <c r="H88" s="48" t="str">
        <f t="shared" si="141"/>
        <v/>
      </c>
      <c r="I88" s="48" t="str">
        <f t="shared" si="142"/>
        <v/>
      </c>
      <c r="J88" s="48" t="str">
        <f t="shared" si="143"/>
        <v/>
      </c>
      <c r="K88" s="84" t="str">
        <f t="shared" si="144"/>
        <v/>
      </c>
      <c r="L88" s="82" t="str">
        <f t="shared" si="145"/>
        <v/>
      </c>
      <c r="M88" s="48" t="str">
        <f t="shared" si="146"/>
        <v/>
      </c>
      <c r="N88" s="48" t="str">
        <f t="shared" si="147"/>
        <v/>
      </c>
      <c r="O88" s="84" t="str">
        <f t="shared" si="148"/>
        <v/>
      </c>
      <c r="P88" s="82" t="str">
        <f t="shared" si="149"/>
        <v/>
      </c>
      <c r="Q88" s="48" t="str">
        <f t="shared" si="150"/>
        <v/>
      </c>
      <c r="R88" s="48" t="str">
        <f t="shared" si="151"/>
        <v/>
      </c>
      <c r="S88" s="84" t="str">
        <f t="shared" si="152"/>
        <v/>
      </c>
      <c r="T88" s="82" t="str">
        <f t="shared" si="153"/>
        <v/>
      </c>
      <c r="U88" s="48" t="str">
        <f t="shared" si="154"/>
        <v/>
      </c>
      <c r="V88" s="48" t="str">
        <f t="shared" si="155"/>
        <v/>
      </c>
      <c r="W88" s="84" t="str">
        <f t="shared" si="156"/>
        <v/>
      </c>
      <c r="X88" s="82" t="str">
        <f t="shared" si="157"/>
        <v/>
      </c>
      <c r="Y88" s="48" t="str">
        <f t="shared" si="158"/>
        <v/>
      </c>
      <c r="Z88" s="48" t="str">
        <f t="shared" si="159"/>
        <v/>
      </c>
      <c r="AA88" s="84" t="str">
        <f t="shared" si="160"/>
        <v/>
      </c>
      <c r="AB88" s="82" t="str">
        <f t="shared" si="161"/>
        <v/>
      </c>
      <c r="AC88" s="48" t="str">
        <f t="shared" si="162"/>
        <v/>
      </c>
      <c r="AD88" s="48" t="str">
        <f t="shared" si="163"/>
        <v/>
      </c>
      <c r="AE88" s="84" t="str">
        <f t="shared" si="164"/>
        <v/>
      </c>
      <c r="AF88" s="82" t="str">
        <f t="shared" si="165"/>
        <v/>
      </c>
      <c r="AG88" s="48" t="str">
        <f t="shared" si="166"/>
        <v/>
      </c>
      <c r="AH88" s="48" t="str">
        <f t="shared" si="167"/>
        <v/>
      </c>
      <c r="AI88" s="84" t="str">
        <f t="shared" si="168"/>
        <v/>
      </c>
      <c r="AJ88" s="82" t="str">
        <f t="shared" si="169"/>
        <v/>
      </c>
      <c r="AK88" s="48" t="str">
        <f t="shared" si="170"/>
        <v/>
      </c>
      <c r="AL88" s="48" t="str">
        <f t="shared" si="171"/>
        <v/>
      </c>
      <c r="AM88" s="84" t="str">
        <f t="shared" si="172"/>
        <v/>
      </c>
      <c r="AN88" s="82" t="str">
        <f t="shared" si="173"/>
        <v/>
      </c>
      <c r="AO88" s="48" t="str">
        <f t="shared" si="174"/>
        <v/>
      </c>
      <c r="AP88" s="48" t="str">
        <f t="shared" si="175"/>
        <v/>
      </c>
      <c r="AQ88" s="84" t="str">
        <f t="shared" si="176"/>
        <v/>
      </c>
      <c r="AR88" s="82" t="str">
        <f t="shared" si="177"/>
        <v/>
      </c>
      <c r="AS88" s="48" t="str">
        <f t="shared" si="178"/>
        <v/>
      </c>
      <c r="AT88" s="48" t="str">
        <f t="shared" si="179"/>
        <v/>
      </c>
      <c r="AU88" s="84" t="str">
        <f t="shared" si="180"/>
        <v/>
      </c>
      <c r="AV88" s="82" t="str">
        <f t="shared" si="181"/>
        <v/>
      </c>
      <c r="AW88" s="48" t="str">
        <f t="shared" si="182"/>
        <v/>
      </c>
      <c r="AX88" s="48" t="str">
        <f t="shared" si="183"/>
        <v/>
      </c>
      <c r="AY88" s="84" t="str">
        <f t="shared" si="184"/>
        <v/>
      </c>
      <c r="AZ88" s="82" t="str">
        <f t="shared" si="185"/>
        <v/>
      </c>
      <c r="BA88" s="48" t="str">
        <f t="shared" si="186"/>
        <v/>
      </c>
      <c r="BB88" s="48" t="str">
        <f t="shared" si="187"/>
        <v/>
      </c>
      <c r="BC88" s="84" t="str">
        <f t="shared" si="188"/>
        <v/>
      </c>
      <c r="BD88" s="82" t="str">
        <f t="shared" si="189"/>
        <v/>
      </c>
      <c r="BE88" s="48" t="str">
        <f t="shared" si="190"/>
        <v/>
      </c>
      <c r="BF88" s="48" t="str">
        <f t="shared" si="191"/>
        <v/>
      </c>
      <c r="BG88" s="84" t="str">
        <f t="shared" si="192"/>
        <v/>
      </c>
      <c r="BH88" s="87" t="str">
        <f t="shared" si="193"/>
        <v/>
      </c>
      <c r="BI88" s="49" t="str">
        <f t="shared" si="194"/>
        <v/>
      </c>
      <c r="BJ88" s="49" t="str">
        <f t="shared" si="195"/>
        <v/>
      </c>
      <c r="BK88" s="89" t="str">
        <f t="shared" si="196"/>
        <v/>
      </c>
      <c r="BL88" s="87" t="str">
        <f t="shared" si="197"/>
        <v/>
      </c>
      <c r="BM88" s="49" t="str">
        <f t="shared" si="198"/>
        <v/>
      </c>
      <c r="BN88" s="49" t="str">
        <f t="shared" si="199"/>
        <v/>
      </c>
      <c r="BO88" s="89" t="str">
        <f t="shared" si="200"/>
        <v/>
      </c>
      <c r="BP88" s="87" t="str">
        <f t="shared" si="201"/>
        <v/>
      </c>
      <c r="BQ88" s="49" t="str">
        <f t="shared" si="202"/>
        <v/>
      </c>
      <c r="BR88" s="49" t="str">
        <f t="shared" si="203"/>
        <v/>
      </c>
      <c r="BS88" s="89" t="str">
        <f t="shared" si="204"/>
        <v/>
      </c>
      <c r="BT88" s="87" t="str">
        <f t="shared" si="205"/>
        <v/>
      </c>
    </row>
    <row r="89" spans="2:72" s="93" customFormat="1" hidden="1">
      <c r="B89" s="81">
        <f>Weekly!B81</f>
        <v>0</v>
      </c>
      <c r="C89" s="90">
        <f>Weekly!C81</f>
        <v>0</v>
      </c>
      <c r="D89" s="90" t="str">
        <f>Weekly!D47</f>
        <v>Nguyen</v>
      </c>
      <c r="E89" s="91" t="e">
        <f>VLOOKUP(B89,Team!$B$4:$E$183,4,FALSE)</f>
        <v>#N/A</v>
      </c>
      <c r="F89" s="92" t="str">
        <f>Weekly!G81</f>
        <v/>
      </c>
      <c r="G89" s="92" t="str">
        <f>Weekly!H81</f>
        <v/>
      </c>
      <c r="H89" s="48" t="str">
        <f t="shared" si="141"/>
        <v/>
      </c>
      <c r="I89" s="48" t="str">
        <f t="shared" si="142"/>
        <v/>
      </c>
      <c r="J89" s="48" t="str">
        <f t="shared" si="143"/>
        <v/>
      </c>
      <c r="K89" s="84" t="str">
        <f t="shared" si="144"/>
        <v/>
      </c>
      <c r="L89" s="82" t="str">
        <f t="shared" si="145"/>
        <v/>
      </c>
      <c r="M89" s="48" t="str">
        <f t="shared" si="146"/>
        <v/>
      </c>
      <c r="N89" s="48" t="str">
        <f t="shared" si="147"/>
        <v/>
      </c>
      <c r="O89" s="84" t="str">
        <f t="shared" si="148"/>
        <v/>
      </c>
      <c r="P89" s="82" t="str">
        <f t="shared" si="149"/>
        <v/>
      </c>
      <c r="Q89" s="48" t="str">
        <f t="shared" si="150"/>
        <v/>
      </c>
      <c r="R89" s="48" t="str">
        <f t="shared" si="151"/>
        <v/>
      </c>
      <c r="S89" s="84" t="str">
        <f t="shared" si="152"/>
        <v/>
      </c>
      <c r="T89" s="82" t="str">
        <f t="shared" si="153"/>
        <v/>
      </c>
      <c r="U89" s="48" t="str">
        <f t="shared" si="154"/>
        <v/>
      </c>
      <c r="V89" s="48" t="str">
        <f t="shared" si="155"/>
        <v/>
      </c>
      <c r="W89" s="84" t="str">
        <f t="shared" si="156"/>
        <v/>
      </c>
      <c r="X89" s="82" t="str">
        <f t="shared" si="157"/>
        <v/>
      </c>
      <c r="Y89" s="48" t="str">
        <f t="shared" si="158"/>
        <v/>
      </c>
      <c r="Z89" s="48" t="str">
        <f t="shared" si="159"/>
        <v/>
      </c>
      <c r="AA89" s="84" t="str">
        <f t="shared" si="160"/>
        <v/>
      </c>
      <c r="AB89" s="82" t="str">
        <f t="shared" si="161"/>
        <v/>
      </c>
      <c r="AC89" s="48" t="str">
        <f t="shared" si="162"/>
        <v/>
      </c>
      <c r="AD89" s="48" t="str">
        <f t="shared" si="163"/>
        <v/>
      </c>
      <c r="AE89" s="84" t="str">
        <f t="shared" si="164"/>
        <v/>
      </c>
      <c r="AF89" s="82" t="str">
        <f t="shared" si="165"/>
        <v/>
      </c>
      <c r="AG89" s="48" t="str">
        <f t="shared" si="166"/>
        <v/>
      </c>
      <c r="AH89" s="48" t="str">
        <f t="shared" si="167"/>
        <v/>
      </c>
      <c r="AI89" s="84" t="str">
        <f t="shared" si="168"/>
        <v/>
      </c>
      <c r="AJ89" s="82" t="str">
        <f t="shared" si="169"/>
        <v/>
      </c>
      <c r="AK89" s="48" t="str">
        <f t="shared" si="170"/>
        <v/>
      </c>
      <c r="AL89" s="48" t="str">
        <f t="shared" si="171"/>
        <v/>
      </c>
      <c r="AM89" s="84" t="str">
        <f t="shared" si="172"/>
        <v/>
      </c>
      <c r="AN89" s="82" t="str">
        <f t="shared" si="173"/>
        <v/>
      </c>
      <c r="AO89" s="48" t="str">
        <f t="shared" si="174"/>
        <v/>
      </c>
      <c r="AP89" s="48" t="str">
        <f t="shared" si="175"/>
        <v/>
      </c>
      <c r="AQ89" s="84" t="str">
        <f t="shared" si="176"/>
        <v/>
      </c>
      <c r="AR89" s="82" t="str">
        <f t="shared" si="177"/>
        <v/>
      </c>
      <c r="AS89" s="48" t="str">
        <f t="shared" si="178"/>
        <v/>
      </c>
      <c r="AT89" s="48" t="str">
        <f t="shared" si="179"/>
        <v/>
      </c>
      <c r="AU89" s="84" t="str">
        <f t="shared" si="180"/>
        <v/>
      </c>
      <c r="AV89" s="82" t="str">
        <f t="shared" si="181"/>
        <v/>
      </c>
      <c r="AW89" s="48" t="str">
        <f t="shared" si="182"/>
        <v/>
      </c>
      <c r="AX89" s="48" t="str">
        <f t="shared" si="183"/>
        <v/>
      </c>
      <c r="AY89" s="84" t="str">
        <f t="shared" si="184"/>
        <v/>
      </c>
      <c r="AZ89" s="82" t="str">
        <f t="shared" si="185"/>
        <v/>
      </c>
      <c r="BA89" s="48" t="str">
        <f t="shared" si="186"/>
        <v/>
      </c>
      <c r="BB89" s="48" t="str">
        <f t="shared" si="187"/>
        <v/>
      </c>
      <c r="BC89" s="84" t="str">
        <f t="shared" si="188"/>
        <v/>
      </c>
      <c r="BD89" s="82" t="str">
        <f t="shared" si="189"/>
        <v/>
      </c>
      <c r="BE89" s="48" t="str">
        <f t="shared" si="190"/>
        <v/>
      </c>
      <c r="BF89" s="48" t="str">
        <f t="shared" si="191"/>
        <v/>
      </c>
      <c r="BG89" s="84" t="str">
        <f t="shared" si="192"/>
        <v/>
      </c>
      <c r="BH89" s="87" t="str">
        <f t="shared" si="193"/>
        <v/>
      </c>
      <c r="BI89" s="49" t="str">
        <f t="shared" si="194"/>
        <v/>
      </c>
      <c r="BJ89" s="49" t="str">
        <f t="shared" si="195"/>
        <v/>
      </c>
      <c r="BK89" s="89" t="str">
        <f t="shared" si="196"/>
        <v/>
      </c>
      <c r="BL89" s="87" t="str">
        <f t="shared" si="197"/>
        <v/>
      </c>
      <c r="BM89" s="49" t="str">
        <f t="shared" si="198"/>
        <v/>
      </c>
      <c r="BN89" s="49" t="str">
        <f t="shared" si="199"/>
        <v/>
      </c>
      <c r="BO89" s="89" t="str">
        <f t="shared" si="200"/>
        <v/>
      </c>
      <c r="BP89" s="87" t="str">
        <f t="shared" si="201"/>
        <v/>
      </c>
      <c r="BQ89" s="49" t="str">
        <f t="shared" si="202"/>
        <v/>
      </c>
      <c r="BR89" s="49" t="str">
        <f t="shared" si="203"/>
        <v/>
      </c>
      <c r="BS89" s="89" t="str">
        <f t="shared" si="204"/>
        <v/>
      </c>
      <c r="BT89" s="87" t="str">
        <f t="shared" si="205"/>
        <v/>
      </c>
    </row>
    <row r="90" spans="2:72" s="93" customFormat="1" hidden="1">
      <c r="B90" s="81">
        <f>Weekly!B82</f>
        <v>0</v>
      </c>
      <c r="C90" s="90">
        <f>Weekly!C82</f>
        <v>0</v>
      </c>
      <c r="D90" s="90" t="str">
        <f>Weekly!D54</f>
        <v>Ma</v>
      </c>
      <c r="E90" s="91" t="e">
        <f>VLOOKUP(B90,Team!$B$4:$E$183,4,FALSE)</f>
        <v>#N/A</v>
      </c>
      <c r="F90" s="92" t="str">
        <f>Weekly!G82</f>
        <v/>
      </c>
      <c r="G90" s="92" t="str">
        <f>Weekly!H82</f>
        <v/>
      </c>
      <c r="H90" s="48" t="str">
        <f t="shared" si="141"/>
        <v/>
      </c>
      <c r="I90" s="48" t="str">
        <f t="shared" si="142"/>
        <v/>
      </c>
      <c r="J90" s="48" t="str">
        <f t="shared" si="143"/>
        <v/>
      </c>
      <c r="K90" s="84" t="str">
        <f t="shared" si="144"/>
        <v/>
      </c>
      <c r="L90" s="82" t="str">
        <f t="shared" si="145"/>
        <v/>
      </c>
      <c r="M90" s="48" t="str">
        <f t="shared" si="146"/>
        <v/>
      </c>
      <c r="N90" s="48" t="str">
        <f t="shared" si="147"/>
        <v/>
      </c>
      <c r="O90" s="84" t="str">
        <f t="shared" si="148"/>
        <v/>
      </c>
      <c r="P90" s="82" t="str">
        <f t="shared" si="149"/>
        <v/>
      </c>
      <c r="Q90" s="48" t="str">
        <f t="shared" si="150"/>
        <v/>
      </c>
      <c r="R90" s="48" t="str">
        <f t="shared" si="151"/>
        <v/>
      </c>
      <c r="S90" s="84" t="str">
        <f t="shared" si="152"/>
        <v/>
      </c>
      <c r="T90" s="82" t="str">
        <f t="shared" si="153"/>
        <v/>
      </c>
      <c r="U90" s="48" t="str">
        <f t="shared" si="154"/>
        <v/>
      </c>
      <c r="V90" s="48" t="str">
        <f t="shared" si="155"/>
        <v/>
      </c>
      <c r="W90" s="84" t="str">
        <f t="shared" si="156"/>
        <v/>
      </c>
      <c r="X90" s="82" t="str">
        <f t="shared" si="157"/>
        <v/>
      </c>
      <c r="Y90" s="48" t="str">
        <f t="shared" si="158"/>
        <v/>
      </c>
      <c r="Z90" s="48" t="str">
        <f t="shared" si="159"/>
        <v/>
      </c>
      <c r="AA90" s="84" t="str">
        <f t="shared" si="160"/>
        <v/>
      </c>
      <c r="AB90" s="82" t="str">
        <f t="shared" si="161"/>
        <v/>
      </c>
      <c r="AC90" s="48" t="str">
        <f t="shared" si="162"/>
        <v/>
      </c>
      <c r="AD90" s="48" t="str">
        <f t="shared" si="163"/>
        <v/>
      </c>
      <c r="AE90" s="84" t="str">
        <f t="shared" si="164"/>
        <v/>
      </c>
      <c r="AF90" s="82" t="str">
        <f t="shared" si="165"/>
        <v/>
      </c>
      <c r="AG90" s="48" t="str">
        <f t="shared" si="166"/>
        <v/>
      </c>
      <c r="AH90" s="48" t="str">
        <f t="shared" si="167"/>
        <v/>
      </c>
      <c r="AI90" s="84" t="str">
        <f t="shared" si="168"/>
        <v/>
      </c>
      <c r="AJ90" s="82" t="str">
        <f t="shared" si="169"/>
        <v/>
      </c>
      <c r="AK90" s="48" t="str">
        <f t="shared" si="170"/>
        <v/>
      </c>
      <c r="AL90" s="48" t="str">
        <f t="shared" si="171"/>
        <v/>
      </c>
      <c r="AM90" s="84" t="str">
        <f t="shared" si="172"/>
        <v/>
      </c>
      <c r="AN90" s="82" t="str">
        <f t="shared" si="173"/>
        <v/>
      </c>
      <c r="AO90" s="48" t="str">
        <f t="shared" si="174"/>
        <v/>
      </c>
      <c r="AP90" s="48" t="str">
        <f t="shared" si="175"/>
        <v/>
      </c>
      <c r="AQ90" s="84" t="str">
        <f t="shared" si="176"/>
        <v/>
      </c>
      <c r="AR90" s="82" t="str">
        <f t="shared" si="177"/>
        <v/>
      </c>
      <c r="AS90" s="48" t="str">
        <f t="shared" si="178"/>
        <v/>
      </c>
      <c r="AT90" s="48" t="str">
        <f t="shared" si="179"/>
        <v/>
      </c>
      <c r="AU90" s="84" t="str">
        <f t="shared" si="180"/>
        <v/>
      </c>
      <c r="AV90" s="82" t="str">
        <f t="shared" si="181"/>
        <v/>
      </c>
      <c r="AW90" s="48" t="str">
        <f t="shared" si="182"/>
        <v/>
      </c>
      <c r="AX90" s="48" t="str">
        <f t="shared" si="183"/>
        <v/>
      </c>
      <c r="AY90" s="84" t="str">
        <f t="shared" si="184"/>
        <v/>
      </c>
      <c r="AZ90" s="82" t="str">
        <f t="shared" si="185"/>
        <v/>
      </c>
      <c r="BA90" s="48" t="str">
        <f t="shared" si="186"/>
        <v/>
      </c>
      <c r="BB90" s="48" t="str">
        <f t="shared" si="187"/>
        <v/>
      </c>
      <c r="BC90" s="84" t="str">
        <f t="shared" si="188"/>
        <v/>
      </c>
      <c r="BD90" s="82" t="str">
        <f t="shared" si="189"/>
        <v/>
      </c>
      <c r="BE90" s="48" t="str">
        <f t="shared" si="190"/>
        <v/>
      </c>
      <c r="BF90" s="48" t="str">
        <f t="shared" si="191"/>
        <v/>
      </c>
      <c r="BG90" s="84" t="str">
        <f t="shared" si="192"/>
        <v/>
      </c>
      <c r="BH90" s="87" t="str">
        <f t="shared" si="193"/>
        <v/>
      </c>
      <c r="BI90" s="49" t="str">
        <f t="shared" si="194"/>
        <v/>
      </c>
      <c r="BJ90" s="49" t="str">
        <f t="shared" si="195"/>
        <v/>
      </c>
      <c r="BK90" s="89" t="str">
        <f t="shared" si="196"/>
        <v/>
      </c>
      <c r="BL90" s="87" t="str">
        <f t="shared" si="197"/>
        <v/>
      </c>
      <c r="BM90" s="49" t="str">
        <f t="shared" si="198"/>
        <v/>
      </c>
      <c r="BN90" s="49" t="str">
        <f t="shared" si="199"/>
        <v/>
      </c>
      <c r="BO90" s="89" t="str">
        <f t="shared" si="200"/>
        <v/>
      </c>
      <c r="BP90" s="87" t="str">
        <f t="shared" si="201"/>
        <v/>
      </c>
      <c r="BQ90" s="49" t="str">
        <f t="shared" si="202"/>
        <v/>
      </c>
      <c r="BR90" s="49" t="str">
        <f t="shared" si="203"/>
        <v/>
      </c>
      <c r="BS90" s="89" t="str">
        <f t="shared" si="204"/>
        <v/>
      </c>
      <c r="BT90" s="87" t="str">
        <f t="shared" si="205"/>
        <v/>
      </c>
    </row>
    <row r="91" spans="2:72" s="93" customFormat="1" hidden="1">
      <c r="B91" s="81">
        <f>Weekly!B83</f>
        <v>0</v>
      </c>
      <c r="C91" s="90">
        <f>Weekly!C83</f>
        <v>0</v>
      </c>
      <c r="D91" s="90" t="str">
        <f>Weekly!D49</f>
        <v>Lin</v>
      </c>
      <c r="E91" s="91" t="e">
        <f>VLOOKUP(B91,Team!$B$4:$E$183,4,FALSE)</f>
        <v>#N/A</v>
      </c>
      <c r="F91" s="92" t="str">
        <f>Weekly!G83</f>
        <v/>
      </c>
      <c r="G91" s="92" t="str">
        <f>Weekly!H83</f>
        <v/>
      </c>
      <c r="H91" s="48" t="str">
        <f t="shared" si="141"/>
        <v/>
      </c>
      <c r="I91" s="48" t="str">
        <f t="shared" si="142"/>
        <v/>
      </c>
      <c r="J91" s="48" t="str">
        <f t="shared" si="143"/>
        <v/>
      </c>
      <c r="K91" s="84" t="str">
        <f t="shared" si="144"/>
        <v/>
      </c>
      <c r="L91" s="82" t="str">
        <f t="shared" si="145"/>
        <v/>
      </c>
      <c r="M91" s="48" t="str">
        <f t="shared" si="146"/>
        <v/>
      </c>
      <c r="N91" s="48" t="str">
        <f t="shared" si="147"/>
        <v/>
      </c>
      <c r="O91" s="84" t="str">
        <f t="shared" si="148"/>
        <v/>
      </c>
      <c r="P91" s="82" t="str">
        <f t="shared" si="149"/>
        <v/>
      </c>
      <c r="Q91" s="48" t="str">
        <f t="shared" si="150"/>
        <v/>
      </c>
      <c r="R91" s="48" t="str">
        <f t="shared" si="151"/>
        <v/>
      </c>
      <c r="S91" s="84" t="str">
        <f t="shared" si="152"/>
        <v/>
      </c>
      <c r="T91" s="82" t="str">
        <f t="shared" si="153"/>
        <v/>
      </c>
      <c r="U91" s="48" t="str">
        <f t="shared" si="154"/>
        <v/>
      </c>
      <c r="V91" s="48" t="str">
        <f t="shared" si="155"/>
        <v/>
      </c>
      <c r="W91" s="84" t="str">
        <f t="shared" si="156"/>
        <v/>
      </c>
      <c r="X91" s="82" t="str">
        <f t="shared" si="157"/>
        <v/>
      </c>
      <c r="Y91" s="48" t="str">
        <f t="shared" si="158"/>
        <v/>
      </c>
      <c r="Z91" s="48" t="str">
        <f t="shared" si="159"/>
        <v/>
      </c>
      <c r="AA91" s="84" t="str">
        <f t="shared" si="160"/>
        <v/>
      </c>
      <c r="AB91" s="82" t="str">
        <f t="shared" si="161"/>
        <v/>
      </c>
      <c r="AC91" s="48" t="str">
        <f t="shared" si="162"/>
        <v/>
      </c>
      <c r="AD91" s="48" t="str">
        <f t="shared" si="163"/>
        <v/>
      </c>
      <c r="AE91" s="84" t="str">
        <f t="shared" si="164"/>
        <v/>
      </c>
      <c r="AF91" s="82" t="str">
        <f t="shared" si="165"/>
        <v/>
      </c>
      <c r="AG91" s="48" t="str">
        <f t="shared" si="166"/>
        <v/>
      </c>
      <c r="AH91" s="48" t="str">
        <f t="shared" si="167"/>
        <v/>
      </c>
      <c r="AI91" s="84" t="str">
        <f t="shared" si="168"/>
        <v/>
      </c>
      <c r="AJ91" s="82" t="str">
        <f t="shared" si="169"/>
        <v/>
      </c>
      <c r="AK91" s="48" t="str">
        <f t="shared" si="170"/>
        <v/>
      </c>
      <c r="AL91" s="48" t="str">
        <f t="shared" si="171"/>
        <v/>
      </c>
      <c r="AM91" s="84" t="str">
        <f t="shared" si="172"/>
        <v/>
      </c>
      <c r="AN91" s="82" t="str">
        <f t="shared" si="173"/>
        <v/>
      </c>
      <c r="AO91" s="48" t="str">
        <f t="shared" si="174"/>
        <v/>
      </c>
      <c r="AP91" s="48" t="str">
        <f t="shared" si="175"/>
        <v/>
      </c>
      <c r="AQ91" s="84" t="str">
        <f t="shared" si="176"/>
        <v/>
      </c>
      <c r="AR91" s="82" t="str">
        <f t="shared" si="177"/>
        <v/>
      </c>
      <c r="AS91" s="48" t="str">
        <f t="shared" si="178"/>
        <v/>
      </c>
      <c r="AT91" s="48" t="str">
        <f t="shared" si="179"/>
        <v/>
      </c>
      <c r="AU91" s="84" t="str">
        <f t="shared" si="180"/>
        <v/>
      </c>
      <c r="AV91" s="82" t="str">
        <f t="shared" si="181"/>
        <v/>
      </c>
      <c r="AW91" s="48" t="str">
        <f t="shared" si="182"/>
        <v/>
      </c>
      <c r="AX91" s="48" t="str">
        <f t="shared" si="183"/>
        <v/>
      </c>
      <c r="AY91" s="84" t="str">
        <f t="shared" si="184"/>
        <v/>
      </c>
      <c r="AZ91" s="82" t="str">
        <f t="shared" si="185"/>
        <v/>
      </c>
      <c r="BA91" s="48" t="str">
        <f t="shared" si="186"/>
        <v/>
      </c>
      <c r="BB91" s="48" t="str">
        <f t="shared" si="187"/>
        <v/>
      </c>
      <c r="BC91" s="84" t="str">
        <f t="shared" si="188"/>
        <v/>
      </c>
      <c r="BD91" s="82" t="str">
        <f t="shared" si="189"/>
        <v/>
      </c>
      <c r="BE91" s="48" t="str">
        <f t="shared" si="190"/>
        <v/>
      </c>
      <c r="BF91" s="48" t="str">
        <f t="shared" si="191"/>
        <v/>
      </c>
      <c r="BG91" s="84" t="str">
        <f t="shared" si="192"/>
        <v/>
      </c>
      <c r="BH91" s="87" t="str">
        <f t="shared" si="193"/>
        <v/>
      </c>
      <c r="BI91" s="49" t="str">
        <f t="shared" si="194"/>
        <v/>
      </c>
      <c r="BJ91" s="49" t="str">
        <f t="shared" si="195"/>
        <v/>
      </c>
      <c r="BK91" s="89" t="str">
        <f t="shared" si="196"/>
        <v/>
      </c>
      <c r="BL91" s="87" t="str">
        <f t="shared" si="197"/>
        <v/>
      </c>
      <c r="BM91" s="49" t="str">
        <f t="shared" si="198"/>
        <v/>
      </c>
      <c r="BN91" s="49" t="str">
        <f t="shared" si="199"/>
        <v/>
      </c>
      <c r="BO91" s="89" t="str">
        <f t="shared" si="200"/>
        <v/>
      </c>
      <c r="BP91" s="87" t="str">
        <f t="shared" si="201"/>
        <v/>
      </c>
      <c r="BQ91" s="49" t="str">
        <f t="shared" si="202"/>
        <v/>
      </c>
      <c r="BR91" s="49" t="str">
        <f t="shared" si="203"/>
        <v/>
      </c>
      <c r="BS91" s="89" t="str">
        <f t="shared" si="204"/>
        <v/>
      </c>
      <c r="BT91" s="87" t="str">
        <f t="shared" si="205"/>
        <v/>
      </c>
    </row>
    <row r="92" spans="2:72" s="93" customFormat="1" hidden="1">
      <c r="B92" s="81">
        <f>Weekly!B84</f>
        <v>0</v>
      </c>
      <c r="C92" s="90">
        <f>Weekly!C84</f>
        <v>0</v>
      </c>
      <c r="D92" s="90" t="str">
        <f>Weekly!D17</f>
        <v>Oh</v>
      </c>
      <c r="E92" s="91" t="e">
        <f>VLOOKUP(B92,Team!$B$4:$E$183,4,FALSE)</f>
        <v>#N/A</v>
      </c>
      <c r="F92" s="92" t="str">
        <f>Weekly!G84</f>
        <v/>
      </c>
      <c r="G92" s="92" t="str">
        <f>Weekly!H84</f>
        <v/>
      </c>
      <c r="H92" s="48" t="str">
        <f t="shared" si="141"/>
        <v/>
      </c>
      <c r="I92" s="48" t="str">
        <f t="shared" si="142"/>
        <v/>
      </c>
      <c r="J92" s="48" t="str">
        <f t="shared" si="143"/>
        <v/>
      </c>
      <c r="K92" s="84" t="str">
        <f t="shared" si="144"/>
        <v/>
      </c>
      <c r="L92" s="82" t="str">
        <f t="shared" si="145"/>
        <v/>
      </c>
      <c r="M92" s="48" t="str">
        <f t="shared" si="146"/>
        <v/>
      </c>
      <c r="N92" s="48" t="str">
        <f t="shared" si="147"/>
        <v/>
      </c>
      <c r="O92" s="84" t="str">
        <f t="shared" si="148"/>
        <v/>
      </c>
      <c r="P92" s="82" t="str">
        <f t="shared" si="149"/>
        <v/>
      </c>
      <c r="Q92" s="48" t="str">
        <f t="shared" si="150"/>
        <v/>
      </c>
      <c r="R92" s="48" t="str">
        <f t="shared" si="151"/>
        <v/>
      </c>
      <c r="S92" s="84" t="str">
        <f t="shared" si="152"/>
        <v/>
      </c>
      <c r="T92" s="82" t="str">
        <f t="shared" si="153"/>
        <v/>
      </c>
      <c r="U92" s="48" t="str">
        <f t="shared" si="154"/>
        <v/>
      </c>
      <c r="V92" s="48" t="str">
        <f t="shared" si="155"/>
        <v/>
      </c>
      <c r="W92" s="84" t="str">
        <f t="shared" si="156"/>
        <v/>
      </c>
      <c r="X92" s="82" t="str">
        <f t="shared" si="157"/>
        <v/>
      </c>
      <c r="Y92" s="48" t="str">
        <f t="shared" si="158"/>
        <v/>
      </c>
      <c r="Z92" s="48" t="str">
        <f t="shared" si="159"/>
        <v/>
      </c>
      <c r="AA92" s="84" t="str">
        <f t="shared" si="160"/>
        <v/>
      </c>
      <c r="AB92" s="82" t="str">
        <f t="shared" si="161"/>
        <v/>
      </c>
      <c r="AC92" s="48" t="str">
        <f t="shared" si="162"/>
        <v/>
      </c>
      <c r="AD92" s="48" t="str">
        <f t="shared" si="163"/>
        <v/>
      </c>
      <c r="AE92" s="84" t="str">
        <f t="shared" si="164"/>
        <v/>
      </c>
      <c r="AF92" s="82" t="str">
        <f t="shared" si="165"/>
        <v/>
      </c>
      <c r="AG92" s="48" t="str">
        <f t="shared" si="166"/>
        <v/>
      </c>
      <c r="AH92" s="48" t="str">
        <f t="shared" si="167"/>
        <v/>
      </c>
      <c r="AI92" s="84" t="str">
        <f t="shared" si="168"/>
        <v/>
      </c>
      <c r="AJ92" s="82" t="str">
        <f t="shared" si="169"/>
        <v/>
      </c>
      <c r="AK92" s="48" t="str">
        <f t="shared" si="170"/>
        <v/>
      </c>
      <c r="AL92" s="48" t="str">
        <f t="shared" si="171"/>
        <v/>
      </c>
      <c r="AM92" s="84" t="str">
        <f t="shared" si="172"/>
        <v/>
      </c>
      <c r="AN92" s="82" t="str">
        <f t="shared" si="173"/>
        <v/>
      </c>
      <c r="AO92" s="48" t="str">
        <f t="shared" si="174"/>
        <v/>
      </c>
      <c r="AP92" s="48" t="str">
        <f t="shared" si="175"/>
        <v/>
      </c>
      <c r="AQ92" s="84" t="str">
        <f t="shared" si="176"/>
        <v/>
      </c>
      <c r="AR92" s="82" t="str">
        <f t="shared" si="177"/>
        <v/>
      </c>
      <c r="AS92" s="48" t="str">
        <f t="shared" si="178"/>
        <v/>
      </c>
      <c r="AT92" s="48" t="str">
        <f t="shared" si="179"/>
        <v/>
      </c>
      <c r="AU92" s="84" t="str">
        <f t="shared" si="180"/>
        <v/>
      </c>
      <c r="AV92" s="82" t="str">
        <f t="shared" si="181"/>
        <v/>
      </c>
      <c r="AW92" s="48" t="str">
        <f t="shared" si="182"/>
        <v/>
      </c>
      <c r="AX92" s="48" t="str">
        <f t="shared" si="183"/>
        <v/>
      </c>
      <c r="AY92" s="84" t="str">
        <f t="shared" si="184"/>
        <v/>
      </c>
      <c r="AZ92" s="82" t="str">
        <f t="shared" si="185"/>
        <v/>
      </c>
      <c r="BA92" s="48" t="str">
        <f t="shared" si="186"/>
        <v/>
      </c>
      <c r="BB92" s="48" t="str">
        <f t="shared" si="187"/>
        <v/>
      </c>
      <c r="BC92" s="84" t="str">
        <f t="shared" si="188"/>
        <v/>
      </c>
      <c r="BD92" s="82" t="str">
        <f t="shared" si="189"/>
        <v/>
      </c>
      <c r="BE92" s="48" t="str">
        <f t="shared" si="190"/>
        <v/>
      </c>
      <c r="BF92" s="48" t="str">
        <f t="shared" si="191"/>
        <v/>
      </c>
      <c r="BG92" s="84" t="str">
        <f t="shared" si="192"/>
        <v/>
      </c>
      <c r="BH92" s="87" t="str">
        <f t="shared" si="193"/>
        <v/>
      </c>
      <c r="BI92" s="49" t="str">
        <f t="shared" si="194"/>
        <v/>
      </c>
      <c r="BJ92" s="49" t="str">
        <f t="shared" si="195"/>
        <v/>
      </c>
      <c r="BK92" s="89" t="str">
        <f t="shared" si="196"/>
        <v/>
      </c>
      <c r="BL92" s="87" t="str">
        <f t="shared" si="197"/>
        <v/>
      </c>
      <c r="BM92" s="49" t="str">
        <f t="shared" si="198"/>
        <v/>
      </c>
      <c r="BN92" s="49" t="str">
        <f t="shared" si="199"/>
        <v/>
      </c>
      <c r="BO92" s="89" t="str">
        <f t="shared" si="200"/>
        <v/>
      </c>
      <c r="BP92" s="87" t="str">
        <f t="shared" si="201"/>
        <v/>
      </c>
      <c r="BQ92" s="49" t="str">
        <f t="shared" si="202"/>
        <v/>
      </c>
      <c r="BR92" s="49" t="str">
        <f t="shared" si="203"/>
        <v/>
      </c>
      <c r="BS92" s="89" t="str">
        <f t="shared" si="204"/>
        <v/>
      </c>
      <c r="BT92" s="87" t="str">
        <f t="shared" si="205"/>
        <v/>
      </c>
    </row>
    <row r="93" spans="2:72" s="93" customFormat="1" hidden="1">
      <c r="B93" s="81">
        <f>Weekly!B85</f>
        <v>0</v>
      </c>
      <c r="C93" s="90">
        <f>Weekly!C85</f>
        <v>0</v>
      </c>
      <c r="D93" s="90" t="str">
        <f>Weekly!D19</f>
        <v>Hou</v>
      </c>
      <c r="E93" s="91" t="e">
        <f>VLOOKUP(B93,Team!$B$4:$E$183,4,FALSE)</f>
        <v>#N/A</v>
      </c>
      <c r="F93" s="92" t="str">
        <f>Weekly!G85</f>
        <v/>
      </c>
      <c r="G93" s="92" t="str">
        <f>Weekly!H85</f>
        <v/>
      </c>
      <c r="H93" s="48" t="str">
        <f t="shared" si="141"/>
        <v/>
      </c>
      <c r="I93" s="48" t="str">
        <f t="shared" si="142"/>
        <v/>
      </c>
      <c r="J93" s="48" t="str">
        <f t="shared" si="143"/>
        <v/>
      </c>
      <c r="K93" s="84" t="str">
        <f t="shared" si="144"/>
        <v/>
      </c>
      <c r="L93" s="82" t="str">
        <f t="shared" si="145"/>
        <v/>
      </c>
      <c r="M93" s="48" t="str">
        <f t="shared" si="146"/>
        <v/>
      </c>
      <c r="N93" s="48" t="str">
        <f t="shared" si="147"/>
        <v/>
      </c>
      <c r="O93" s="84" t="str">
        <f t="shared" si="148"/>
        <v/>
      </c>
      <c r="P93" s="82" t="str">
        <f t="shared" si="149"/>
        <v/>
      </c>
      <c r="Q93" s="48" t="str">
        <f t="shared" si="150"/>
        <v/>
      </c>
      <c r="R93" s="48" t="str">
        <f t="shared" si="151"/>
        <v/>
      </c>
      <c r="S93" s="84" t="str">
        <f t="shared" si="152"/>
        <v/>
      </c>
      <c r="T93" s="82" t="str">
        <f t="shared" si="153"/>
        <v/>
      </c>
      <c r="U93" s="48" t="str">
        <f t="shared" si="154"/>
        <v/>
      </c>
      <c r="V93" s="48" t="str">
        <f t="shared" si="155"/>
        <v/>
      </c>
      <c r="W93" s="84" t="str">
        <f t="shared" si="156"/>
        <v/>
      </c>
      <c r="X93" s="82" t="str">
        <f t="shared" si="157"/>
        <v/>
      </c>
      <c r="Y93" s="48" t="str">
        <f t="shared" si="158"/>
        <v/>
      </c>
      <c r="Z93" s="48" t="str">
        <f t="shared" si="159"/>
        <v/>
      </c>
      <c r="AA93" s="84" t="str">
        <f t="shared" si="160"/>
        <v/>
      </c>
      <c r="AB93" s="82" t="str">
        <f t="shared" si="161"/>
        <v/>
      </c>
      <c r="AC93" s="48" t="str">
        <f t="shared" si="162"/>
        <v/>
      </c>
      <c r="AD93" s="48" t="str">
        <f t="shared" si="163"/>
        <v/>
      </c>
      <c r="AE93" s="84" t="str">
        <f t="shared" si="164"/>
        <v/>
      </c>
      <c r="AF93" s="82" t="str">
        <f t="shared" si="165"/>
        <v/>
      </c>
      <c r="AG93" s="48" t="str">
        <f t="shared" si="166"/>
        <v/>
      </c>
      <c r="AH93" s="48" t="str">
        <f t="shared" si="167"/>
        <v/>
      </c>
      <c r="AI93" s="84" t="str">
        <f t="shared" si="168"/>
        <v/>
      </c>
      <c r="AJ93" s="82" t="str">
        <f t="shared" si="169"/>
        <v/>
      </c>
      <c r="AK93" s="48" t="str">
        <f t="shared" si="170"/>
        <v/>
      </c>
      <c r="AL93" s="48" t="str">
        <f t="shared" si="171"/>
        <v/>
      </c>
      <c r="AM93" s="84" t="str">
        <f t="shared" si="172"/>
        <v/>
      </c>
      <c r="AN93" s="82" t="str">
        <f t="shared" si="173"/>
        <v/>
      </c>
      <c r="AO93" s="48" t="str">
        <f t="shared" si="174"/>
        <v/>
      </c>
      <c r="AP93" s="48" t="str">
        <f t="shared" si="175"/>
        <v/>
      </c>
      <c r="AQ93" s="84" t="str">
        <f t="shared" si="176"/>
        <v/>
      </c>
      <c r="AR93" s="82" t="str">
        <f t="shared" si="177"/>
        <v/>
      </c>
      <c r="AS93" s="48" t="str">
        <f t="shared" si="178"/>
        <v/>
      </c>
      <c r="AT93" s="48" t="str">
        <f t="shared" si="179"/>
        <v/>
      </c>
      <c r="AU93" s="84" t="str">
        <f t="shared" si="180"/>
        <v/>
      </c>
      <c r="AV93" s="82" t="str">
        <f t="shared" si="181"/>
        <v/>
      </c>
      <c r="AW93" s="48" t="str">
        <f t="shared" si="182"/>
        <v/>
      </c>
      <c r="AX93" s="48" t="str">
        <f t="shared" si="183"/>
        <v/>
      </c>
      <c r="AY93" s="84" t="str">
        <f t="shared" si="184"/>
        <v/>
      </c>
      <c r="AZ93" s="82" t="str">
        <f t="shared" si="185"/>
        <v/>
      </c>
      <c r="BA93" s="48" t="str">
        <f t="shared" si="186"/>
        <v/>
      </c>
      <c r="BB93" s="48" t="str">
        <f t="shared" si="187"/>
        <v/>
      </c>
      <c r="BC93" s="84" t="str">
        <f t="shared" si="188"/>
        <v/>
      </c>
      <c r="BD93" s="82" t="str">
        <f t="shared" si="189"/>
        <v/>
      </c>
      <c r="BE93" s="48" t="str">
        <f t="shared" si="190"/>
        <v/>
      </c>
      <c r="BF93" s="48" t="str">
        <f t="shared" si="191"/>
        <v/>
      </c>
      <c r="BG93" s="84" t="str">
        <f t="shared" si="192"/>
        <v/>
      </c>
      <c r="BH93" s="87" t="str">
        <f t="shared" si="193"/>
        <v/>
      </c>
      <c r="BI93" s="49" t="str">
        <f t="shared" si="194"/>
        <v/>
      </c>
      <c r="BJ93" s="49" t="str">
        <f t="shared" si="195"/>
        <v/>
      </c>
      <c r="BK93" s="89" t="str">
        <f t="shared" si="196"/>
        <v/>
      </c>
      <c r="BL93" s="87" t="str">
        <f t="shared" si="197"/>
        <v/>
      </c>
      <c r="BM93" s="49" t="str">
        <f t="shared" si="198"/>
        <v/>
      </c>
      <c r="BN93" s="49" t="str">
        <f t="shared" si="199"/>
        <v/>
      </c>
      <c r="BO93" s="89" t="str">
        <f t="shared" si="200"/>
        <v/>
      </c>
      <c r="BP93" s="87" t="str">
        <f t="shared" si="201"/>
        <v/>
      </c>
      <c r="BQ93" s="49" t="str">
        <f t="shared" si="202"/>
        <v/>
      </c>
      <c r="BR93" s="49" t="str">
        <f t="shared" si="203"/>
        <v/>
      </c>
      <c r="BS93" s="89" t="str">
        <f t="shared" si="204"/>
        <v/>
      </c>
      <c r="BT93" s="87" t="str">
        <f t="shared" si="205"/>
        <v/>
      </c>
    </row>
    <row r="94" spans="2:72" s="93" customFormat="1" hidden="1">
      <c r="B94" s="81">
        <f>Weekly!B86</f>
        <v>0</v>
      </c>
      <c r="C94" s="90">
        <f>Weekly!C86</f>
        <v>0</v>
      </c>
      <c r="D94" s="90" t="str">
        <f>Weekly!D31</f>
        <v>Yabut</v>
      </c>
      <c r="E94" s="91" t="e">
        <f>VLOOKUP(B94,Team!$B$4:$E$183,4,FALSE)</f>
        <v>#N/A</v>
      </c>
      <c r="F94" s="92" t="str">
        <f>Weekly!G86</f>
        <v/>
      </c>
      <c r="G94" s="92" t="str">
        <f>Weekly!H86</f>
        <v/>
      </c>
      <c r="H94" s="48" t="str">
        <f t="shared" si="141"/>
        <v/>
      </c>
      <c r="I94" s="48" t="str">
        <f t="shared" si="142"/>
        <v/>
      </c>
      <c r="J94" s="48" t="str">
        <f t="shared" si="143"/>
        <v/>
      </c>
      <c r="K94" s="84" t="str">
        <f t="shared" si="144"/>
        <v/>
      </c>
      <c r="L94" s="82" t="str">
        <f t="shared" si="145"/>
        <v/>
      </c>
      <c r="M94" s="48" t="str">
        <f t="shared" si="146"/>
        <v/>
      </c>
      <c r="N94" s="48" t="str">
        <f t="shared" si="147"/>
        <v/>
      </c>
      <c r="O94" s="84" t="str">
        <f t="shared" si="148"/>
        <v/>
      </c>
      <c r="P94" s="82" t="str">
        <f t="shared" si="149"/>
        <v/>
      </c>
      <c r="Q94" s="48" t="str">
        <f t="shared" si="150"/>
        <v/>
      </c>
      <c r="R94" s="48" t="str">
        <f t="shared" si="151"/>
        <v/>
      </c>
      <c r="S94" s="84" t="str">
        <f t="shared" si="152"/>
        <v/>
      </c>
      <c r="T94" s="82" t="str">
        <f t="shared" si="153"/>
        <v/>
      </c>
      <c r="U94" s="48" t="str">
        <f t="shared" si="154"/>
        <v/>
      </c>
      <c r="V94" s="48" t="str">
        <f t="shared" si="155"/>
        <v/>
      </c>
      <c r="W94" s="84" t="str">
        <f t="shared" si="156"/>
        <v/>
      </c>
      <c r="X94" s="82" t="str">
        <f t="shared" si="157"/>
        <v/>
      </c>
      <c r="Y94" s="48" t="str">
        <f t="shared" si="158"/>
        <v/>
      </c>
      <c r="Z94" s="48" t="str">
        <f t="shared" si="159"/>
        <v/>
      </c>
      <c r="AA94" s="84" t="str">
        <f t="shared" si="160"/>
        <v/>
      </c>
      <c r="AB94" s="82" t="str">
        <f t="shared" si="161"/>
        <v/>
      </c>
      <c r="AC94" s="48" t="str">
        <f t="shared" si="162"/>
        <v/>
      </c>
      <c r="AD94" s="48" t="str">
        <f t="shared" si="163"/>
        <v/>
      </c>
      <c r="AE94" s="84" t="str">
        <f t="shared" si="164"/>
        <v/>
      </c>
      <c r="AF94" s="82" t="str">
        <f t="shared" si="165"/>
        <v/>
      </c>
      <c r="AG94" s="48" t="str">
        <f t="shared" si="166"/>
        <v/>
      </c>
      <c r="AH94" s="48" t="str">
        <f t="shared" si="167"/>
        <v/>
      </c>
      <c r="AI94" s="84" t="str">
        <f t="shared" si="168"/>
        <v/>
      </c>
      <c r="AJ94" s="82" t="str">
        <f t="shared" si="169"/>
        <v/>
      </c>
      <c r="AK94" s="48" t="str">
        <f t="shared" si="170"/>
        <v/>
      </c>
      <c r="AL94" s="48" t="str">
        <f t="shared" si="171"/>
        <v/>
      </c>
      <c r="AM94" s="84" t="str">
        <f t="shared" si="172"/>
        <v/>
      </c>
      <c r="AN94" s="82" t="str">
        <f t="shared" si="173"/>
        <v/>
      </c>
      <c r="AO94" s="48" t="str">
        <f t="shared" si="174"/>
        <v/>
      </c>
      <c r="AP94" s="48" t="str">
        <f t="shared" si="175"/>
        <v/>
      </c>
      <c r="AQ94" s="84" t="str">
        <f t="shared" si="176"/>
        <v/>
      </c>
      <c r="AR94" s="82" t="str">
        <f t="shared" si="177"/>
        <v/>
      </c>
      <c r="AS94" s="48" t="str">
        <f t="shared" si="178"/>
        <v/>
      </c>
      <c r="AT94" s="48" t="str">
        <f t="shared" si="179"/>
        <v/>
      </c>
      <c r="AU94" s="84" t="str">
        <f t="shared" si="180"/>
        <v/>
      </c>
      <c r="AV94" s="82" t="str">
        <f t="shared" si="181"/>
        <v/>
      </c>
      <c r="AW94" s="48" t="str">
        <f t="shared" si="182"/>
        <v/>
      </c>
      <c r="AX94" s="48" t="str">
        <f t="shared" si="183"/>
        <v/>
      </c>
      <c r="AY94" s="84" t="str">
        <f t="shared" si="184"/>
        <v/>
      </c>
      <c r="AZ94" s="82" t="str">
        <f t="shared" si="185"/>
        <v/>
      </c>
      <c r="BA94" s="48" t="str">
        <f t="shared" si="186"/>
        <v/>
      </c>
      <c r="BB94" s="48" t="str">
        <f t="shared" si="187"/>
        <v/>
      </c>
      <c r="BC94" s="84" t="str">
        <f t="shared" si="188"/>
        <v/>
      </c>
      <c r="BD94" s="82" t="str">
        <f t="shared" si="189"/>
        <v/>
      </c>
      <c r="BE94" s="48" t="str">
        <f t="shared" si="190"/>
        <v/>
      </c>
      <c r="BF94" s="48" t="str">
        <f t="shared" si="191"/>
        <v/>
      </c>
      <c r="BG94" s="84" t="str">
        <f t="shared" si="192"/>
        <v/>
      </c>
      <c r="BH94" s="87" t="str">
        <f t="shared" si="193"/>
        <v/>
      </c>
      <c r="BI94" s="49" t="str">
        <f t="shared" si="194"/>
        <v/>
      </c>
      <c r="BJ94" s="49" t="str">
        <f t="shared" si="195"/>
        <v/>
      </c>
      <c r="BK94" s="89" t="str">
        <f t="shared" si="196"/>
        <v/>
      </c>
      <c r="BL94" s="87" t="str">
        <f t="shared" si="197"/>
        <v/>
      </c>
      <c r="BM94" s="49" t="str">
        <f t="shared" si="198"/>
        <v/>
      </c>
      <c r="BN94" s="49" t="str">
        <f t="shared" si="199"/>
        <v/>
      </c>
      <c r="BO94" s="89" t="str">
        <f t="shared" si="200"/>
        <v/>
      </c>
      <c r="BP94" s="87" t="str">
        <f t="shared" si="201"/>
        <v/>
      </c>
      <c r="BQ94" s="49" t="str">
        <f t="shared" si="202"/>
        <v/>
      </c>
      <c r="BR94" s="49" t="str">
        <f t="shared" si="203"/>
        <v/>
      </c>
      <c r="BS94" s="89" t="str">
        <f t="shared" si="204"/>
        <v/>
      </c>
      <c r="BT94" s="87" t="str">
        <f t="shared" si="205"/>
        <v/>
      </c>
    </row>
    <row r="95" spans="2:72" s="93" customFormat="1" hidden="1">
      <c r="B95" s="81">
        <f>Weekly!B87</f>
        <v>0</v>
      </c>
      <c r="C95" s="90">
        <f>Weekly!C87</f>
        <v>0</v>
      </c>
      <c r="D95" s="90" t="str">
        <f>Weekly!D52</f>
        <v>Deoferio</v>
      </c>
      <c r="E95" s="91" t="e">
        <f>VLOOKUP(B95,Team!$B$4:$E$183,4,FALSE)</f>
        <v>#N/A</v>
      </c>
      <c r="F95" s="92" t="str">
        <f>Weekly!G87</f>
        <v/>
      </c>
      <c r="G95" s="92" t="str">
        <f>Weekly!H87</f>
        <v/>
      </c>
      <c r="H95" s="48" t="str">
        <f t="shared" si="141"/>
        <v/>
      </c>
      <c r="I95" s="48" t="str">
        <f t="shared" si="142"/>
        <v/>
      </c>
      <c r="J95" s="48" t="str">
        <f t="shared" si="143"/>
        <v/>
      </c>
      <c r="K95" s="84" t="str">
        <f t="shared" si="144"/>
        <v/>
      </c>
      <c r="L95" s="82" t="str">
        <f t="shared" si="145"/>
        <v/>
      </c>
      <c r="M95" s="48" t="str">
        <f t="shared" si="146"/>
        <v/>
      </c>
      <c r="N95" s="48" t="str">
        <f t="shared" si="147"/>
        <v/>
      </c>
      <c r="O95" s="84" t="str">
        <f t="shared" si="148"/>
        <v/>
      </c>
      <c r="P95" s="82" t="str">
        <f t="shared" si="149"/>
        <v/>
      </c>
      <c r="Q95" s="48" t="str">
        <f t="shared" si="150"/>
        <v/>
      </c>
      <c r="R95" s="48" t="str">
        <f t="shared" si="151"/>
        <v/>
      </c>
      <c r="S95" s="84" t="str">
        <f t="shared" si="152"/>
        <v/>
      </c>
      <c r="T95" s="82" t="str">
        <f t="shared" si="153"/>
        <v/>
      </c>
      <c r="U95" s="48" t="str">
        <f t="shared" si="154"/>
        <v/>
      </c>
      <c r="V95" s="48" t="str">
        <f t="shared" si="155"/>
        <v/>
      </c>
      <c r="W95" s="84" t="str">
        <f t="shared" si="156"/>
        <v/>
      </c>
      <c r="X95" s="82" t="str">
        <f t="shared" si="157"/>
        <v/>
      </c>
      <c r="Y95" s="48" t="str">
        <f t="shared" si="158"/>
        <v/>
      </c>
      <c r="Z95" s="48" t="str">
        <f t="shared" si="159"/>
        <v/>
      </c>
      <c r="AA95" s="84" t="str">
        <f t="shared" si="160"/>
        <v/>
      </c>
      <c r="AB95" s="82" t="str">
        <f t="shared" si="161"/>
        <v/>
      </c>
      <c r="AC95" s="48" t="str">
        <f t="shared" si="162"/>
        <v/>
      </c>
      <c r="AD95" s="48" t="str">
        <f t="shared" si="163"/>
        <v/>
      </c>
      <c r="AE95" s="84" t="str">
        <f t="shared" si="164"/>
        <v/>
      </c>
      <c r="AF95" s="82" t="str">
        <f t="shared" si="165"/>
        <v/>
      </c>
      <c r="AG95" s="48" t="str">
        <f t="shared" si="166"/>
        <v/>
      </c>
      <c r="AH95" s="48" t="str">
        <f t="shared" si="167"/>
        <v/>
      </c>
      <c r="AI95" s="84" t="str">
        <f t="shared" si="168"/>
        <v/>
      </c>
      <c r="AJ95" s="82" t="str">
        <f t="shared" si="169"/>
        <v/>
      </c>
      <c r="AK95" s="48" t="str">
        <f t="shared" si="170"/>
        <v/>
      </c>
      <c r="AL95" s="48" t="str">
        <f t="shared" si="171"/>
        <v/>
      </c>
      <c r="AM95" s="84" t="str">
        <f t="shared" si="172"/>
        <v/>
      </c>
      <c r="AN95" s="82" t="str">
        <f t="shared" si="173"/>
        <v/>
      </c>
      <c r="AO95" s="48" t="str">
        <f t="shared" si="174"/>
        <v/>
      </c>
      <c r="AP95" s="48" t="str">
        <f t="shared" si="175"/>
        <v/>
      </c>
      <c r="AQ95" s="84" t="str">
        <f t="shared" si="176"/>
        <v/>
      </c>
      <c r="AR95" s="82" t="str">
        <f t="shared" si="177"/>
        <v/>
      </c>
      <c r="AS95" s="48" t="str">
        <f t="shared" si="178"/>
        <v/>
      </c>
      <c r="AT95" s="48" t="str">
        <f t="shared" si="179"/>
        <v/>
      </c>
      <c r="AU95" s="84" t="str">
        <f t="shared" si="180"/>
        <v/>
      </c>
      <c r="AV95" s="82" t="str">
        <f t="shared" si="181"/>
        <v/>
      </c>
      <c r="AW95" s="48" t="str">
        <f t="shared" si="182"/>
        <v/>
      </c>
      <c r="AX95" s="48" t="str">
        <f t="shared" si="183"/>
        <v/>
      </c>
      <c r="AY95" s="84" t="str">
        <f t="shared" si="184"/>
        <v/>
      </c>
      <c r="AZ95" s="82" t="str">
        <f t="shared" si="185"/>
        <v/>
      </c>
      <c r="BA95" s="48" t="str">
        <f t="shared" si="186"/>
        <v/>
      </c>
      <c r="BB95" s="48" t="str">
        <f t="shared" si="187"/>
        <v/>
      </c>
      <c r="BC95" s="84" t="str">
        <f t="shared" si="188"/>
        <v/>
      </c>
      <c r="BD95" s="82" t="str">
        <f t="shared" si="189"/>
        <v/>
      </c>
      <c r="BE95" s="48" t="str">
        <f t="shared" si="190"/>
        <v/>
      </c>
      <c r="BF95" s="48" t="str">
        <f t="shared" si="191"/>
        <v/>
      </c>
      <c r="BG95" s="84" t="str">
        <f t="shared" si="192"/>
        <v/>
      </c>
      <c r="BH95" s="87" t="str">
        <f t="shared" si="193"/>
        <v/>
      </c>
      <c r="BI95" s="49" t="str">
        <f t="shared" si="194"/>
        <v/>
      </c>
      <c r="BJ95" s="49" t="str">
        <f t="shared" si="195"/>
        <v/>
      </c>
      <c r="BK95" s="89" t="str">
        <f t="shared" si="196"/>
        <v/>
      </c>
      <c r="BL95" s="87" t="str">
        <f t="shared" si="197"/>
        <v/>
      </c>
      <c r="BM95" s="49" t="str">
        <f t="shared" si="198"/>
        <v/>
      </c>
      <c r="BN95" s="49" t="str">
        <f t="shared" si="199"/>
        <v/>
      </c>
      <c r="BO95" s="89" t="str">
        <f t="shared" si="200"/>
        <v/>
      </c>
      <c r="BP95" s="87" t="str">
        <f t="shared" si="201"/>
        <v/>
      </c>
      <c r="BQ95" s="49" t="str">
        <f t="shared" si="202"/>
        <v/>
      </c>
      <c r="BR95" s="49" t="str">
        <f t="shared" si="203"/>
        <v/>
      </c>
      <c r="BS95" s="89" t="str">
        <f t="shared" si="204"/>
        <v/>
      </c>
      <c r="BT95" s="87" t="str">
        <f t="shared" si="205"/>
        <v/>
      </c>
    </row>
    <row r="96" spans="2:72" s="93" customFormat="1" hidden="1">
      <c r="B96" s="81">
        <f>Weekly!B88</f>
        <v>0</v>
      </c>
      <c r="C96" s="90">
        <f>Weekly!C88</f>
        <v>0</v>
      </c>
      <c r="D96" s="90" t="str">
        <f>Weekly!D20</f>
        <v>Choi</v>
      </c>
      <c r="E96" s="91" t="e">
        <f>VLOOKUP(B96,Team!$B$4:$E$183,4,FALSE)</f>
        <v>#N/A</v>
      </c>
      <c r="F96" s="92" t="str">
        <f>Weekly!G88</f>
        <v/>
      </c>
      <c r="G96" s="92" t="str">
        <f>Weekly!H88</f>
        <v/>
      </c>
      <c r="H96" s="48" t="str">
        <f t="shared" si="141"/>
        <v/>
      </c>
      <c r="I96" s="48" t="str">
        <f t="shared" si="142"/>
        <v/>
      </c>
      <c r="J96" s="48" t="str">
        <f t="shared" si="143"/>
        <v/>
      </c>
      <c r="K96" s="84" t="str">
        <f t="shared" si="144"/>
        <v/>
      </c>
      <c r="L96" s="82" t="str">
        <f t="shared" si="145"/>
        <v/>
      </c>
      <c r="M96" s="48" t="str">
        <f t="shared" si="146"/>
        <v/>
      </c>
      <c r="N96" s="48" t="str">
        <f t="shared" si="147"/>
        <v/>
      </c>
      <c r="O96" s="84" t="str">
        <f t="shared" si="148"/>
        <v/>
      </c>
      <c r="P96" s="82" t="str">
        <f t="shared" si="149"/>
        <v/>
      </c>
      <c r="Q96" s="48" t="str">
        <f t="shared" si="150"/>
        <v/>
      </c>
      <c r="R96" s="48" t="str">
        <f t="shared" si="151"/>
        <v/>
      </c>
      <c r="S96" s="84" t="str">
        <f t="shared" si="152"/>
        <v/>
      </c>
      <c r="T96" s="82" t="str">
        <f t="shared" si="153"/>
        <v/>
      </c>
      <c r="U96" s="48" t="str">
        <f t="shared" si="154"/>
        <v/>
      </c>
      <c r="V96" s="48" t="str">
        <f t="shared" si="155"/>
        <v/>
      </c>
      <c r="W96" s="84" t="str">
        <f t="shared" si="156"/>
        <v/>
      </c>
      <c r="X96" s="82" t="str">
        <f t="shared" si="157"/>
        <v/>
      </c>
      <c r="Y96" s="48" t="str">
        <f t="shared" si="158"/>
        <v/>
      </c>
      <c r="Z96" s="48" t="str">
        <f t="shared" si="159"/>
        <v/>
      </c>
      <c r="AA96" s="84" t="str">
        <f t="shared" si="160"/>
        <v/>
      </c>
      <c r="AB96" s="82" t="str">
        <f t="shared" si="161"/>
        <v/>
      </c>
      <c r="AC96" s="48" t="str">
        <f t="shared" si="162"/>
        <v/>
      </c>
      <c r="AD96" s="48" t="str">
        <f t="shared" si="163"/>
        <v/>
      </c>
      <c r="AE96" s="84" t="str">
        <f t="shared" si="164"/>
        <v/>
      </c>
      <c r="AF96" s="82" t="str">
        <f t="shared" si="165"/>
        <v/>
      </c>
      <c r="AG96" s="48" t="str">
        <f t="shared" si="166"/>
        <v/>
      </c>
      <c r="AH96" s="48" t="str">
        <f t="shared" si="167"/>
        <v/>
      </c>
      <c r="AI96" s="84" t="str">
        <f t="shared" si="168"/>
        <v/>
      </c>
      <c r="AJ96" s="82" t="str">
        <f t="shared" si="169"/>
        <v/>
      </c>
      <c r="AK96" s="48" t="str">
        <f t="shared" si="170"/>
        <v/>
      </c>
      <c r="AL96" s="48" t="str">
        <f t="shared" si="171"/>
        <v/>
      </c>
      <c r="AM96" s="84" t="str">
        <f t="shared" si="172"/>
        <v/>
      </c>
      <c r="AN96" s="82" t="str">
        <f t="shared" si="173"/>
        <v/>
      </c>
      <c r="AO96" s="48" t="str">
        <f t="shared" si="174"/>
        <v/>
      </c>
      <c r="AP96" s="48" t="str">
        <f t="shared" si="175"/>
        <v/>
      </c>
      <c r="AQ96" s="84" t="str">
        <f t="shared" si="176"/>
        <v/>
      </c>
      <c r="AR96" s="82" t="str">
        <f t="shared" si="177"/>
        <v/>
      </c>
      <c r="AS96" s="48" t="str">
        <f t="shared" si="178"/>
        <v/>
      </c>
      <c r="AT96" s="48" t="str">
        <f t="shared" si="179"/>
        <v/>
      </c>
      <c r="AU96" s="84" t="str">
        <f t="shared" si="180"/>
        <v/>
      </c>
      <c r="AV96" s="82" t="str">
        <f t="shared" si="181"/>
        <v/>
      </c>
      <c r="AW96" s="48" t="str">
        <f t="shared" si="182"/>
        <v/>
      </c>
      <c r="AX96" s="48" t="str">
        <f t="shared" si="183"/>
        <v/>
      </c>
      <c r="AY96" s="84" t="str">
        <f t="shared" si="184"/>
        <v/>
      </c>
      <c r="AZ96" s="82" t="str">
        <f t="shared" si="185"/>
        <v/>
      </c>
      <c r="BA96" s="48" t="str">
        <f t="shared" si="186"/>
        <v/>
      </c>
      <c r="BB96" s="48" t="str">
        <f t="shared" si="187"/>
        <v/>
      </c>
      <c r="BC96" s="84" t="str">
        <f t="shared" si="188"/>
        <v/>
      </c>
      <c r="BD96" s="82" t="str">
        <f t="shared" si="189"/>
        <v/>
      </c>
      <c r="BE96" s="48" t="str">
        <f t="shared" si="190"/>
        <v/>
      </c>
      <c r="BF96" s="48" t="str">
        <f t="shared" si="191"/>
        <v/>
      </c>
      <c r="BG96" s="84" t="str">
        <f t="shared" si="192"/>
        <v/>
      </c>
      <c r="BH96" s="87" t="str">
        <f t="shared" si="193"/>
        <v/>
      </c>
      <c r="BI96" s="49" t="str">
        <f t="shared" si="194"/>
        <v/>
      </c>
      <c r="BJ96" s="49" t="str">
        <f t="shared" si="195"/>
        <v/>
      </c>
      <c r="BK96" s="89" t="str">
        <f t="shared" si="196"/>
        <v/>
      </c>
      <c r="BL96" s="87" t="str">
        <f t="shared" si="197"/>
        <v/>
      </c>
      <c r="BM96" s="49" t="str">
        <f t="shared" si="198"/>
        <v/>
      </c>
      <c r="BN96" s="49" t="str">
        <f t="shared" si="199"/>
        <v/>
      </c>
      <c r="BO96" s="89" t="str">
        <f t="shared" si="200"/>
        <v/>
      </c>
      <c r="BP96" s="87" t="str">
        <f t="shared" si="201"/>
        <v/>
      </c>
      <c r="BQ96" s="49" t="str">
        <f t="shared" si="202"/>
        <v/>
      </c>
      <c r="BR96" s="49" t="str">
        <f t="shared" si="203"/>
        <v/>
      </c>
      <c r="BS96" s="89" t="str">
        <f t="shared" si="204"/>
        <v/>
      </c>
      <c r="BT96" s="87" t="str">
        <f t="shared" si="205"/>
        <v/>
      </c>
    </row>
    <row r="97" spans="2:72" s="93" customFormat="1" hidden="1">
      <c r="B97" s="81">
        <f>Weekly!B89</f>
        <v>0</v>
      </c>
      <c r="C97" s="90">
        <f>Weekly!C89</f>
        <v>0</v>
      </c>
      <c r="D97" s="90" t="str">
        <f>Weekly!D58</f>
        <v>Wu</v>
      </c>
      <c r="E97" s="91" t="e">
        <f>VLOOKUP(B97,Team!$B$4:$E$183,4,FALSE)</f>
        <v>#N/A</v>
      </c>
      <c r="F97" s="92" t="str">
        <f>Weekly!G89</f>
        <v/>
      </c>
      <c r="G97" s="92" t="str">
        <f>Weekly!H89</f>
        <v/>
      </c>
      <c r="H97" s="48" t="str">
        <f t="shared" si="141"/>
        <v/>
      </c>
      <c r="I97" s="48" t="str">
        <f t="shared" si="142"/>
        <v/>
      </c>
      <c r="J97" s="48" t="str">
        <f t="shared" si="143"/>
        <v/>
      </c>
      <c r="K97" s="84" t="str">
        <f t="shared" si="144"/>
        <v/>
      </c>
      <c r="L97" s="82" t="str">
        <f t="shared" si="145"/>
        <v/>
      </c>
      <c r="M97" s="48" t="str">
        <f t="shared" si="146"/>
        <v/>
      </c>
      <c r="N97" s="48" t="str">
        <f t="shared" si="147"/>
        <v/>
      </c>
      <c r="O97" s="84" t="str">
        <f t="shared" si="148"/>
        <v/>
      </c>
      <c r="P97" s="82" t="str">
        <f t="shared" si="149"/>
        <v/>
      </c>
      <c r="Q97" s="48" t="str">
        <f t="shared" si="150"/>
        <v/>
      </c>
      <c r="R97" s="48" t="str">
        <f t="shared" si="151"/>
        <v/>
      </c>
      <c r="S97" s="84" t="str">
        <f t="shared" si="152"/>
        <v/>
      </c>
      <c r="T97" s="82" t="str">
        <f t="shared" si="153"/>
        <v/>
      </c>
      <c r="U97" s="48" t="str">
        <f t="shared" si="154"/>
        <v/>
      </c>
      <c r="V97" s="48" t="str">
        <f t="shared" si="155"/>
        <v/>
      </c>
      <c r="W97" s="84" t="str">
        <f t="shared" si="156"/>
        <v/>
      </c>
      <c r="X97" s="82" t="str">
        <f t="shared" si="157"/>
        <v/>
      </c>
      <c r="Y97" s="48" t="str">
        <f t="shared" si="158"/>
        <v/>
      </c>
      <c r="Z97" s="48" t="str">
        <f t="shared" si="159"/>
        <v/>
      </c>
      <c r="AA97" s="84" t="str">
        <f t="shared" si="160"/>
        <v/>
      </c>
      <c r="AB97" s="82" t="str">
        <f t="shared" si="161"/>
        <v/>
      </c>
      <c r="AC97" s="48" t="str">
        <f t="shared" si="162"/>
        <v/>
      </c>
      <c r="AD97" s="48" t="str">
        <f t="shared" si="163"/>
        <v/>
      </c>
      <c r="AE97" s="84" t="str">
        <f t="shared" si="164"/>
        <v/>
      </c>
      <c r="AF97" s="82" t="str">
        <f t="shared" si="165"/>
        <v/>
      </c>
      <c r="AG97" s="48" t="str">
        <f t="shared" si="166"/>
        <v/>
      </c>
      <c r="AH97" s="48" t="str">
        <f t="shared" si="167"/>
        <v/>
      </c>
      <c r="AI97" s="84" t="str">
        <f t="shared" si="168"/>
        <v/>
      </c>
      <c r="AJ97" s="82" t="str">
        <f t="shared" si="169"/>
        <v/>
      </c>
      <c r="AK97" s="48" t="str">
        <f t="shared" si="170"/>
        <v/>
      </c>
      <c r="AL97" s="48" t="str">
        <f t="shared" si="171"/>
        <v/>
      </c>
      <c r="AM97" s="84" t="str">
        <f t="shared" si="172"/>
        <v/>
      </c>
      <c r="AN97" s="82" t="str">
        <f t="shared" si="173"/>
        <v/>
      </c>
      <c r="AO97" s="48" t="str">
        <f t="shared" si="174"/>
        <v/>
      </c>
      <c r="AP97" s="48" t="str">
        <f t="shared" si="175"/>
        <v/>
      </c>
      <c r="AQ97" s="84" t="str">
        <f t="shared" si="176"/>
        <v/>
      </c>
      <c r="AR97" s="82" t="str">
        <f t="shared" si="177"/>
        <v/>
      </c>
      <c r="AS97" s="48" t="str">
        <f t="shared" si="178"/>
        <v/>
      </c>
      <c r="AT97" s="48" t="str">
        <f t="shared" si="179"/>
        <v/>
      </c>
      <c r="AU97" s="84" t="str">
        <f t="shared" si="180"/>
        <v/>
      </c>
      <c r="AV97" s="82" t="str">
        <f t="shared" si="181"/>
        <v/>
      </c>
      <c r="AW97" s="48" t="str">
        <f t="shared" si="182"/>
        <v/>
      </c>
      <c r="AX97" s="48" t="str">
        <f t="shared" si="183"/>
        <v/>
      </c>
      <c r="AY97" s="84" t="str">
        <f t="shared" si="184"/>
        <v/>
      </c>
      <c r="AZ97" s="82" t="str">
        <f t="shared" si="185"/>
        <v/>
      </c>
      <c r="BA97" s="48" t="str">
        <f t="shared" si="186"/>
        <v/>
      </c>
      <c r="BB97" s="48" t="str">
        <f t="shared" si="187"/>
        <v/>
      </c>
      <c r="BC97" s="84" t="str">
        <f t="shared" si="188"/>
        <v/>
      </c>
      <c r="BD97" s="82" t="str">
        <f t="shared" si="189"/>
        <v/>
      </c>
      <c r="BE97" s="48" t="str">
        <f t="shared" si="190"/>
        <v/>
      </c>
      <c r="BF97" s="48" t="str">
        <f t="shared" si="191"/>
        <v/>
      </c>
      <c r="BG97" s="84" t="str">
        <f t="shared" si="192"/>
        <v/>
      </c>
      <c r="BH97" s="87" t="str">
        <f t="shared" si="193"/>
        <v/>
      </c>
      <c r="BI97" s="49" t="str">
        <f t="shared" si="194"/>
        <v/>
      </c>
      <c r="BJ97" s="49" t="str">
        <f t="shared" si="195"/>
        <v/>
      </c>
      <c r="BK97" s="89" t="str">
        <f t="shared" si="196"/>
        <v/>
      </c>
      <c r="BL97" s="87" t="str">
        <f t="shared" si="197"/>
        <v/>
      </c>
      <c r="BM97" s="49" t="str">
        <f t="shared" si="198"/>
        <v/>
      </c>
      <c r="BN97" s="49" t="str">
        <f t="shared" si="199"/>
        <v/>
      </c>
      <c r="BO97" s="89" t="str">
        <f t="shared" si="200"/>
        <v/>
      </c>
      <c r="BP97" s="87" t="str">
        <f t="shared" si="201"/>
        <v/>
      </c>
      <c r="BQ97" s="49" t="str">
        <f t="shared" si="202"/>
        <v/>
      </c>
      <c r="BR97" s="49" t="str">
        <f t="shared" si="203"/>
        <v/>
      </c>
      <c r="BS97" s="89" t="str">
        <f t="shared" si="204"/>
        <v/>
      </c>
      <c r="BT97" s="87" t="str">
        <f t="shared" si="205"/>
        <v/>
      </c>
    </row>
    <row r="98" spans="2:72" s="93" customFormat="1" hidden="1">
      <c r="B98" s="81">
        <f>Weekly!B90</f>
        <v>0</v>
      </c>
      <c r="C98" s="90">
        <f>Weekly!C90</f>
        <v>0</v>
      </c>
      <c r="D98" s="90">
        <f>Weekly!D64</f>
        <v>0</v>
      </c>
      <c r="E98" s="91" t="e">
        <f>VLOOKUP(B98,Team!$B$4:$E$183,4,FALSE)</f>
        <v>#N/A</v>
      </c>
      <c r="F98" s="92" t="str">
        <f>Weekly!G90</f>
        <v/>
      </c>
      <c r="G98" s="92" t="str">
        <f>Weekly!H90</f>
        <v/>
      </c>
      <c r="H98" s="48" t="str">
        <f t="shared" si="141"/>
        <v/>
      </c>
      <c r="I98" s="48" t="str">
        <f t="shared" si="142"/>
        <v/>
      </c>
      <c r="J98" s="48" t="str">
        <f t="shared" si="143"/>
        <v/>
      </c>
      <c r="K98" s="84" t="str">
        <f t="shared" si="144"/>
        <v/>
      </c>
      <c r="L98" s="82" t="str">
        <f t="shared" si="145"/>
        <v/>
      </c>
      <c r="M98" s="48" t="str">
        <f t="shared" si="146"/>
        <v/>
      </c>
      <c r="N98" s="48" t="str">
        <f t="shared" si="147"/>
        <v/>
      </c>
      <c r="O98" s="84" t="str">
        <f t="shared" si="148"/>
        <v/>
      </c>
      <c r="P98" s="82" t="str">
        <f t="shared" si="149"/>
        <v/>
      </c>
      <c r="Q98" s="48" t="str">
        <f t="shared" si="150"/>
        <v/>
      </c>
      <c r="R98" s="48" t="str">
        <f t="shared" si="151"/>
        <v/>
      </c>
      <c r="S98" s="84" t="str">
        <f t="shared" si="152"/>
        <v/>
      </c>
      <c r="T98" s="82" t="str">
        <f t="shared" si="153"/>
        <v/>
      </c>
      <c r="U98" s="48" t="str">
        <f t="shared" si="154"/>
        <v/>
      </c>
      <c r="V98" s="48" t="str">
        <f t="shared" si="155"/>
        <v/>
      </c>
      <c r="W98" s="84" t="str">
        <f t="shared" si="156"/>
        <v/>
      </c>
      <c r="X98" s="82" t="str">
        <f t="shared" si="157"/>
        <v/>
      </c>
      <c r="Y98" s="48" t="str">
        <f t="shared" si="158"/>
        <v/>
      </c>
      <c r="Z98" s="48" t="str">
        <f t="shared" si="159"/>
        <v/>
      </c>
      <c r="AA98" s="84" t="str">
        <f t="shared" si="160"/>
        <v/>
      </c>
      <c r="AB98" s="82" t="str">
        <f t="shared" si="161"/>
        <v/>
      </c>
      <c r="AC98" s="48" t="str">
        <f t="shared" si="162"/>
        <v/>
      </c>
      <c r="AD98" s="48" t="str">
        <f t="shared" si="163"/>
        <v/>
      </c>
      <c r="AE98" s="84" t="str">
        <f t="shared" si="164"/>
        <v/>
      </c>
      <c r="AF98" s="82" t="str">
        <f t="shared" si="165"/>
        <v/>
      </c>
      <c r="AG98" s="48" t="str">
        <f t="shared" si="166"/>
        <v/>
      </c>
      <c r="AH98" s="48" t="str">
        <f t="shared" si="167"/>
        <v/>
      </c>
      <c r="AI98" s="84" t="str">
        <f t="shared" si="168"/>
        <v/>
      </c>
      <c r="AJ98" s="82" t="str">
        <f t="shared" si="169"/>
        <v/>
      </c>
      <c r="AK98" s="48" t="str">
        <f t="shared" si="170"/>
        <v/>
      </c>
      <c r="AL98" s="48" t="str">
        <f t="shared" si="171"/>
        <v/>
      </c>
      <c r="AM98" s="84" t="str">
        <f t="shared" si="172"/>
        <v/>
      </c>
      <c r="AN98" s="82" t="str">
        <f t="shared" si="173"/>
        <v/>
      </c>
      <c r="AO98" s="48" t="str">
        <f t="shared" si="174"/>
        <v/>
      </c>
      <c r="AP98" s="48" t="str">
        <f t="shared" si="175"/>
        <v/>
      </c>
      <c r="AQ98" s="84" t="str">
        <f t="shared" si="176"/>
        <v/>
      </c>
      <c r="AR98" s="82" t="str">
        <f t="shared" si="177"/>
        <v/>
      </c>
      <c r="AS98" s="48" t="str">
        <f t="shared" si="178"/>
        <v/>
      </c>
      <c r="AT98" s="48" t="str">
        <f t="shared" si="179"/>
        <v/>
      </c>
      <c r="AU98" s="84" t="str">
        <f t="shared" si="180"/>
        <v/>
      </c>
      <c r="AV98" s="82" t="str">
        <f t="shared" si="181"/>
        <v/>
      </c>
      <c r="AW98" s="48" t="str">
        <f t="shared" si="182"/>
        <v/>
      </c>
      <c r="AX98" s="48" t="str">
        <f t="shared" si="183"/>
        <v/>
      </c>
      <c r="AY98" s="84" t="str">
        <f t="shared" si="184"/>
        <v/>
      </c>
      <c r="AZ98" s="82" t="str">
        <f t="shared" si="185"/>
        <v/>
      </c>
      <c r="BA98" s="48" t="str">
        <f t="shared" si="186"/>
        <v/>
      </c>
      <c r="BB98" s="48" t="str">
        <f t="shared" si="187"/>
        <v/>
      </c>
      <c r="BC98" s="84" t="str">
        <f t="shared" si="188"/>
        <v/>
      </c>
      <c r="BD98" s="82" t="str">
        <f t="shared" si="189"/>
        <v/>
      </c>
      <c r="BE98" s="48" t="str">
        <f t="shared" si="190"/>
        <v/>
      </c>
      <c r="BF98" s="48" t="str">
        <f t="shared" si="191"/>
        <v/>
      </c>
      <c r="BG98" s="84" t="str">
        <f t="shared" si="192"/>
        <v/>
      </c>
      <c r="BH98" s="87" t="str">
        <f t="shared" si="193"/>
        <v/>
      </c>
      <c r="BI98" s="49" t="str">
        <f t="shared" si="194"/>
        <v/>
      </c>
      <c r="BJ98" s="49" t="str">
        <f t="shared" si="195"/>
        <v/>
      </c>
      <c r="BK98" s="89" t="str">
        <f t="shared" si="196"/>
        <v/>
      </c>
      <c r="BL98" s="87" t="str">
        <f t="shared" si="197"/>
        <v/>
      </c>
      <c r="BM98" s="49" t="str">
        <f t="shared" si="198"/>
        <v/>
      </c>
      <c r="BN98" s="49" t="str">
        <f t="shared" si="199"/>
        <v/>
      </c>
      <c r="BO98" s="89" t="str">
        <f t="shared" si="200"/>
        <v/>
      </c>
      <c r="BP98" s="87" t="str">
        <f t="shared" si="201"/>
        <v/>
      </c>
      <c r="BQ98" s="49" t="str">
        <f t="shared" si="202"/>
        <v/>
      </c>
      <c r="BR98" s="49" t="str">
        <f t="shared" si="203"/>
        <v/>
      </c>
      <c r="BS98" s="89" t="str">
        <f t="shared" si="204"/>
        <v/>
      </c>
      <c r="BT98" s="87" t="str">
        <f t="shared" si="205"/>
        <v/>
      </c>
    </row>
    <row r="99" spans="2:72" s="93" customFormat="1" hidden="1">
      <c r="B99" s="81">
        <f>Weekly!B91</f>
        <v>0</v>
      </c>
      <c r="C99" s="90">
        <f>Weekly!C91</f>
        <v>0</v>
      </c>
      <c r="D99" s="90">
        <f>Weekly!D65</f>
        <v>0</v>
      </c>
      <c r="E99" s="91" t="e">
        <f>VLOOKUP(B99,Team!$B$4:$E$183,4,FALSE)</f>
        <v>#N/A</v>
      </c>
      <c r="F99" s="92" t="str">
        <f>Weekly!G91</f>
        <v/>
      </c>
      <c r="G99" s="92" t="str">
        <f>Weekly!H91</f>
        <v/>
      </c>
      <c r="H99" s="48" t="str">
        <f t="shared" si="141"/>
        <v/>
      </c>
      <c r="I99" s="48" t="str">
        <f t="shared" si="142"/>
        <v/>
      </c>
      <c r="J99" s="48" t="str">
        <f t="shared" si="143"/>
        <v/>
      </c>
      <c r="K99" s="84" t="str">
        <f t="shared" si="144"/>
        <v/>
      </c>
      <c r="L99" s="82" t="str">
        <f t="shared" si="145"/>
        <v/>
      </c>
      <c r="M99" s="48" t="str">
        <f t="shared" si="146"/>
        <v/>
      </c>
      <c r="N99" s="48" t="str">
        <f t="shared" si="147"/>
        <v/>
      </c>
      <c r="O99" s="84" t="str">
        <f t="shared" si="148"/>
        <v/>
      </c>
      <c r="P99" s="82" t="str">
        <f t="shared" si="149"/>
        <v/>
      </c>
      <c r="Q99" s="48" t="str">
        <f t="shared" si="150"/>
        <v/>
      </c>
      <c r="R99" s="48" t="str">
        <f t="shared" si="151"/>
        <v/>
      </c>
      <c r="S99" s="84" t="str">
        <f t="shared" si="152"/>
        <v/>
      </c>
      <c r="T99" s="82" t="str">
        <f t="shared" si="153"/>
        <v/>
      </c>
      <c r="U99" s="48" t="str">
        <f t="shared" si="154"/>
        <v/>
      </c>
      <c r="V99" s="48" t="str">
        <f t="shared" si="155"/>
        <v/>
      </c>
      <c r="W99" s="84" t="str">
        <f t="shared" si="156"/>
        <v/>
      </c>
      <c r="X99" s="82" t="str">
        <f t="shared" si="157"/>
        <v/>
      </c>
      <c r="Y99" s="48" t="str">
        <f t="shared" si="158"/>
        <v/>
      </c>
      <c r="Z99" s="48" t="str">
        <f t="shared" si="159"/>
        <v/>
      </c>
      <c r="AA99" s="84" t="str">
        <f t="shared" si="160"/>
        <v/>
      </c>
      <c r="AB99" s="82" t="str">
        <f t="shared" si="161"/>
        <v/>
      </c>
      <c r="AC99" s="48" t="str">
        <f t="shared" si="162"/>
        <v/>
      </c>
      <c r="AD99" s="48" t="str">
        <f t="shared" si="163"/>
        <v/>
      </c>
      <c r="AE99" s="84" t="str">
        <f t="shared" si="164"/>
        <v/>
      </c>
      <c r="AF99" s="82" t="str">
        <f t="shared" si="165"/>
        <v/>
      </c>
      <c r="AG99" s="48" t="str">
        <f t="shared" si="166"/>
        <v/>
      </c>
      <c r="AH99" s="48" t="str">
        <f t="shared" si="167"/>
        <v/>
      </c>
      <c r="AI99" s="84" t="str">
        <f t="shared" si="168"/>
        <v/>
      </c>
      <c r="AJ99" s="82" t="str">
        <f t="shared" si="169"/>
        <v/>
      </c>
      <c r="AK99" s="48" t="str">
        <f t="shared" si="170"/>
        <v/>
      </c>
      <c r="AL99" s="48" t="str">
        <f t="shared" si="171"/>
        <v/>
      </c>
      <c r="AM99" s="84" t="str">
        <f t="shared" si="172"/>
        <v/>
      </c>
      <c r="AN99" s="82" t="str">
        <f t="shared" si="173"/>
        <v/>
      </c>
      <c r="AO99" s="48" t="str">
        <f t="shared" si="174"/>
        <v/>
      </c>
      <c r="AP99" s="48" t="str">
        <f t="shared" si="175"/>
        <v/>
      </c>
      <c r="AQ99" s="84" t="str">
        <f t="shared" si="176"/>
        <v/>
      </c>
      <c r="AR99" s="82" t="str">
        <f t="shared" si="177"/>
        <v/>
      </c>
      <c r="AS99" s="48" t="str">
        <f t="shared" si="178"/>
        <v/>
      </c>
      <c r="AT99" s="48" t="str">
        <f t="shared" si="179"/>
        <v/>
      </c>
      <c r="AU99" s="84" t="str">
        <f t="shared" si="180"/>
        <v/>
      </c>
      <c r="AV99" s="82" t="str">
        <f t="shared" si="181"/>
        <v/>
      </c>
      <c r="AW99" s="48" t="str">
        <f t="shared" si="182"/>
        <v/>
      </c>
      <c r="AX99" s="48" t="str">
        <f t="shared" si="183"/>
        <v/>
      </c>
      <c r="AY99" s="84" t="str">
        <f t="shared" si="184"/>
        <v/>
      </c>
      <c r="AZ99" s="82" t="str">
        <f t="shared" si="185"/>
        <v/>
      </c>
      <c r="BA99" s="48" t="str">
        <f t="shared" si="186"/>
        <v/>
      </c>
      <c r="BB99" s="48" t="str">
        <f t="shared" si="187"/>
        <v/>
      </c>
      <c r="BC99" s="84" t="str">
        <f t="shared" si="188"/>
        <v/>
      </c>
      <c r="BD99" s="82" t="str">
        <f t="shared" si="189"/>
        <v/>
      </c>
      <c r="BE99" s="48" t="str">
        <f t="shared" si="190"/>
        <v/>
      </c>
      <c r="BF99" s="48" t="str">
        <f t="shared" si="191"/>
        <v/>
      </c>
      <c r="BG99" s="84" t="str">
        <f t="shared" si="192"/>
        <v/>
      </c>
      <c r="BH99" s="87" t="str">
        <f t="shared" si="193"/>
        <v/>
      </c>
      <c r="BI99" s="49" t="str">
        <f t="shared" si="194"/>
        <v/>
      </c>
      <c r="BJ99" s="49" t="str">
        <f t="shared" si="195"/>
        <v/>
      </c>
      <c r="BK99" s="89" t="str">
        <f t="shared" si="196"/>
        <v/>
      </c>
      <c r="BL99" s="87" t="str">
        <f t="shared" si="197"/>
        <v/>
      </c>
      <c r="BM99" s="49" t="str">
        <f t="shared" si="198"/>
        <v/>
      </c>
      <c r="BN99" s="49" t="str">
        <f t="shared" si="199"/>
        <v/>
      </c>
      <c r="BO99" s="89" t="str">
        <f t="shared" si="200"/>
        <v/>
      </c>
      <c r="BP99" s="87" t="str">
        <f t="shared" si="201"/>
        <v/>
      </c>
      <c r="BQ99" s="49" t="str">
        <f t="shared" si="202"/>
        <v/>
      </c>
      <c r="BR99" s="49" t="str">
        <f t="shared" si="203"/>
        <v/>
      </c>
      <c r="BS99" s="89" t="str">
        <f t="shared" si="204"/>
        <v/>
      </c>
      <c r="BT99" s="87" t="str">
        <f t="shared" si="205"/>
        <v/>
      </c>
    </row>
    <row r="100" spans="2:72" s="93" customFormat="1" hidden="1">
      <c r="B100" s="81">
        <f>Weekly!B92</f>
        <v>0</v>
      </c>
      <c r="C100" s="90">
        <f>Weekly!C92</f>
        <v>0</v>
      </c>
      <c r="D100" s="90" t="str">
        <f>Weekly!D41</f>
        <v>Simkhada</v>
      </c>
      <c r="E100" s="91" t="e">
        <f>VLOOKUP(B100,Team!$B$4:$E$183,4,FALSE)</f>
        <v>#N/A</v>
      </c>
      <c r="F100" s="92" t="str">
        <f>Weekly!G92</f>
        <v/>
      </c>
      <c r="G100" s="92" t="str">
        <f>Weekly!H92</f>
        <v/>
      </c>
      <c r="H100" s="48" t="str">
        <f t="shared" si="141"/>
        <v/>
      </c>
      <c r="I100" s="48" t="str">
        <f t="shared" si="142"/>
        <v/>
      </c>
      <c r="J100" s="48" t="str">
        <f t="shared" si="143"/>
        <v/>
      </c>
      <c r="K100" s="84" t="str">
        <f t="shared" si="144"/>
        <v/>
      </c>
      <c r="L100" s="82" t="str">
        <f t="shared" si="145"/>
        <v/>
      </c>
      <c r="M100" s="48" t="str">
        <f t="shared" si="146"/>
        <v/>
      </c>
      <c r="N100" s="48" t="str">
        <f t="shared" si="147"/>
        <v/>
      </c>
      <c r="O100" s="84" t="str">
        <f t="shared" si="148"/>
        <v/>
      </c>
      <c r="P100" s="82" t="str">
        <f t="shared" si="149"/>
        <v/>
      </c>
      <c r="Q100" s="48" t="str">
        <f t="shared" si="150"/>
        <v/>
      </c>
      <c r="R100" s="48" t="str">
        <f t="shared" si="151"/>
        <v/>
      </c>
      <c r="S100" s="84" t="str">
        <f t="shared" si="152"/>
        <v/>
      </c>
      <c r="T100" s="82" t="str">
        <f t="shared" si="153"/>
        <v/>
      </c>
      <c r="U100" s="48" t="str">
        <f t="shared" si="154"/>
        <v/>
      </c>
      <c r="V100" s="48" t="str">
        <f t="shared" si="155"/>
        <v/>
      </c>
      <c r="W100" s="84" t="str">
        <f t="shared" si="156"/>
        <v/>
      </c>
      <c r="X100" s="82" t="str">
        <f t="shared" si="157"/>
        <v/>
      </c>
      <c r="Y100" s="48" t="str">
        <f t="shared" si="158"/>
        <v/>
      </c>
      <c r="Z100" s="48" t="str">
        <f t="shared" si="159"/>
        <v/>
      </c>
      <c r="AA100" s="84" t="str">
        <f t="shared" si="160"/>
        <v/>
      </c>
      <c r="AB100" s="82" t="str">
        <f t="shared" si="161"/>
        <v/>
      </c>
      <c r="AC100" s="48" t="str">
        <f t="shared" si="162"/>
        <v/>
      </c>
      <c r="AD100" s="48" t="str">
        <f t="shared" si="163"/>
        <v/>
      </c>
      <c r="AE100" s="84" t="str">
        <f t="shared" si="164"/>
        <v/>
      </c>
      <c r="AF100" s="82" t="str">
        <f t="shared" si="165"/>
        <v/>
      </c>
      <c r="AG100" s="48" t="str">
        <f t="shared" si="166"/>
        <v/>
      </c>
      <c r="AH100" s="48" t="str">
        <f t="shared" si="167"/>
        <v/>
      </c>
      <c r="AI100" s="84" t="str">
        <f t="shared" si="168"/>
        <v/>
      </c>
      <c r="AJ100" s="82" t="str">
        <f t="shared" si="169"/>
        <v/>
      </c>
      <c r="AK100" s="48" t="str">
        <f t="shared" si="170"/>
        <v/>
      </c>
      <c r="AL100" s="48" t="str">
        <f t="shared" si="171"/>
        <v/>
      </c>
      <c r="AM100" s="84" t="str">
        <f t="shared" si="172"/>
        <v/>
      </c>
      <c r="AN100" s="82" t="str">
        <f t="shared" si="173"/>
        <v/>
      </c>
      <c r="AO100" s="48" t="str">
        <f t="shared" si="174"/>
        <v/>
      </c>
      <c r="AP100" s="48" t="str">
        <f t="shared" si="175"/>
        <v/>
      </c>
      <c r="AQ100" s="84" t="str">
        <f t="shared" si="176"/>
        <v/>
      </c>
      <c r="AR100" s="82" t="str">
        <f t="shared" si="177"/>
        <v/>
      </c>
      <c r="AS100" s="48" t="str">
        <f t="shared" si="178"/>
        <v/>
      </c>
      <c r="AT100" s="48" t="str">
        <f t="shared" si="179"/>
        <v/>
      </c>
      <c r="AU100" s="84" t="str">
        <f t="shared" si="180"/>
        <v/>
      </c>
      <c r="AV100" s="82" t="str">
        <f t="shared" si="181"/>
        <v/>
      </c>
      <c r="AW100" s="48" t="str">
        <f t="shared" si="182"/>
        <v/>
      </c>
      <c r="AX100" s="48" t="str">
        <f t="shared" si="183"/>
        <v/>
      </c>
      <c r="AY100" s="84" t="str">
        <f t="shared" si="184"/>
        <v/>
      </c>
      <c r="AZ100" s="82" t="str">
        <f t="shared" si="185"/>
        <v/>
      </c>
      <c r="BA100" s="48" t="str">
        <f t="shared" si="186"/>
        <v/>
      </c>
      <c r="BB100" s="48" t="str">
        <f t="shared" si="187"/>
        <v/>
      </c>
      <c r="BC100" s="84" t="str">
        <f t="shared" si="188"/>
        <v/>
      </c>
      <c r="BD100" s="82" t="str">
        <f t="shared" si="189"/>
        <v/>
      </c>
      <c r="BE100" s="48" t="str">
        <f t="shared" si="190"/>
        <v/>
      </c>
      <c r="BF100" s="48" t="str">
        <f t="shared" si="191"/>
        <v/>
      </c>
      <c r="BG100" s="84" t="str">
        <f t="shared" si="192"/>
        <v/>
      </c>
      <c r="BH100" s="87" t="str">
        <f t="shared" si="193"/>
        <v/>
      </c>
      <c r="BI100" s="49" t="str">
        <f t="shared" si="194"/>
        <v/>
      </c>
      <c r="BJ100" s="49" t="str">
        <f t="shared" si="195"/>
        <v/>
      </c>
      <c r="BK100" s="89" t="str">
        <f t="shared" si="196"/>
        <v/>
      </c>
      <c r="BL100" s="87" t="str">
        <f t="shared" si="197"/>
        <v/>
      </c>
      <c r="BM100" s="49" t="str">
        <f t="shared" si="198"/>
        <v/>
      </c>
      <c r="BN100" s="49" t="str">
        <f t="shared" si="199"/>
        <v/>
      </c>
      <c r="BO100" s="89" t="str">
        <f t="shared" si="200"/>
        <v/>
      </c>
      <c r="BP100" s="87" t="str">
        <f t="shared" si="201"/>
        <v/>
      </c>
      <c r="BQ100" s="49" t="str">
        <f t="shared" si="202"/>
        <v/>
      </c>
      <c r="BR100" s="49" t="str">
        <f t="shared" si="203"/>
        <v/>
      </c>
      <c r="BS100" s="89" t="str">
        <f t="shared" si="204"/>
        <v/>
      </c>
      <c r="BT100" s="87" t="str">
        <f t="shared" si="205"/>
        <v/>
      </c>
    </row>
    <row r="101" spans="2:72" s="93" customFormat="1" hidden="1">
      <c r="B101" s="81">
        <f>Weekly!B93</f>
        <v>0</v>
      </c>
      <c r="C101" s="90">
        <f>Weekly!C93</f>
        <v>0</v>
      </c>
      <c r="D101" s="90" t="str">
        <f>Weekly!D42</f>
        <v>Lee</v>
      </c>
      <c r="E101" s="91" t="e">
        <f>VLOOKUP(B101,Team!$B$4:$E$183,4,FALSE)</f>
        <v>#N/A</v>
      </c>
      <c r="F101" s="92" t="str">
        <f>Weekly!G93</f>
        <v/>
      </c>
      <c r="G101" s="92" t="str">
        <f>Weekly!H93</f>
        <v/>
      </c>
      <c r="H101" s="48" t="str">
        <f t="shared" si="141"/>
        <v/>
      </c>
      <c r="I101" s="48" t="str">
        <f t="shared" si="142"/>
        <v/>
      </c>
      <c r="J101" s="48" t="str">
        <f t="shared" si="143"/>
        <v/>
      </c>
      <c r="K101" s="84" t="str">
        <f t="shared" si="144"/>
        <v/>
      </c>
      <c r="L101" s="82" t="str">
        <f t="shared" si="145"/>
        <v/>
      </c>
      <c r="M101" s="48" t="str">
        <f t="shared" si="146"/>
        <v/>
      </c>
      <c r="N101" s="48" t="str">
        <f t="shared" si="147"/>
        <v/>
      </c>
      <c r="O101" s="84" t="str">
        <f t="shared" si="148"/>
        <v/>
      </c>
      <c r="P101" s="82" t="str">
        <f t="shared" si="149"/>
        <v/>
      </c>
      <c r="Q101" s="48" t="str">
        <f t="shared" si="150"/>
        <v/>
      </c>
      <c r="R101" s="48" t="str">
        <f t="shared" si="151"/>
        <v/>
      </c>
      <c r="S101" s="84" t="str">
        <f t="shared" si="152"/>
        <v/>
      </c>
      <c r="T101" s="82" t="str">
        <f t="shared" si="153"/>
        <v/>
      </c>
      <c r="U101" s="48" t="str">
        <f t="shared" si="154"/>
        <v/>
      </c>
      <c r="V101" s="48" t="str">
        <f t="shared" si="155"/>
        <v/>
      </c>
      <c r="W101" s="84" t="str">
        <f t="shared" si="156"/>
        <v/>
      </c>
      <c r="X101" s="82" t="str">
        <f t="shared" si="157"/>
        <v/>
      </c>
      <c r="Y101" s="48" t="str">
        <f t="shared" si="158"/>
        <v/>
      </c>
      <c r="Z101" s="48" t="str">
        <f t="shared" si="159"/>
        <v/>
      </c>
      <c r="AA101" s="84" t="str">
        <f t="shared" si="160"/>
        <v/>
      </c>
      <c r="AB101" s="82" t="str">
        <f t="shared" si="161"/>
        <v/>
      </c>
      <c r="AC101" s="48" t="str">
        <f t="shared" si="162"/>
        <v/>
      </c>
      <c r="AD101" s="48" t="str">
        <f t="shared" si="163"/>
        <v/>
      </c>
      <c r="AE101" s="84" t="str">
        <f t="shared" si="164"/>
        <v/>
      </c>
      <c r="AF101" s="82" t="str">
        <f t="shared" si="165"/>
        <v/>
      </c>
      <c r="AG101" s="48" t="str">
        <f t="shared" si="166"/>
        <v/>
      </c>
      <c r="AH101" s="48" t="str">
        <f t="shared" si="167"/>
        <v/>
      </c>
      <c r="AI101" s="84" t="str">
        <f t="shared" si="168"/>
        <v/>
      </c>
      <c r="AJ101" s="82" t="str">
        <f t="shared" si="169"/>
        <v/>
      </c>
      <c r="AK101" s="48" t="str">
        <f t="shared" si="170"/>
        <v/>
      </c>
      <c r="AL101" s="48" t="str">
        <f t="shared" si="171"/>
        <v/>
      </c>
      <c r="AM101" s="84" t="str">
        <f t="shared" si="172"/>
        <v/>
      </c>
      <c r="AN101" s="82" t="str">
        <f t="shared" si="173"/>
        <v/>
      </c>
      <c r="AO101" s="48" t="str">
        <f t="shared" si="174"/>
        <v/>
      </c>
      <c r="AP101" s="48" t="str">
        <f t="shared" si="175"/>
        <v/>
      </c>
      <c r="AQ101" s="84" t="str">
        <f t="shared" si="176"/>
        <v/>
      </c>
      <c r="AR101" s="82" t="str">
        <f t="shared" si="177"/>
        <v/>
      </c>
      <c r="AS101" s="48" t="str">
        <f t="shared" si="178"/>
        <v/>
      </c>
      <c r="AT101" s="48" t="str">
        <f t="shared" si="179"/>
        <v/>
      </c>
      <c r="AU101" s="84" t="str">
        <f t="shared" si="180"/>
        <v/>
      </c>
      <c r="AV101" s="82" t="str">
        <f t="shared" si="181"/>
        <v/>
      </c>
      <c r="AW101" s="48" t="str">
        <f t="shared" si="182"/>
        <v/>
      </c>
      <c r="AX101" s="48" t="str">
        <f t="shared" si="183"/>
        <v/>
      </c>
      <c r="AY101" s="84" t="str">
        <f t="shared" si="184"/>
        <v/>
      </c>
      <c r="AZ101" s="82" t="str">
        <f t="shared" si="185"/>
        <v/>
      </c>
      <c r="BA101" s="48" t="str">
        <f t="shared" si="186"/>
        <v/>
      </c>
      <c r="BB101" s="48" t="str">
        <f t="shared" si="187"/>
        <v/>
      </c>
      <c r="BC101" s="84" t="str">
        <f t="shared" si="188"/>
        <v/>
      </c>
      <c r="BD101" s="82" t="str">
        <f t="shared" si="189"/>
        <v/>
      </c>
      <c r="BE101" s="48" t="str">
        <f t="shared" si="190"/>
        <v/>
      </c>
      <c r="BF101" s="48" t="str">
        <f t="shared" si="191"/>
        <v/>
      </c>
      <c r="BG101" s="84" t="str">
        <f t="shared" si="192"/>
        <v/>
      </c>
      <c r="BH101" s="87" t="str">
        <f t="shared" si="193"/>
        <v/>
      </c>
      <c r="BI101" s="49" t="str">
        <f t="shared" si="194"/>
        <v/>
      </c>
      <c r="BJ101" s="49" t="str">
        <f t="shared" si="195"/>
        <v/>
      </c>
      <c r="BK101" s="89" t="str">
        <f t="shared" si="196"/>
        <v/>
      </c>
      <c r="BL101" s="87" t="str">
        <f t="shared" si="197"/>
        <v/>
      </c>
      <c r="BM101" s="49" t="str">
        <f t="shared" si="198"/>
        <v/>
      </c>
      <c r="BN101" s="49" t="str">
        <f t="shared" si="199"/>
        <v/>
      </c>
      <c r="BO101" s="89" t="str">
        <f t="shared" si="200"/>
        <v/>
      </c>
      <c r="BP101" s="87" t="str">
        <f t="shared" si="201"/>
        <v/>
      </c>
      <c r="BQ101" s="49" t="str">
        <f t="shared" si="202"/>
        <v/>
      </c>
      <c r="BR101" s="49" t="str">
        <f t="shared" si="203"/>
        <v/>
      </c>
      <c r="BS101" s="89" t="str">
        <f t="shared" si="204"/>
        <v/>
      </c>
      <c r="BT101" s="87" t="str">
        <f t="shared" si="205"/>
        <v/>
      </c>
    </row>
    <row r="102" spans="2:72" s="93" customFormat="1" hidden="1">
      <c r="B102" s="81">
        <f>Weekly!B94</f>
        <v>0</v>
      </c>
      <c r="C102" s="90">
        <f>Weekly!C94</f>
        <v>0</v>
      </c>
      <c r="D102" s="90" t="str">
        <f>Weekly!D34</f>
        <v>Ko</v>
      </c>
      <c r="E102" s="91" t="e">
        <f>VLOOKUP(B102,Team!$B$4:$E$183,4,FALSE)</f>
        <v>#N/A</v>
      </c>
      <c r="F102" s="92" t="str">
        <f>Weekly!G94</f>
        <v/>
      </c>
      <c r="G102" s="92" t="str">
        <f>Weekly!H94</f>
        <v/>
      </c>
      <c r="H102" s="48" t="str">
        <f t="shared" si="141"/>
        <v/>
      </c>
      <c r="I102" s="48" t="str">
        <f t="shared" si="142"/>
        <v/>
      </c>
      <c r="J102" s="48" t="str">
        <f t="shared" si="143"/>
        <v/>
      </c>
      <c r="K102" s="84" t="str">
        <f t="shared" si="144"/>
        <v/>
      </c>
      <c r="L102" s="82" t="str">
        <f t="shared" si="145"/>
        <v/>
      </c>
      <c r="M102" s="48" t="str">
        <f t="shared" si="146"/>
        <v/>
      </c>
      <c r="N102" s="48" t="str">
        <f t="shared" si="147"/>
        <v/>
      </c>
      <c r="O102" s="84" t="str">
        <f t="shared" si="148"/>
        <v/>
      </c>
      <c r="P102" s="82" t="str">
        <f t="shared" si="149"/>
        <v/>
      </c>
      <c r="Q102" s="48" t="str">
        <f t="shared" si="150"/>
        <v/>
      </c>
      <c r="R102" s="48" t="str">
        <f t="shared" si="151"/>
        <v/>
      </c>
      <c r="S102" s="84" t="str">
        <f t="shared" si="152"/>
        <v/>
      </c>
      <c r="T102" s="82" t="str">
        <f t="shared" si="153"/>
        <v/>
      </c>
      <c r="U102" s="48" t="str">
        <f t="shared" si="154"/>
        <v/>
      </c>
      <c r="V102" s="48" t="str">
        <f t="shared" si="155"/>
        <v/>
      </c>
      <c r="W102" s="84" t="str">
        <f t="shared" si="156"/>
        <v/>
      </c>
      <c r="X102" s="82" t="str">
        <f t="shared" si="157"/>
        <v/>
      </c>
      <c r="Y102" s="48" t="str">
        <f t="shared" si="158"/>
        <v/>
      </c>
      <c r="Z102" s="48" t="str">
        <f t="shared" si="159"/>
        <v/>
      </c>
      <c r="AA102" s="84" t="str">
        <f t="shared" si="160"/>
        <v/>
      </c>
      <c r="AB102" s="82" t="str">
        <f t="shared" si="161"/>
        <v/>
      </c>
      <c r="AC102" s="48" t="str">
        <f t="shared" si="162"/>
        <v/>
      </c>
      <c r="AD102" s="48" t="str">
        <f t="shared" si="163"/>
        <v/>
      </c>
      <c r="AE102" s="84" t="str">
        <f t="shared" si="164"/>
        <v/>
      </c>
      <c r="AF102" s="82" t="str">
        <f t="shared" si="165"/>
        <v/>
      </c>
      <c r="AG102" s="48" t="str">
        <f t="shared" si="166"/>
        <v/>
      </c>
      <c r="AH102" s="48" t="str">
        <f t="shared" si="167"/>
        <v/>
      </c>
      <c r="AI102" s="84" t="str">
        <f t="shared" si="168"/>
        <v/>
      </c>
      <c r="AJ102" s="82" t="str">
        <f t="shared" si="169"/>
        <v/>
      </c>
      <c r="AK102" s="48" t="str">
        <f t="shared" si="170"/>
        <v/>
      </c>
      <c r="AL102" s="48" t="str">
        <f t="shared" si="171"/>
        <v/>
      </c>
      <c r="AM102" s="84" t="str">
        <f t="shared" si="172"/>
        <v/>
      </c>
      <c r="AN102" s="82" t="str">
        <f t="shared" si="173"/>
        <v/>
      </c>
      <c r="AO102" s="48" t="str">
        <f t="shared" si="174"/>
        <v/>
      </c>
      <c r="AP102" s="48" t="str">
        <f t="shared" si="175"/>
        <v/>
      </c>
      <c r="AQ102" s="84" t="str">
        <f t="shared" si="176"/>
        <v/>
      </c>
      <c r="AR102" s="82" t="str">
        <f t="shared" si="177"/>
        <v/>
      </c>
      <c r="AS102" s="48" t="str">
        <f t="shared" si="178"/>
        <v/>
      </c>
      <c r="AT102" s="48" t="str">
        <f t="shared" si="179"/>
        <v/>
      </c>
      <c r="AU102" s="84" t="str">
        <f t="shared" si="180"/>
        <v/>
      </c>
      <c r="AV102" s="82" t="str">
        <f t="shared" si="181"/>
        <v/>
      </c>
      <c r="AW102" s="48" t="str">
        <f t="shared" si="182"/>
        <v/>
      </c>
      <c r="AX102" s="48" t="str">
        <f t="shared" si="183"/>
        <v/>
      </c>
      <c r="AY102" s="84" t="str">
        <f t="shared" si="184"/>
        <v/>
      </c>
      <c r="AZ102" s="82" t="str">
        <f t="shared" si="185"/>
        <v/>
      </c>
      <c r="BA102" s="48" t="str">
        <f t="shared" si="186"/>
        <v/>
      </c>
      <c r="BB102" s="48" t="str">
        <f t="shared" si="187"/>
        <v/>
      </c>
      <c r="BC102" s="84" t="str">
        <f t="shared" si="188"/>
        <v/>
      </c>
      <c r="BD102" s="82" t="str">
        <f t="shared" si="189"/>
        <v/>
      </c>
      <c r="BE102" s="48" t="str">
        <f t="shared" si="190"/>
        <v/>
      </c>
      <c r="BF102" s="48" t="str">
        <f t="shared" si="191"/>
        <v/>
      </c>
      <c r="BG102" s="84" t="str">
        <f t="shared" si="192"/>
        <v/>
      </c>
      <c r="BH102" s="87" t="str">
        <f t="shared" si="193"/>
        <v/>
      </c>
      <c r="BI102" s="49" t="str">
        <f t="shared" si="194"/>
        <v/>
      </c>
      <c r="BJ102" s="49" t="str">
        <f t="shared" si="195"/>
        <v/>
      </c>
      <c r="BK102" s="89" t="str">
        <f t="shared" si="196"/>
        <v/>
      </c>
      <c r="BL102" s="87" t="str">
        <f t="shared" si="197"/>
        <v/>
      </c>
      <c r="BM102" s="49" t="str">
        <f t="shared" si="198"/>
        <v/>
      </c>
      <c r="BN102" s="49" t="str">
        <f t="shared" si="199"/>
        <v/>
      </c>
      <c r="BO102" s="89" t="str">
        <f t="shared" si="200"/>
        <v/>
      </c>
      <c r="BP102" s="87" t="str">
        <f t="shared" si="201"/>
        <v/>
      </c>
      <c r="BQ102" s="49" t="str">
        <f t="shared" si="202"/>
        <v/>
      </c>
      <c r="BR102" s="49" t="str">
        <f t="shared" si="203"/>
        <v/>
      </c>
      <c r="BS102" s="89" t="str">
        <f t="shared" si="204"/>
        <v/>
      </c>
      <c r="BT102" s="87" t="str">
        <f t="shared" si="205"/>
        <v/>
      </c>
    </row>
    <row r="103" spans="2:72" s="93" customFormat="1" hidden="1">
      <c r="B103" s="81">
        <f>Weekly!B95</f>
        <v>0</v>
      </c>
      <c r="C103" s="90">
        <f>Weekly!C95</f>
        <v>0</v>
      </c>
      <c r="D103" s="90" t="str">
        <f>Weekly!D15</f>
        <v>Huang</v>
      </c>
      <c r="E103" s="91" t="e">
        <f>VLOOKUP(B103,Team!$B$4:$E$183,4,FALSE)</f>
        <v>#N/A</v>
      </c>
      <c r="F103" s="92" t="str">
        <f>Weekly!G95</f>
        <v/>
      </c>
      <c r="G103" s="92" t="str">
        <f>Weekly!H95</f>
        <v/>
      </c>
      <c r="H103" s="48" t="str">
        <f t="shared" si="141"/>
        <v/>
      </c>
      <c r="I103" s="48" t="str">
        <f t="shared" si="142"/>
        <v/>
      </c>
      <c r="J103" s="48" t="str">
        <f t="shared" si="143"/>
        <v/>
      </c>
      <c r="K103" s="84" t="str">
        <f t="shared" si="144"/>
        <v/>
      </c>
      <c r="L103" s="82" t="str">
        <f t="shared" si="145"/>
        <v/>
      </c>
      <c r="M103" s="48" t="str">
        <f t="shared" si="146"/>
        <v/>
      </c>
      <c r="N103" s="48" t="str">
        <f t="shared" si="147"/>
        <v/>
      </c>
      <c r="O103" s="84" t="str">
        <f t="shared" si="148"/>
        <v/>
      </c>
      <c r="P103" s="82" t="str">
        <f t="shared" si="149"/>
        <v/>
      </c>
      <c r="Q103" s="48" t="str">
        <f t="shared" si="150"/>
        <v/>
      </c>
      <c r="R103" s="48" t="str">
        <f t="shared" si="151"/>
        <v/>
      </c>
      <c r="S103" s="84" t="str">
        <f t="shared" si="152"/>
        <v/>
      </c>
      <c r="T103" s="82" t="str">
        <f t="shared" si="153"/>
        <v/>
      </c>
      <c r="U103" s="48" t="str">
        <f t="shared" si="154"/>
        <v/>
      </c>
      <c r="V103" s="48" t="str">
        <f t="shared" si="155"/>
        <v/>
      </c>
      <c r="W103" s="84" t="str">
        <f t="shared" si="156"/>
        <v/>
      </c>
      <c r="X103" s="82" t="str">
        <f t="shared" si="157"/>
        <v/>
      </c>
      <c r="Y103" s="48" t="str">
        <f t="shared" si="158"/>
        <v/>
      </c>
      <c r="Z103" s="48" t="str">
        <f t="shared" si="159"/>
        <v/>
      </c>
      <c r="AA103" s="84" t="str">
        <f t="shared" si="160"/>
        <v/>
      </c>
      <c r="AB103" s="82" t="str">
        <f t="shared" si="161"/>
        <v/>
      </c>
      <c r="AC103" s="48" t="str">
        <f t="shared" si="162"/>
        <v/>
      </c>
      <c r="AD103" s="48" t="str">
        <f t="shared" si="163"/>
        <v/>
      </c>
      <c r="AE103" s="84" t="str">
        <f t="shared" si="164"/>
        <v/>
      </c>
      <c r="AF103" s="82" t="str">
        <f t="shared" si="165"/>
        <v/>
      </c>
      <c r="AG103" s="48" t="str">
        <f t="shared" si="166"/>
        <v/>
      </c>
      <c r="AH103" s="48" t="str">
        <f t="shared" si="167"/>
        <v/>
      </c>
      <c r="AI103" s="84" t="str">
        <f t="shared" si="168"/>
        <v/>
      </c>
      <c r="AJ103" s="82" t="str">
        <f t="shared" si="169"/>
        <v/>
      </c>
      <c r="AK103" s="48" t="str">
        <f t="shared" si="170"/>
        <v/>
      </c>
      <c r="AL103" s="48" t="str">
        <f t="shared" si="171"/>
        <v/>
      </c>
      <c r="AM103" s="84" t="str">
        <f t="shared" si="172"/>
        <v/>
      </c>
      <c r="AN103" s="82" t="str">
        <f t="shared" si="173"/>
        <v/>
      </c>
      <c r="AO103" s="48" t="str">
        <f t="shared" si="174"/>
        <v/>
      </c>
      <c r="AP103" s="48" t="str">
        <f t="shared" si="175"/>
        <v/>
      </c>
      <c r="AQ103" s="84" t="str">
        <f t="shared" si="176"/>
        <v/>
      </c>
      <c r="AR103" s="82" t="str">
        <f t="shared" si="177"/>
        <v/>
      </c>
      <c r="AS103" s="48" t="str">
        <f t="shared" si="178"/>
        <v/>
      </c>
      <c r="AT103" s="48" t="str">
        <f t="shared" si="179"/>
        <v/>
      </c>
      <c r="AU103" s="84" t="str">
        <f t="shared" si="180"/>
        <v/>
      </c>
      <c r="AV103" s="82" t="str">
        <f t="shared" si="181"/>
        <v/>
      </c>
      <c r="AW103" s="48" t="str">
        <f t="shared" si="182"/>
        <v/>
      </c>
      <c r="AX103" s="48" t="str">
        <f t="shared" si="183"/>
        <v/>
      </c>
      <c r="AY103" s="84" t="str">
        <f t="shared" si="184"/>
        <v/>
      </c>
      <c r="AZ103" s="82" t="str">
        <f t="shared" si="185"/>
        <v/>
      </c>
      <c r="BA103" s="48" t="str">
        <f t="shared" si="186"/>
        <v/>
      </c>
      <c r="BB103" s="48" t="str">
        <f t="shared" si="187"/>
        <v/>
      </c>
      <c r="BC103" s="84" t="str">
        <f t="shared" si="188"/>
        <v/>
      </c>
      <c r="BD103" s="82" t="str">
        <f t="shared" si="189"/>
        <v/>
      </c>
      <c r="BE103" s="48" t="str">
        <f t="shared" si="190"/>
        <v/>
      </c>
      <c r="BF103" s="48" t="str">
        <f t="shared" si="191"/>
        <v/>
      </c>
      <c r="BG103" s="84" t="str">
        <f t="shared" si="192"/>
        <v/>
      </c>
      <c r="BH103" s="87" t="str">
        <f t="shared" si="193"/>
        <v/>
      </c>
      <c r="BI103" s="49" t="str">
        <f t="shared" si="194"/>
        <v/>
      </c>
      <c r="BJ103" s="49" t="str">
        <f t="shared" si="195"/>
        <v/>
      </c>
      <c r="BK103" s="89" t="str">
        <f t="shared" si="196"/>
        <v/>
      </c>
      <c r="BL103" s="87" t="str">
        <f t="shared" si="197"/>
        <v/>
      </c>
      <c r="BM103" s="49" t="str">
        <f t="shared" si="198"/>
        <v/>
      </c>
      <c r="BN103" s="49" t="str">
        <f t="shared" si="199"/>
        <v/>
      </c>
      <c r="BO103" s="89" t="str">
        <f t="shared" si="200"/>
        <v/>
      </c>
      <c r="BP103" s="87" t="str">
        <f t="shared" si="201"/>
        <v/>
      </c>
      <c r="BQ103" s="49" t="str">
        <f t="shared" si="202"/>
        <v/>
      </c>
      <c r="BR103" s="49" t="str">
        <f t="shared" si="203"/>
        <v/>
      </c>
      <c r="BS103" s="89" t="str">
        <f t="shared" si="204"/>
        <v/>
      </c>
      <c r="BT103" s="87" t="str">
        <f t="shared" si="205"/>
        <v/>
      </c>
    </row>
    <row r="104" spans="2:72" s="93" customFormat="1"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</row>
    <row r="105" spans="2:72" s="93" customFormat="1"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</row>
    <row r="106" spans="2:72" s="93" customFormat="1"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</row>
    <row r="107" spans="2:72" s="93" customFormat="1"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</row>
    <row r="108" spans="2:72" s="93" customFormat="1"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</row>
    <row r="109" spans="2:72">
      <c r="C109" s="93"/>
      <c r="D109" s="93"/>
      <c r="E109" s="93"/>
      <c r="F109" s="93"/>
      <c r="G109" s="93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3"/>
      <c r="BI109" s="93"/>
      <c r="BJ109" s="93"/>
      <c r="BK109" s="93"/>
      <c r="BL109" s="93"/>
      <c r="BM109" s="93"/>
      <c r="BN109" s="93"/>
      <c r="BO109" s="93"/>
      <c r="BP109" s="93"/>
      <c r="BQ109" s="93"/>
      <c r="BR109" s="93"/>
      <c r="BS109" s="93"/>
      <c r="BT109" s="93"/>
    </row>
    <row r="110" spans="2:72">
      <c r="C110" s="93"/>
      <c r="D110" s="93"/>
      <c r="E110" s="93"/>
      <c r="F110" s="93"/>
      <c r="G110" s="93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3"/>
      <c r="BI110" s="93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</row>
    <row r="111" spans="2:72">
      <c r="C111" s="93"/>
      <c r="D111" s="93"/>
      <c r="E111" s="93"/>
      <c r="F111" s="93"/>
      <c r="G111" s="93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3"/>
      <c r="BI111" s="93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</row>
    <row r="112" spans="2:72">
      <c r="C112" s="93"/>
      <c r="D112" s="93"/>
      <c r="E112" s="93"/>
      <c r="F112" s="93"/>
      <c r="G112" s="93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</row>
    <row r="113" spans="3:72">
      <c r="C113" s="93"/>
      <c r="D113" s="93"/>
      <c r="E113" s="93"/>
      <c r="F113" s="93"/>
      <c r="G113" s="93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</row>
    <row r="114" spans="3:72">
      <c r="C114" s="93"/>
      <c r="D114" s="93"/>
      <c r="E114" s="93"/>
      <c r="F114" s="93"/>
      <c r="G114" s="93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3"/>
      <c r="BI114" s="93"/>
      <c r="BJ114" s="93"/>
      <c r="BK114" s="93"/>
      <c r="BL114" s="93"/>
      <c r="BM114" s="93"/>
      <c r="BN114" s="93"/>
      <c r="BO114" s="93"/>
      <c r="BP114" s="93"/>
      <c r="BQ114" s="93"/>
      <c r="BR114" s="93"/>
      <c r="BS114" s="93"/>
      <c r="BT114" s="93"/>
    </row>
    <row r="115" spans="3:72">
      <c r="C115" s="93"/>
      <c r="D115" s="93"/>
      <c r="E115" s="93"/>
      <c r="F115" s="93"/>
      <c r="G115" s="93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3"/>
      <c r="BI115" s="93"/>
      <c r="BJ115" s="93"/>
      <c r="BK115" s="93"/>
      <c r="BL115" s="93"/>
      <c r="BM115" s="93"/>
      <c r="BN115" s="93"/>
      <c r="BO115" s="93"/>
      <c r="BP115" s="93"/>
      <c r="BQ115" s="93"/>
      <c r="BR115" s="93"/>
      <c r="BS115" s="93"/>
      <c r="BT115" s="93"/>
    </row>
    <row r="116" spans="3:72">
      <c r="C116" s="93"/>
      <c r="D116" s="93"/>
      <c r="E116" s="93"/>
      <c r="F116" s="93"/>
      <c r="G116" s="93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</row>
    <row r="117" spans="3:72">
      <c r="C117" s="93"/>
      <c r="D117" s="93"/>
      <c r="E117" s="93"/>
      <c r="F117" s="93"/>
      <c r="G117" s="93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</row>
    <row r="118" spans="3:72">
      <c r="C118" s="93"/>
      <c r="D118" s="93"/>
      <c r="E118" s="93"/>
      <c r="F118" s="93"/>
      <c r="G118" s="93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</row>
    <row r="119" spans="3:72">
      <c r="C119" s="93"/>
      <c r="D119" s="93"/>
      <c r="E119" s="93"/>
      <c r="F119" s="93"/>
      <c r="G119" s="93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</row>
    <row r="120" spans="3:72">
      <c r="C120" s="93"/>
      <c r="D120" s="93"/>
      <c r="E120" s="93"/>
      <c r="F120" s="93"/>
      <c r="G120" s="93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</row>
    <row r="121" spans="3:72">
      <c r="C121" s="93"/>
      <c r="D121" s="93"/>
      <c r="E121" s="93"/>
      <c r="F121" s="93"/>
      <c r="G121" s="93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  <c r="BG121" s="94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</row>
    <row r="122" spans="3:72">
      <c r="C122" s="93"/>
      <c r="D122" s="93"/>
      <c r="E122" s="93"/>
      <c r="F122" s="93"/>
      <c r="G122" s="93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  <c r="BF122" s="94"/>
      <c r="BG122" s="94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</row>
    <row r="123" spans="3:72">
      <c r="C123" s="93"/>
      <c r="D123" s="93"/>
      <c r="E123" s="93"/>
      <c r="F123" s="93"/>
      <c r="G123" s="93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  <c r="BG123" s="94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</row>
    <row r="124" spans="3:72">
      <c r="C124" s="93"/>
      <c r="D124" s="93"/>
      <c r="E124" s="93"/>
      <c r="F124" s="93"/>
      <c r="G124" s="93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  <c r="BG124" s="94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</row>
    <row r="125" spans="3:72">
      <c r="C125" s="93"/>
      <c r="D125" s="93"/>
      <c r="E125" s="93"/>
      <c r="F125" s="93"/>
      <c r="G125" s="93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  <c r="BG125" s="94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</row>
    <row r="126" spans="3:72">
      <c r="C126" s="93"/>
      <c r="D126" s="93"/>
      <c r="E126" s="93"/>
      <c r="F126" s="93"/>
      <c r="G126" s="93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</row>
    <row r="127" spans="3:72">
      <c r="C127" s="93"/>
      <c r="D127" s="93"/>
      <c r="E127" s="93"/>
      <c r="F127" s="93"/>
      <c r="G127" s="93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94"/>
      <c r="BE127" s="94"/>
      <c r="BF127" s="94"/>
      <c r="BG127" s="94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</row>
    <row r="128" spans="3:72">
      <c r="C128" s="93"/>
      <c r="D128" s="93"/>
      <c r="E128" s="93"/>
      <c r="F128" s="93"/>
      <c r="G128" s="93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</row>
    <row r="129" spans="3:72">
      <c r="C129" s="93"/>
      <c r="D129" s="93"/>
      <c r="E129" s="93"/>
      <c r="F129" s="93"/>
      <c r="G129" s="93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</row>
    <row r="130" spans="3:72">
      <c r="C130" s="93"/>
      <c r="D130" s="93"/>
      <c r="E130" s="93"/>
      <c r="F130" s="93"/>
      <c r="G130" s="93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3"/>
      <c r="BT130" s="93"/>
    </row>
    <row r="131" spans="3:72">
      <c r="C131" s="93"/>
      <c r="D131" s="93"/>
      <c r="E131" s="93"/>
      <c r="F131" s="93"/>
      <c r="G131" s="93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3"/>
      <c r="BT131" s="93"/>
    </row>
    <row r="132" spans="3:72">
      <c r="C132" s="93"/>
      <c r="D132" s="93"/>
      <c r="E132" s="93"/>
      <c r="F132" s="93"/>
      <c r="G132" s="93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3"/>
      <c r="BT132" s="93"/>
    </row>
    <row r="133" spans="3:72">
      <c r="C133" s="93"/>
      <c r="D133" s="93"/>
      <c r="E133" s="93"/>
      <c r="F133" s="93"/>
      <c r="G133" s="93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3"/>
      <c r="BT133" s="93"/>
    </row>
    <row r="134" spans="3:72">
      <c r="C134" s="93"/>
      <c r="D134" s="93"/>
      <c r="E134" s="93"/>
      <c r="F134" s="93"/>
      <c r="G134" s="93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</row>
    <row r="135" spans="3:72">
      <c r="C135" s="93"/>
      <c r="D135" s="93"/>
      <c r="E135" s="93"/>
      <c r="F135" s="93"/>
      <c r="G135" s="93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3"/>
    </row>
    <row r="136" spans="3:72">
      <c r="C136" s="93"/>
      <c r="D136" s="93"/>
      <c r="E136" s="93"/>
      <c r="F136" s="93"/>
      <c r="G136" s="93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3"/>
      <c r="BI136" s="93"/>
      <c r="BJ136" s="93"/>
      <c r="BK136" s="93"/>
      <c r="BL136" s="93"/>
      <c r="BM136" s="93"/>
      <c r="BN136" s="93"/>
      <c r="BO136" s="93"/>
      <c r="BP136" s="93"/>
      <c r="BQ136" s="93"/>
      <c r="BR136" s="93"/>
      <c r="BS136" s="93"/>
      <c r="BT136" s="93"/>
    </row>
    <row r="137" spans="3:72">
      <c r="C137" s="93"/>
      <c r="D137" s="93"/>
      <c r="E137" s="93"/>
      <c r="F137" s="93"/>
      <c r="G137" s="93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3"/>
      <c r="BI137" s="93"/>
      <c r="BJ137" s="93"/>
      <c r="BK137" s="93"/>
      <c r="BL137" s="93"/>
      <c r="BM137" s="93"/>
      <c r="BN137" s="93"/>
      <c r="BO137" s="93"/>
      <c r="BP137" s="93"/>
      <c r="BQ137" s="93"/>
      <c r="BR137" s="93"/>
      <c r="BS137" s="93"/>
      <c r="BT137" s="93"/>
    </row>
    <row r="138" spans="3:72">
      <c r="C138" s="93"/>
      <c r="D138" s="93"/>
      <c r="E138" s="93"/>
      <c r="F138" s="93"/>
      <c r="G138" s="93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3"/>
      <c r="BI138" s="93"/>
      <c r="BJ138" s="93"/>
      <c r="BK138" s="93"/>
      <c r="BL138" s="93"/>
      <c r="BM138" s="93"/>
      <c r="BN138" s="93"/>
      <c r="BO138" s="93"/>
      <c r="BP138" s="93"/>
      <c r="BQ138" s="93"/>
      <c r="BR138" s="93"/>
      <c r="BS138" s="93"/>
      <c r="BT138" s="93"/>
    </row>
    <row r="139" spans="3:72">
      <c r="C139" s="93"/>
      <c r="D139" s="93"/>
      <c r="E139" s="93"/>
      <c r="F139" s="93"/>
      <c r="G139" s="93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</row>
    <row r="140" spans="3:72">
      <c r="C140" s="93"/>
      <c r="D140" s="93"/>
      <c r="E140" s="93"/>
      <c r="F140" s="93"/>
      <c r="G140" s="93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3"/>
      <c r="BI140" s="93"/>
      <c r="BJ140" s="93"/>
      <c r="BK140" s="93"/>
      <c r="BL140" s="93"/>
      <c r="BM140" s="93"/>
      <c r="BN140" s="93"/>
      <c r="BO140" s="93"/>
      <c r="BP140" s="93"/>
      <c r="BQ140" s="93"/>
      <c r="BR140" s="93"/>
      <c r="BS140" s="93"/>
      <c r="BT140" s="93"/>
    </row>
    <row r="141" spans="3:72">
      <c r="C141" s="93"/>
      <c r="D141" s="93"/>
      <c r="E141" s="93"/>
      <c r="F141" s="93"/>
      <c r="G141" s="93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3"/>
      <c r="BI141" s="93"/>
      <c r="BJ141" s="93"/>
      <c r="BK141" s="93"/>
      <c r="BL141" s="93"/>
      <c r="BM141" s="93"/>
      <c r="BN141" s="93"/>
      <c r="BO141" s="93"/>
      <c r="BP141" s="93"/>
      <c r="BQ141" s="93"/>
      <c r="BR141" s="93"/>
      <c r="BS141" s="93"/>
      <c r="BT141" s="93"/>
    </row>
    <row r="142" spans="3:72">
      <c r="C142" s="93"/>
      <c r="D142" s="93"/>
      <c r="E142" s="93"/>
      <c r="F142" s="93"/>
      <c r="G142" s="93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3"/>
      <c r="BT142" s="93"/>
    </row>
    <row r="143" spans="3:72">
      <c r="C143" s="93"/>
      <c r="D143" s="93"/>
      <c r="E143" s="93"/>
      <c r="F143" s="93"/>
      <c r="G143" s="93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</row>
    <row r="144" spans="3:72">
      <c r="C144" s="93"/>
      <c r="D144" s="93"/>
      <c r="E144" s="93"/>
      <c r="F144" s="93"/>
      <c r="G144" s="93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</row>
    <row r="145" spans="3:72">
      <c r="C145" s="93"/>
      <c r="D145" s="93"/>
      <c r="E145" s="93"/>
      <c r="F145" s="93"/>
      <c r="G145" s="93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</row>
    <row r="146" spans="3:72">
      <c r="C146" s="93"/>
      <c r="D146" s="93"/>
      <c r="E146" s="93"/>
      <c r="F146" s="93"/>
      <c r="G146" s="93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</row>
    <row r="147" spans="3:72">
      <c r="C147" s="93"/>
      <c r="D147" s="93"/>
      <c r="E147" s="93"/>
      <c r="F147" s="93"/>
      <c r="G147" s="93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H147" s="93"/>
      <c r="BI147" s="93"/>
      <c r="BJ147" s="93"/>
      <c r="BK147" s="93"/>
      <c r="BL147" s="93"/>
      <c r="BM147" s="93"/>
      <c r="BN147" s="93"/>
      <c r="BO147" s="93"/>
      <c r="BP147" s="93"/>
      <c r="BQ147" s="93"/>
      <c r="BR147" s="93"/>
      <c r="BS147" s="93"/>
      <c r="BT147" s="93"/>
    </row>
    <row r="148" spans="3:72">
      <c r="C148" s="93"/>
      <c r="D148" s="93"/>
      <c r="E148" s="93"/>
      <c r="F148" s="93"/>
      <c r="G148" s="93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3"/>
      <c r="BI148" s="93"/>
      <c r="BJ148" s="93"/>
      <c r="BK148" s="93"/>
      <c r="BL148" s="93"/>
      <c r="BM148" s="93"/>
      <c r="BN148" s="93"/>
      <c r="BO148" s="93"/>
      <c r="BP148" s="93"/>
      <c r="BQ148" s="93"/>
      <c r="BR148" s="93"/>
      <c r="BS148" s="93"/>
      <c r="BT148" s="93"/>
    </row>
    <row r="149" spans="3:72">
      <c r="C149" s="93"/>
      <c r="D149" s="93"/>
      <c r="E149" s="93"/>
      <c r="F149" s="93"/>
      <c r="G149" s="93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</row>
    <row r="150" spans="3:72">
      <c r="C150" s="93"/>
      <c r="D150" s="93"/>
      <c r="E150" s="93"/>
      <c r="F150" s="93"/>
      <c r="G150" s="93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</row>
    <row r="151" spans="3:72">
      <c r="C151" s="93"/>
      <c r="D151" s="93"/>
      <c r="E151" s="93"/>
      <c r="F151" s="93"/>
      <c r="G151" s="93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  <c r="BG151" s="94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</row>
    <row r="152" spans="3:72">
      <c r="C152" s="93"/>
      <c r="D152" s="93"/>
      <c r="E152" s="93"/>
      <c r="F152" s="93"/>
      <c r="G152" s="93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</row>
    <row r="153" spans="3:72">
      <c r="C153" s="93"/>
      <c r="D153" s="93"/>
      <c r="E153" s="93"/>
      <c r="F153" s="93"/>
      <c r="G153" s="93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</row>
    <row r="154" spans="3:72">
      <c r="C154" s="93"/>
      <c r="D154" s="93"/>
      <c r="E154" s="93"/>
      <c r="F154" s="93"/>
      <c r="G154" s="93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4"/>
      <c r="BE154" s="94"/>
      <c r="BF154" s="94"/>
      <c r="BG154" s="94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</row>
    <row r="155" spans="3:72">
      <c r="C155" s="93"/>
      <c r="D155" s="93"/>
      <c r="E155" s="93"/>
      <c r="F155" s="93"/>
      <c r="G155" s="93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  <c r="BG155" s="94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</row>
    <row r="156" spans="3:72">
      <c r="C156" s="93"/>
      <c r="D156" s="93"/>
      <c r="E156" s="93"/>
      <c r="F156" s="93"/>
      <c r="G156" s="93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4"/>
      <c r="BE156" s="94"/>
      <c r="BF156" s="94"/>
      <c r="BG156" s="94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</row>
    <row r="157" spans="3:72">
      <c r="C157" s="93"/>
      <c r="D157" s="93"/>
      <c r="E157" s="93"/>
      <c r="F157" s="93"/>
      <c r="G157" s="93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4"/>
      <c r="BE157" s="94"/>
      <c r="BF157" s="94"/>
      <c r="BG157" s="94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</row>
    <row r="158" spans="3:72">
      <c r="C158" s="93"/>
      <c r="D158" s="93"/>
      <c r="E158" s="93"/>
      <c r="F158" s="93"/>
      <c r="G158" s="93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4"/>
      <c r="BE158" s="94"/>
      <c r="BF158" s="94"/>
      <c r="BG158" s="94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</row>
    <row r="159" spans="3:72">
      <c r="C159" s="93"/>
      <c r="D159" s="93"/>
      <c r="E159" s="93"/>
      <c r="F159" s="93"/>
      <c r="G159" s="93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4"/>
      <c r="BA159" s="94"/>
      <c r="BB159" s="94"/>
      <c r="BC159" s="94"/>
      <c r="BD159" s="94"/>
      <c r="BE159" s="94"/>
      <c r="BF159" s="94"/>
      <c r="BG159" s="94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</row>
    <row r="160" spans="3:72">
      <c r="C160" s="93"/>
      <c r="D160" s="93"/>
      <c r="E160" s="93"/>
      <c r="F160" s="93"/>
      <c r="G160" s="93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4"/>
      <c r="BA160" s="94"/>
      <c r="BB160" s="94"/>
      <c r="BC160" s="94"/>
      <c r="BD160" s="94"/>
      <c r="BE160" s="94"/>
      <c r="BF160" s="94"/>
      <c r="BG160" s="94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</row>
    <row r="161" spans="3:72">
      <c r="C161" s="93"/>
      <c r="D161" s="93"/>
      <c r="E161" s="93"/>
      <c r="F161" s="93"/>
      <c r="G161" s="93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4"/>
      <c r="BA161" s="94"/>
      <c r="BB161" s="94"/>
      <c r="BC161" s="94"/>
      <c r="BD161" s="94"/>
      <c r="BE161" s="94"/>
      <c r="BF161" s="94"/>
      <c r="BG161" s="94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</row>
    <row r="162" spans="3:72">
      <c r="C162" s="93"/>
      <c r="D162" s="93"/>
      <c r="E162" s="93"/>
      <c r="F162" s="93"/>
      <c r="G162" s="93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4"/>
      <c r="BA162" s="94"/>
      <c r="BB162" s="94"/>
      <c r="BC162" s="94"/>
      <c r="BD162" s="94"/>
      <c r="BE162" s="94"/>
      <c r="BF162" s="94"/>
      <c r="BG162" s="94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</row>
    <row r="163" spans="3:72">
      <c r="C163" s="93"/>
      <c r="D163" s="93"/>
      <c r="E163" s="93"/>
      <c r="F163" s="93"/>
      <c r="G163" s="93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3"/>
      <c r="BI163" s="93"/>
      <c r="BJ163" s="93"/>
      <c r="BK163" s="93"/>
      <c r="BL163" s="93"/>
      <c r="BM163" s="93"/>
      <c r="BN163" s="93"/>
      <c r="BO163" s="93"/>
      <c r="BP163" s="93"/>
      <c r="BQ163" s="93"/>
      <c r="BR163" s="93"/>
      <c r="BS163" s="93"/>
      <c r="BT163" s="93"/>
    </row>
    <row r="164" spans="3:72">
      <c r="C164" s="93"/>
      <c r="D164" s="93"/>
      <c r="E164" s="93"/>
      <c r="F164" s="93"/>
      <c r="G164" s="93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</row>
    <row r="165" spans="3:72">
      <c r="C165" s="93"/>
      <c r="D165" s="93"/>
      <c r="E165" s="93"/>
      <c r="F165" s="93"/>
      <c r="G165" s="93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3"/>
      <c r="BI165" s="93"/>
      <c r="BJ165" s="93"/>
      <c r="BK165" s="93"/>
      <c r="BL165" s="93"/>
      <c r="BM165" s="93"/>
      <c r="BN165" s="93"/>
      <c r="BO165" s="93"/>
      <c r="BP165" s="93"/>
      <c r="BQ165" s="93"/>
      <c r="BR165" s="93"/>
      <c r="BS165" s="93"/>
      <c r="BT165" s="93"/>
    </row>
    <row r="166" spans="3:72">
      <c r="C166" s="93"/>
      <c r="D166" s="93"/>
      <c r="E166" s="93"/>
      <c r="F166" s="93"/>
      <c r="G166" s="93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4"/>
      <c r="BE166" s="94"/>
      <c r="BF166" s="94"/>
      <c r="BG166" s="94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</row>
    <row r="167" spans="3:72">
      <c r="C167" s="93"/>
      <c r="D167" s="93"/>
      <c r="E167" s="93"/>
      <c r="F167" s="93"/>
      <c r="G167" s="93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4"/>
      <c r="BA167" s="94"/>
      <c r="BB167" s="94"/>
      <c r="BC167" s="94"/>
      <c r="BD167" s="94"/>
      <c r="BE167" s="94"/>
      <c r="BF167" s="94"/>
      <c r="BG167" s="94"/>
      <c r="BH167" s="93"/>
      <c r="BI167" s="93"/>
      <c r="BJ167" s="93"/>
      <c r="BK167" s="93"/>
      <c r="BL167" s="93"/>
      <c r="BM167" s="93"/>
      <c r="BN167" s="93"/>
      <c r="BO167" s="93"/>
      <c r="BP167" s="93"/>
      <c r="BQ167" s="93"/>
      <c r="BR167" s="93"/>
      <c r="BS167" s="93"/>
      <c r="BT167" s="93"/>
    </row>
    <row r="168" spans="3:72">
      <c r="C168" s="93"/>
      <c r="D168" s="93"/>
      <c r="E168" s="93"/>
      <c r="F168" s="93"/>
      <c r="G168" s="93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BG168" s="94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</row>
    <row r="169" spans="3:72">
      <c r="C169" s="93"/>
      <c r="D169" s="93"/>
      <c r="E169" s="93"/>
      <c r="F169" s="93"/>
      <c r="G169" s="93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4"/>
      <c r="BA169" s="94"/>
      <c r="BB169" s="94"/>
      <c r="BC169" s="94"/>
      <c r="BD169" s="94"/>
      <c r="BE169" s="94"/>
      <c r="BF169" s="94"/>
      <c r="BG169" s="94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</row>
    <row r="170" spans="3:72">
      <c r="C170" s="93"/>
      <c r="D170" s="93"/>
      <c r="E170" s="93"/>
      <c r="F170" s="93"/>
      <c r="G170" s="93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4"/>
      <c r="BA170" s="94"/>
      <c r="BB170" s="94"/>
      <c r="BC170" s="94"/>
      <c r="BD170" s="94"/>
      <c r="BE170" s="94"/>
      <c r="BF170" s="94"/>
      <c r="BG170" s="94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</row>
    <row r="171" spans="3:72">
      <c r="C171" s="93"/>
      <c r="D171" s="93"/>
      <c r="E171" s="93"/>
      <c r="F171" s="93"/>
      <c r="G171" s="93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4"/>
      <c r="BE171" s="94"/>
      <c r="BF171" s="94"/>
      <c r="BG171" s="94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</row>
    <row r="172" spans="3:72">
      <c r="C172" s="93"/>
      <c r="D172" s="93"/>
      <c r="E172" s="93"/>
      <c r="F172" s="93"/>
      <c r="G172" s="93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4"/>
      <c r="BE172" s="94"/>
      <c r="BF172" s="94"/>
      <c r="BG172" s="94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</row>
    <row r="173" spans="3:72">
      <c r="C173" s="93"/>
      <c r="D173" s="93"/>
      <c r="E173" s="93"/>
      <c r="F173" s="93"/>
      <c r="G173" s="93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4"/>
      <c r="BA173" s="94"/>
      <c r="BB173" s="94"/>
      <c r="BC173" s="94"/>
      <c r="BD173" s="94"/>
      <c r="BE173" s="94"/>
      <c r="BF173" s="94"/>
      <c r="BG173" s="94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</row>
    <row r="174" spans="3:72">
      <c r="C174" s="93"/>
      <c r="D174" s="93"/>
      <c r="E174" s="93"/>
      <c r="F174" s="93"/>
      <c r="G174" s="93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  <c r="BG174" s="94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</row>
    <row r="175" spans="3:72">
      <c r="C175" s="93"/>
      <c r="D175" s="93"/>
      <c r="E175" s="93"/>
      <c r="F175" s="93"/>
      <c r="G175" s="93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4"/>
      <c r="BE175" s="94"/>
      <c r="BF175" s="94"/>
      <c r="BG175" s="94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</row>
    <row r="176" spans="3:72">
      <c r="C176" s="93"/>
      <c r="D176" s="93"/>
      <c r="E176" s="93"/>
      <c r="F176" s="93"/>
      <c r="G176" s="93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BG176" s="94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</row>
    <row r="177" spans="3:72">
      <c r="C177" s="93"/>
      <c r="D177" s="93"/>
      <c r="E177" s="93"/>
      <c r="F177" s="93"/>
      <c r="G177" s="93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G177" s="94"/>
      <c r="BH177" s="93"/>
      <c r="BI177" s="93"/>
      <c r="BJ177" s="93"/>
      <c r="BK177" s="93"/>
      <c r="BL177" s="93"/>
      <c r="BM177" s="93"/>
      <c r="BN177" s="93"/>
      <c r="BO177" s="93"/>
      <c r="BP177" s="93"/>
      <c r="BQ177" s="93"/>
      <c r="BR177" s="93"/>
      <c r="BS177" s="93"/>
      <c r="BT177" s="93"/>
    </row>
    <row r="178" spans="3:72">
      <c r="C178" s="93"/>
      <c r="D178" s="93"/>
      <c r="E178" s="93"/>
      <c r="F178" s="93"/>
      <c r="G178" s="93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BG178" s="94"/>
      <c r="BH178" s="93"/>
      <c r="BI178" s="93"/>
      <c r="BJ178" s="93"/>
      <c r="BK178" s="93"/>
      <c r="BL178" s="93"/>
      <c r="BM178" s="93"/>
      <c r="BN178" s="93"/>
      <c r="BO178" s="93"/>
      <c r="BP178" s="93"/>
      <c r="BQ178" s="93"/>
      <c r="BR178" s="93"/>
      <c r="BS178" s="93"/>
      <c r="BT178" s="93"/>
    </row>
    <row r="179" spans="3:72">
      <c r="C179" s="93"/>
      <c r="D179" s="93"/>
      <c r="E179" s="93"/>
      <c r="F179" s="93"/>
      <c r="G179" s="93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BG179" s="94"/>
      <c r="BH179" s="93"/>
      <c r="BI179" s="93"/>
      <c r="BJ179" s="93"/>
      <c r="BK179" s="93"/>
      <c r="BL179" s="93"/>
      <c r="BM179" s="93"/>
      <c r="BN179" s="93"/>
      <c r="BO179" s="93"/>
      <c r="BP179" s="93"/>
      <c r="BQ179" s="93"/>
      <c r="BR179" s="93"/>
      <c r="BS179" s="93"/>
      <c r="BT179" s="93"/>
    </row>
    <row r="180" spans="3:72">
      <c r="C180" s="93"/>
      <c r="D180" s="93"/>
      <c r="E180" s="93"/>
      <c r="F180" s="93"/>
      <c r="G180" s="93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  <c r="BG180" s="94"/>
      <c r="BH180" s="93"/>
      <c r="BI180" s="93"/>
      <c r="BJ180" s="93"/>
      <c r="BK180" s="93"/>
      <c r="BL180" s="93"/>
      <c r="BM180" s="93"/>
      <c r="BN180" s="93"/>
      <c r="BO180" s="93"/>
      <c r="BP180" s="93"/>
      <c r="BQ180" s="93"/>
      <c r="BR180" s="93"/>
      <c r="BS180" s="93"/>
      <c r="BT180" s="93"/>
    </row>
    <row r="181" spans="3:72">
      <c r="C181" s="93"/>
      <c r="D181" s="93"/>
      <c r="E181" s="93"/>
      <c r="F181" s="93"/>
      <c r="G181" s="93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94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</row>
    <row r="182" spans="3:72">
      <c r="C182" s="93"/>
      <c r="D182" s="93"/>
      <c r="E182" s="93"/>
      <c r="F182" s="93"/>
      <c r="G182" s="93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4"/>
      <c r="BE182" s="94"/>
      <c r="BF182" s="94"/>
      <c r="BG182" s="94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</row>
    <row r="183" spans="3:72">
      <c r="C183" s="93"/>
      <c r="D183" s="93"/>
      <c r="E183" s="93"/>
      <c r="F183" s="93"/>
      <c r="G183" s="93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  <c r="BG183" s="94"/>
      <c r="BH183" s="93"/>
      <c r="BI183" s="93"/>
      <c r="BJ183" s="93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</row>
    <row r="184" spans="3:72">
      <c r="C184" s="93"/>
      <c r="D184" s="93"/>
      <c r="E184" s="93"/>
      <c r="F184" s="93"/>
      <c r="G184" s="93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4"/>
      <c r="BA184" s="94"/>
      <c r="BB184" s="94"/>
      <c r="BC184" s="94"/>
      <c r="BD184" s="94"/>
      <c r="BE184" s="94"/>
      <c r="BF184" s="94"/>
      <c r="BG184" s="94"/>
      <c r="BH184" s="93"/>
      <c r="BI184" s="93"/>
      <c r="BJ184" s="93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</row>
    <row r="185" spans="3:72">
      <c r="C185" s="93"/>
      <c r="D185" s="93"/>
      <c r="E185" s="93"/>
      <c r="F185" s="93"/>
      <c r="G185" s="93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4"/>
      <c r="BE185" s="94"/>
      <c r="BF185" s="94"/>
      <c r="BG185" s="94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</row>
    <row r="186" spans="3:72">
      <c r="C186" s="93"/>
      <c r="D186" s="93"/>
      <c r="E186" s="93"/>
      <c r="F186" s="93"/>
      <c r="G186" s="93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4"/>
      <c r="BA186" s="94"/>
      <c r="BB186" s="94"/>
      <c r="BC186" s="94"/>
      <c r="BD186" s="94"/>
      <c r="BE186" s="94"/>
      <c r="BF186" s="94"/>
      <c r="BG186" s="94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</row>
    <row r="187" spans="3:72">
      <c r="C187" s="93"/>
      <c r="D187" s="93"/>
      <c r="E187" s="93"/>
      <c r="F187" s="93"/>
      <c r="G187" s="93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4"/>
      <c r="BE187" s="94"/>
      <c r="BF187" s="94"/>
      <c r="BG187" s="94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</row>
    <row r="188" spans="3:72">
      <c r="C188" s="93"/>
      <c r="D188" s="93"/>
      <c r="E188" s="93"/>
      <c r="F188" s="93"/>
      <c r="G188" s="93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4"/>
      <c r="BA188" s="94"/>
      <c r="BB188" s="94"/>
      <c r="BC188" s="94"/>
      <c r="BD188" s="94"/>
      <c r="BE188" s="94"/>
      <c r="BF188" s="94"/>
      <c r="BG188" s="94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</row>
    <row r="189" spans="3:72">
      <c r="C189" s="93"/>
      <c r="D189" s="93"/>
      <c r="E189" s="93"/>
      <c r="F189" s="93"/>
      <c r="G189" s="93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4"/>
      <c r="BE189" s="94"/>
      <c r="BF189" s="94"/>
      <c r="BG189" s="94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</row>
    <row r="190" spans="3:72">
      <c r="C190" s="93"/>
      <c r="D190" s="93"/>
      <c r="E190" s="93"/>
      <c r="F190" s="93"/>
      <c r="G190" s="93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94"/>
      <c r="BA190" s="94"/>
      <c r="BB190" s="94"/>
      <c r="BC190" s="94"/>
      <c r="BD190" s="94"/>
      <c r="BE190" s="94"/>
      <c r="BF190" s="94"/>
      <c r="BG190" s="94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</row>
    <row r="191" spans="3:72">
      <c r="C191" s="93"/>
      <c r="D191" s="93"/>
      <c r="E191" s="93"/>
      <c r="F191" s="93"/>
      <c r="G191" s="93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4"/>
      <c r="BE191" s="94"/>
      <c r="BF191" s="94"/>
      <c r="BG191" s="94"/>
      <c r="BH191" s="93"/>
      <c r="BI191" s="93"/>
      <c r="BJ191" s="93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</row>
    <row r="192" spans="3:72">
      <c r="C192" s="93"/>
      <c r="D192" s="93"/>
      <c r="E192" s="93"/>
      <c r="F192" s="93"/>
      <c r="G192" s="93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4"/>
      <c r="BA192" s="94"/>
      <c r="BB192" s="94"/>
      <c r="BC192" s="94"/>
      <c r="BD192" s="94"/>
      <c r="BE192" s="94"/>
      <c r="BF192" s="94"/>
      <c r="BG192" s="94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</row>
    <row r="193" spans="3:72">
      <c r="C193" s="93"/>
      <c r="D193" s="93"/>
      <c r="E193" s="93"/>
      <c r="F193" s="93"/>
      <c r="G193" s="93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V193" s="94"/>
      <c r="AW193" s="94"/>
      <c r="AX193" s="94"/>
      <c r="AY193" s="94"/>
      <c r="AZ193" s="94"/>
      <c r="BA193" s="94"/>
      <c r="BB193" s="94"/>
      <c r="BC193" s="94"/>
      <c r="BD193" s="94"/>
      <c r="BE193" s="94"/>
      <c r="BF193" s="94"/>
      <c r="BG193" s="94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</row>
    <row r="194" spans="3:72">
      <c r="C194" s="93"/>
      <c r="D194" s="93"/>
      <c r="E194" s="93"/>
      <c r="F194" s="93"/>
      <c r="G194" s="93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  <c r="AT194" s="94"/>
      <c r="AU194" s="94"/>
      <c r="AV194" s="94"/>
      <c r="AW194" s="94"/>
      <c r="AX194" s="94"/>
      <c r="AY194" s="94"/>
      <c r="AZ194" s="94"/>
      <c r="BA194" s="94"/>
      <c r="BB194" s="94"/>
      <c r="BC194" s="94"/>
      <c r="BD194" s="94"/>
      <c r="BE194" s="94"/>
      <c r="BF194" s="94"/>
      <c r="BG194" s="94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</row>
    <row r="195" spans="3:72">
      <c r="C195" s="93"/>
      <c r="D195" s="93"/>
      <c r="E195" s="93"/>
      <c r="F195" s="93"/>
      <c r="G195" s="93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  <c r="AT195" s="94"/>
      <c r="AU195" s="94"/>
      <c r="AV195" s="94"/>
      <c r="AW195" s="94"/>
      <c r="AX195" s="94"/>
      <c r="AY195" s="94"/>
      <c r="AZ195" s="94"/>
      <c r="BA195" s="94"/>
      <c r="BB195" s="94"/>
      <c r="BC195" s="94"/>
      <c r="BD195" s="94"/>
      <c r="BE195" s="94"/>
      <c r="BF195" s="94"/>
      <c r="BG195" s="94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</row>
    <row r="196" spans="3:72">
      <c r="C196" s="93"/>
      <c r="D196" s="93"/>
      <c r="E196" s="93"/>
      <c r="F196" s="93"/>
      <c r="G196" s="93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  <c r="AS196" s="94"/>
      <c r="AT196" s="94"/>
      <c r="AU196" s="94"/>
      <c r="AV196" s="94"/>
      <c r="AW196" s="94"/>
      <c r="AX196" s="94"/>
      <c r="AY196" s="94"/>
      <c r="AZ196" s="94"/>
      <c r="BA196" s="94"/>
      <c r="BB196" s="94"/>
      <c r="BC196" s="94"/>
      <c r="BD196" s="94"/>
      <c r="BE196" s="94"/>
      <c r="BF196" s="94"/>
      <c r="BG196" s="94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</row>
    <row r="197" spans="3:72">
      <c r="C197" s="93"/>
      <c r="D197" s="93"/>
      <c r="E197" s="93"/>
      <c r="F197" s="93"/>
      <c r="G197" s="93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  <c r="AT197" s="94"/>
      <c r="AU197" s="94"/>
      <c r="AV197" s="94"/>
      <c r="AW197" s="94"/>
      <c r="AX197" s="94"/>
      <c r="AY197" s="94"/>
      <c r="AZ197" s="94"/>
      <c r="BA197" s="94"/>
      <c r="BB197" s="94"/>
      <c r="BC197" s="94"/>
      <c r="BD197" s="94"/>
      <c r="BE197" s="94"/>
      <c r="BF197" s="94"/>
      <c r="BG197" s="94"/>
      <c r="BH197" s="93"/>
      <c r="BI197" s="93"/>
      <c r="BJ197" s="93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</row>
    <row r="198" spans="3:72">
      <c r="C198" s="93"/>
      <c r="D198" s="93"/>
      <c r="E198" s="93"/>
      <c r="F198" s="93"/>
      <c r="G198" s="93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  <c r="AS198" s="94"/>
      <c r="AT198" s="94"/>
      <c r="AU198" s="94"/>
      <c r="AV198" s="94"/>
      <c r="AW198" s="94"/>
      <c r="AX198" s="94"/>
      <c r="AY198" s="94"/>
      <c r="AZ198" s="94"/>
      <c r="BA198" s="94"/>
      <c r="BB198" s="94"/>
      <c r="BC198" s="94"/>
      <c r="BD198" s="94"/>
      <c r="BE198" s="94"/>
      <c r="BF198" s="94"/>
      <c r="BG198" s="94"/>
      <c r="BH198" s="93"/>
      <c r="BI198" s="93"/>
      <c r="BJ198" s="93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</row>
    <row r="199" spans="3:72">
      <c r="C199" s="93"/>
      <c r="D199" s="93"/>
      <c r="E199" s="93"/>
      <c r="F199" s="93"/>
      <c r="G199" s="93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  <c r="AT199" s="94"/>
      <c r="AU199" s="94"/>
      <c r="AV199" s="94"/>
      <c r="AW199" s="94"/>
      <c r="AX199" s="94"/>
      <c r="AY199" s="94"/>
      <c r="AZ199" s="94"/>
      <c r="BA199" s="94"/>
      <c r="BB199" s="94"/>
      <c r="BC199" s="94"/>
      <c r="BD199" s="94"/>
      <c r="BE199" s="94"/>
      <c r="BF199" s="94"/>
      <c r="BG199" s="94"/>
      <c r="BH199" s="93"/>
      <c r="BI199" s="93"/>
      <c r="BJ199" s="93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</row>
    <row r="200" spans="3:72">
      <c r="C200" s="93"/>
      <c r="D200" s="93"/>
      <c r="E200" s="93"/>
      <c r="F200" s="93"/>
      <c r="G200" s="93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  <c r="AS200" s="94"/>
      <c r="AT200" s="94"/>
      <c r="AU200" s="94"/>
      <c r="AV200" s="94"/>
      <c r="AW200" s="94"/>
      <c r="AX200" s="94"/>
      <c r="AY200" s="94"/>
      <c r="AZ200" s="94"/>
      <c r="BA200" s="94"/>
      <c r="BB200" s="94"/>
      <c r="BC200" s="94"/>
      <c r="BD200" s="94"/>
      <c r="BE200" s="94"/>
      <c r="BF200" s="94"/>
      <c r="BG200" s="94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</row>
    <row r="201" spans="3:72">
      <c r="C201" s="93"/>
      <c r="D201" s="93"/>
      <c r="E201" s="93"/>
      <c r="F201" s="93"/>
      <c r="G201" s="93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94"/>
      <c r="BD201" s="94"/>
      <c r="BE201" s="94"/>
      <c r="BF201" s="94"/>
      <c r="BG201" s="94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</row>
    <row r="202" spans="3:72">
      <c r="C202" s="93"/>
      <c r="D202" s="93"/>
      <c r="E202" s="93"/>
      <c r="F202" s="93"/>
      <c r="G202" s="93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  <c r="AS202" s="94"/>
      <c r="AT202" s="94"/>
      <c r="AU202" s="94"/>
      <c r="AV202" s="94"/>
      <c r="AW202" s="94"/>
      <c r="AX202" s="94"/>
      <c r="AY202" s="94"/>
      <c r="AZ202" s="94"/>
      <c r="BA202" s="94"/>
      <c r="BB202" s="94"/>
      <c r="BC202" s="94"/>
      <c r="BD202" s="94"/>
      <c r="BE202" s="94"/>
      <c r="BF202" s="94"/>
      <c r="BG202" s="94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</row>
    <row r="203" spans="3:72">
      <c r="C203" s="93"/>
      <c r="D203" s="93"/>
      <c r="E203" s="93"/>
      <c r="F203" s="93"/>
      <c r="G203" s="93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  <c r="AS203" s="94"/>
      <c r="AT203" s="94"/>
      <c r="AU203" s="94"/>
      <c r="AV203" s="94"/>
      <c r="AW203" s="94"/>
      <c r="AX203" s="94"/>
      <c r="AY203" s="94"/>
      <c r="AZ203" s="94"/>
      <c r="BA203" s="94"/>
      <c r="BB203" s="94"/>
      <c r="BC203" s="94"/>
      <c r="BD203" s="94"/>
      <c r="BE203" s="94"/>
      <c r="BF203" s="94"/>
      <c r="BG203" s="94"/>
      <c r="BH203" s="93"/>
      <c r="BI203" s="93"/>
      <c r="BJ203" s="93"/>
      <c r="BK203" s="93"/>
      <c r="BL203" s="93"/>
      <c r="BM203" s="93"/>
      <c r="BN203" s="93"/>
      <c r="BO203" s="93"/>
      <c r="BP203" s="93"/>
      <c r="BQ203" s="93"/>
      <c r="BR203" s="93"/>
      <c r="BS203" s="93"/>
      <c r="BT203" s="93"/>
    </row>
    <row r="204" spans="3:72">
      <c r="C204" s="93"/>
      <c r="D204" s="93"/>
      <c r="E204" s="93"/>
      <c r="F204" s="93"/>
      <c r="G204" s="93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4"/>
      <c r="BA204" s="94"/>
      <c r="BB204" s="94"/>
      <c r="BC204" s="94"/>
      <c r="BD204" s="94"/>
      <c r="BE204" s="94"/>
      <c r="BF204" s="94"/>
      <c r="BG204" s="94"/>
      <c r="BH204" s="93"/>
      <c r="BI204" s="93"/>
      <c r="BJ204" s="93"/>
      <c r="BK204" s="93"/>
      <c r="BL204" s="93"/>
      <c r="BM204" s="93"/>
      <c r="BN204" s="93"/>
      <c r="BO204" s="93"/>
      <c r="BP204" s="93"/>
      <c r="BQ204" s="93"/>
      <c r="BR204" s="93"/>
      <c r="BS204" s="93"/>
      <c r="BT204" s="93"/>
    </row>
    <row r="205" spans="3:72">
      <c r="C205" s="93"/>
      <c r="D205" s="93"/>
      <c r="E205" s="93"/>
      <c r="F205" s="93"/>
      <c r="G205" s="93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/>
      <c r="AX205" s="94"/>
      <c r="AY205" s="94"/>
      <c r="AZ205" s="94"/>
      <c r="BA205" s="94"/>
      <c r="BB205" s="94"/>
      <c r="BC205" s="94"/>
      <c r="BD205" s="94"/>
      <c r="BE205" s="94"/>
      <c r="BF205" s="94"/>
      <c r="BG205" s="94"/>
      <c r="BH205" s="93"/>
      <c r="BI205" s="93"/>
      <c r="BJ205" s="93"/>
      <c r="BK205" s="93"/>
      <c r="BL205" s="93"/>
      <c r="BM205" s="93"/>
      <c r="BN205" s="93"/>
      <c r="BO205" s="93"/>
      <c r="BP205" s="93"/>
      <c r="BQ205" s="93"/>
      <c r="BR205" s="93"/>
      <c r="BS205" s="93"/>
      <c r="BT205" s="93"/>
    </row>
    <row r="206" spans="3:72">
      <c r="C206" s="93"/>
      <c r="D206" s="93"/>
      <c r="E206" s="93"/>
      <c r="F206" s="93"/>
      <c r="G206" s="93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  <c r="AS206" s="94"/>
      <c r="AT206" s="94"/>
      <c r="AU206" s="94"/>
      <c r="AV206" s="94"/>
      <c r="AW206" s="94"/>
      <c r="AX206" s="94"/>
      <c r="AY206" s="94"/>
      <c r="AZ206" s="94"/>
      <c r="BA206" s="94"/>
      <c r="BB206" s="94"/>
      <c r="BC206" s="94"/>
      <c r="BD206" s="94"/>
      <c r="BE206" s="94"/>
      <c r="BF206" s="94"/>
      <c r="BG206" s="94"/>
      <c r="BH206" s="93"/>
      <c r="BI206" s="93"/>
      <c r="BJ206" s="93"/>
      <c r="BK206" s="93"/>
      <c r="BL206" s="93"/>
      <c r="BM206" s="93"/>
      <c r="BN206" s="93"/>
      <c r="BO206" s="93"/>
      <c r="BP206" s="93"/>
      <c r="BQ206" s="93"/>
      <c r="BR206" s="93"/>
      <c r="BS206" s="93"/>
      <c r="BT206" s="93"/>
    </row>
    <row r="207" spans="3:72">
      <c r="C207" s="93"/>
      <c r="D207" s="93"/>
      <c r="E207" s="93"/>
      <c r="F207" s="93"/>
      <c r="G207" s="93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94"/>
      <c r="AX207" s="94"/>
      <c r="AY207" s="94"/>
      <c r="AZ207" s="94"/>
      <c r="BA207" s="94"/>
      <c r="BB207" s="94"/>
      <c r="BC207" s="94"/>
      <c r="BD207" s="94"/>
      <c r="BE207" s="94"/>
      <c r="BF207" s="94"/>
      <c r="BG207" s="94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</row>
    <row r="208" spans="3:72">
      <c r="C208" s="93"/>
      <c r="D208" s="93"/>
      <c r="E208" s="93"/>
      <c r="F208" s="93"/>
      <c r="G208" s="93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  <c r="AS208" s="94"/>
      <c r="AT208" s="94"/>
      <c r="AU208" s="94"/>
      <c r="AV208" s="94"/>
      <c r="AW208" s="94"/>
      <c r="AX208" s="94"/>
      <c r="AY208" s="94"/>
      <c r="AZ208" s="94"/>
      <c r="BA208" s="94"/>
      <c r="BB208" s="94"/>
      <c r="BC208" s="94"/>
      <c r="BD208" s="94"/>
      <c r="BE208" s="94"/>
      <c r="BF208" s="94"/>
      <c r="BG208" s="94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</row>
    <row r="209" spans="3:72">
      <c r="C209" s="93"/>
      <c r="D209" s="93"/>
      <c r="E209" s="93"/>
      <c r="F209" s="93"/>
      <c r="G209" s="93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4"/>
      <c r="BA209" s="94"/>
      <c r="BB209" s="94"/>
      <c r="BC209" s="94"/>
      <c r="BD209" s="94"/>
      <c r="BE209" s="94"/>
      <c r="BF209" s="94"/>
      <c r="BG209" s="94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</row>
    <row r="210" spans="3:72">
      <c r="C210" s="93"/>
      <c r="D210" s="93"/>
      <c r="E210" s="93"/>
      <c r="F210" s="93"/>
      <c r="G210" s="93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  <c r="AS210" s="94"/>
      <c r="AT210" s="94"/>
      <c r="AU210" s="94"/>
      <c r="AV210" s="94"/>
      <c r="AW210" s="94"/>
      <c r="AX210" s="94"/>
      <c r="AY210" s="94"/>
      <c r="AZ210" s="94"/>
      <c r="BA210" s="94"/>
      <c r="BB210" s="94"/>
      <c r="BC210" s="94"/>
      <c r="BD210" s="94"/>
      <c r="BE210" s="94"/>
      <c r="BF210" s="94"/>
      <c r="BG210" s="94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</row>
    <row r="211" spans="3:72">
      <c r="C211" s="93"/>
      <c r="D211" s="93"/>
      <c r="E211" s="93"/>
      <c r="F211" s="93"/>
      <c r="G211" s="93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/>
      <c r="AT211" s="94"/>
      <c r="AU211" s="94"/>
      <c r="AV211" s="94"/>
      <c r="AW211" s="94"/>
      <c r="AX211" s="94"/>
      <c r="AY211" s="94"/>
      <c r="AZ211" s="94"/>
      <c r="BA211" s="94"/>
      <c r="BB211" s="94"/>
      <c r="BC211" s="94"/>
      <c r="BD211" s="94"/>
      <c r="BE211" s="94"/>
      <c r="BF211" s="94"/>
      <c r="BG211" s="94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</row>
    <row r="212" spans="3:72">
      <c r="C212" s="93"/>
      <c r="D212" s="93"/>
      <c r="E212" s="93"/>
      <c r="F212" s="93"/>
      <c r="G212" s="93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  <c r="AS212" s="94"/>
      <c r="AT212" s="94"/>
      <c r="AU212" s="94"/>
      <c r="AV212" s="94"/>
      <c r="AW212" s="94"/>
      <c r="AX212" s="94"/>
      <c r="AY212" s="94"/>
      <c r="AZ212" s="94"/>
      <c r="BA212" s="94"/>
      <c r="BB212" s="94"/>
      <c r="BC212" s="94"/>
      <c r="BD212" s="94"/>
      <c r="BE212" s="94"/>
      <c r="BF212" s="94"/>
      <c r="BG212" s="94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</row>
    <row r="213" spans="3:72">
      <c r="C213" s="93"/>
      <c r="D213" s="93"/>
      <c r="E213" s="93"/>
      <c r="F213" s="93"/>
      <c r="G213" s="93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  <c r="BB213" s="94"/>
      <c r="BC213" s="94"/>
      <c r="BD213" s="94"/>
      <c r="BE213" s="94"/>
      <c r="BF213" s="94"/>
      <c r="BG213" s="94"/>
      <c r="BH213" s="93"/>
      <c r="BI213" s="93"/>
      <c r="BJ213" s="93"/>
      <c r="BK213" s="93"/>
      <c r="BL213" s="93"/>
      <c r="BM213" s="93"/>
      <c r="BN213" s="93"/>
      <c r="BO213" s="93"/>
      <c r="BP213" s="93"/>
      <c r="BQ213" s="93"/>
      <c r="BR213" s="93"/>
      <c r="BS213" s="93"/>
      <c r="BT213" s="93"/>
    </row>
    <row r="214" spans="3:72">
      <c r="C214" s="93"/>
      <c r="D214" s="93"/>
      <c r="E214" s="93"/>
      <c r="F214" s="93"/>
      <c r="G214" s="93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4"/>
      <c r="BA214" s="94"/>
      <c r="BB214" s="94"/>
      <c r="BC214" s="94"/>
      <c r="BD214" s="94"/>
      <c r="BE214" s="94"/>
      <c r="BF214" s="94"/>
      <c r="BG214" s="94"/>
      <c r="BH214" s="93"/>
      <c r="BI214" s="93"/>
      <c r="BJ214" s="93"/>
      <c r="BK214" s="93"/>
      <c r="BL214" s="93"/>
      <c r="BM214" s="93"/>
      <c r="BN214" s="93"/>
      <c r="BO214" s="93"/>
      <c r="BP214" s="93"/>
      <c r="BQ214" s="93"/>
      <c r="BR214" s="93"/>
      <c r="BS214" s="93"/>
      <c r="BT214" s="93"/>
    </row>
    <row r="215" spans="3:72">
      <c r="C215" s="93"/>
      <c r="D215" s="93"/>
      <c r="E215" s="93"/>
      <c r="F215" s="93"/>
      <c r="G215" s="93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/>
      <c r="AY215" s="94"/>
      <c r="AZ215" s="94"/>
      <c r="BA215" s="94"/>
      <c r="BB215" s="94"/>
      <c r="BC215" s="94"/>
      <c r="BD215" s="94"/>
      <c r="BE215" s="94"/>
      <c r="BF215" s="94"/>
      <c r="BG215" s="94"/>
      <c r="BH215" s="93"/>
      <c r="BI215" s="93"/>
      <c r="BJ215" s="93"/>
      <c r="BK215" s="93"/>
      <c r="BL215" s="93"/>
      <c r="BM215" s="93"/>
      <c r="BN215" s="93"/>
      <c r="BO215" s="93"/>
      <c r="BP215" s="93"/>
      <c r="BQ215" s="93"/>
      <c r="BR215" s="93"/>
      <c r="BS215" s="93"/>
      <c r="BT215" s="93"/>
    </row>
    <row r="216" spans="3:72">
      <c r="C216" s="93"/>
      <c r="D216" s="93"/>
      <c r="E216" s="93"/>
      <c r="F216" s="93"/>
      <c r="G216" s="93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  <c r="AT216" s="94"/>
      <c r="AU216" s="94"/>
      <c r="AV216" s="94"/>
      <c r="AW216" s="94"/>
      <c r="AX216" s="94"/>
      <c r="AY216" s="94"/>
      <c r="AZ216" s="94"/>
      <c r="BA216" s="94"/>
      <c r="BB216" s="94"/>
      <c r="BC216" s="94"/>
      <c r="BD216" s="94"/>
      <c r="BE216" s="94"/>
      <c r="BF216" s="94"/>
      <c r="BG216" s="94"/>
      <c r="BH216" s="93"/>
      <c r="BI216" s="93"/>
      <c r="BJ216" s="93"/>
      <c r="BK216" s="93"/>
      <c r="BL216" s="93"/>
      <c r="BM216" s="93"/>
      <c r="BN216" s="93"/>
      <c r="BO216" s="93"/>
      <c r="BP216" s="93"/>
      <c r="BQ216" s="93"/>
      <c r="BR216" s="93"/>
      <c r="BS216" s="93"/>
      <c r="BT216" s="93"/>
    </row>
    <row r="217" spans="3:72">
      <c r="C217" s="93"/>
      <c r="D217" s="93"/>
      <c r="E217" s="93"/>
      <c r="F217" s="93"/>
      <c r="G217" s="93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4"/>
      <c r="BA217" s="94"/>
      <c r="BB217" s="94"/>
      <c r="BC217" s="94"/>
      <c r="BD217" s="94"/>
      <c r="BE217" s="94"/>
      <c r="BF217" s="94"/>
      <c r="BG217" s="94"/>
      <c r="BH217" s="93"/>
      <c r="BI217" s="93"/>
      <c r="BJ217" s="93"/>
      <c r="BK217" s="93"/>
      <c r="BL217" s="93"/>
      <c r="BM217" s="93"/>
      <c r="BN217" s="93"/>
      <c r="BO217" s="93"/>
      <c r="BP217" s="93"/>
      <c r="BQ217" s="93"/>
      <c r="BR217" s="93"/>
      <c r="BS217" s="93"/>
      <c r="BT217" s="93"/>
    </row>
    <row r="218" spans="3:72">
      <c r="C218" s="93"/>
      <c r="D218" s="93"/>
      <c r="E218" s="93"/>
      <c r="F218" s="93"/>
      <c r="G218" s="93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94"/>
      <c r="BA218" s="94"/>
      <c r="BB218" s="94"/>
      <c r="BC218" s="94"/>
      <c r="BD218" s="94"/>
      <c r="BE218" s="94"/>
      <c r="BF218" s="94"/>
      <c r="BG218" s="94"/>
      <c r="BH218" s="93"/>
      <c r="BI218" s="93"/>
      <c r="BJ218" s="93"/>
      <c r="BK218" s="93"/>
      <c r="BL218" s="93"/>
      <c r="BM218" s="93"/>
      <c r="BN218" s="93"/>
      <c r="BO218" s="93"/>
      <c r="BP218" s="93"/>
      <c r="BQ218" s="93"/>
      <c r="BR218" s="93"/>
      <c r="BS218" s="93"/>
      <c r="BT218" s="93"/>
    </row>
    <row r="219" spans="3:72">
      <c r="C219" s="93"/>
      <c r="D219" s="93"/>
      <c r="E219" s="93"/>
      <c r="F219" s="93"/>
      <c r="G219" s="93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4"/>
      <c r="BA219" s="94"/>
      <c r="BB219" s="94"/>
      <c r="BC219" s="94"/>
      <c r="BD219" s="94"/>
      <c r="BE219" s="94"/>
      <c r="BF219" s="94"/>
      <c r="BG219" s="94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</row>
    <row r="220" spans="3:72">
      <c r="C220" s="93"/>
      <c r="D220" s="93"/>
      <c r="E220" s="93"/>
      <c r="F220" s="93"/>
      <c r="G220" s="93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94"/>
      <c r="AX220" s="94"/>
      <c r="AY220" s="94"/>
      <c r="AZ220" s="94"/>
      <c r="BA220" s="94"/>
      <c r="BB220" s="94"/>
      <c r="BC220" s="94"/>
      <c r="BD220" s="94"/>
      <c r="BE220" s="94"/>
      <c r="BF220" s="94"/>
      <c r="BG220" s="94"/>
      <c r="BH220" s="93"/>
      <c r="BI220" s="93"/>
      <c r="BJ220" s="93"/>
      <c r="BK220" s="93"/>
      <c r="BL220" s="93"/>
      <c r="BM220" s="93"/>
      <c r="BN220" s="93"/>
      <c r="BO220" s="93"/>
      <c r="BP220" s="93"/>
      <c r="BQ220" s="93"/>
      <c r="BR220" s="93"/>
      <c r="BS220" s="93"/>
      <c r="BT220" s="93"/>
    </row>
    <row r="221" spans="3:72">
      <c r="C221" s="93"/>
      <c r="D221" s="93"/>
      <c r="E221" s="93"/>
      <c r="F221" s="93"/>
      <c r="G221" s="93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94"/>
      <c r="BA221" s="94"/>
      <c r="BB221" s="94"/>
      <c r="BC221" s="94"/>
      <c r="BD221" s="94"/>
      <c r="BE221" s="94"/>
      <c r="BF221" s="94"/>
      <c r="BG221" s="94"/>
      <c r="BH221" s="93"/>
      <c r="BI221" s="93"/>
      <c r="BJ221" s="93"/>
      <c r="BK221" s="93"/>
      <c r="BL221" s="93"/>
      <c r="BM221" s="93"/>
      <c r="BN221" s="93"/>
      <c r="BO221" s="93"/>
      <c r="BP221" s="93"/>
      <c r="BQ221" s="93"/>
      <c r="BR221" s="93"/>
      <c r="BS221" s="93"/>
      <c r="BT221" s="93"/>
    </row>
    <row r="222" spans="3:72">
      <c r="C222" s="93"/>
      <c r="D222" s="93"/>
      <c r="E222" s="93"/>
      <c r="F222" s="93"/>
      <c r="G222" s="93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94"/>
      <c r="AX222" s="94"/>
      <c r="AY222" s="94"/>
      <c r="AZ222" s="94"/>
      <c r="BA222" s="94"/>
      <c r="BB222" s="94"/>
      <c r="BC222" s="94"/>
      <c r="BD222" s="94"/>
      <c r="BE222" s="94"/>
      <c r="BF222" s="94"/>
      <c r="BG222" s="94"/>
      <c r="BH222" s="93"/>
      <c r="BI222" s="93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</row>
    <row r="223" spans="3:72">
      <c r="C223" s="93"/>
      <c r="D223" s="93"/>
      <c r="E223" s="93"/>
      <c r="F223" s="93"/>
      <c r="G223" s="93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  <c r="AS223" s="94"/>
      <c r="AT223" s="94"/>
      <c r="AU223" s="94"/>
      <c r="AV223" s="94"/>
      <c r="AW223" s="94"/>
      <c r="AX223" s="94"/>
      <c r="AY223" s="94"/>
      <c r="AZ223" s="94"/>
      <c r="BA223" s="94"/>
      <c r="BB223" s="94"/>
      <c r="BC223" s="94"/>
      <c r="BD223" s="94"/>
      <c r="BE223" s="94"/>
      <c r="BF223" s="94"/>
      <c r="BG223" s="94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</row>
    <row r="224" spans="3:72">
      <c r="C224" s="93"/>
      <c r="D224" s="93"/>
      <c r="E224" s="93"/>
      <c r="F224" s="93"/>
      <c r="G224" s="93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94"/>
      <c r="AS224" s="94"/>
      <c r="AT224" s="94"/>
      <c r="AU224" s="94"/>
      <c r="AV224" s="94"/>
      <c r="AW224" s="94"/>
      <c r="AX224" s="94"/>
      <c r="AY224" s="94"/>
      <c r="AZ224" s="94"/>
      <c r="BA224" s="94"/>
      <c r="BB224" s="94"/>
      <c r="BC224" s="94"/>
      <c r="BD224" s="94"/>
      <c r="BE224" s="94"/>
      <c r="BF224" s="94"/>
      <c r="BG224" s="94"/>
      <c r="BH224" s="93"/>
      <c r="BI224" s="93"/>
      <c r="BJ224" s="93"/>
      <c r="BK224" s="93"/>
      <c r="BL224" s="93"/>
      <c r="BM224" s="93"/>
      <c r="BN224" s="93"/>
      <c r="BO224" s="93"/>
      <c r="BP224" s="93"/>
      <c r="BQ224" s="93"/>
      <c r="BR224" s="93"/>
      <c r="BS224" s="93"/>
      <c r="BT224" s="93"/>
    </row>
    <row r="225" spans="3:72">
      <c r="C225" s="93"/>
      <c r="D225" s="93"/>
      <c r="E225" s="93"/>
      <c r="F225" s="93"/>
      <c r="G225" s="93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  <c r="AS225" s="94"/>
      <c r="AT225" s="94"/>
      <c r="AU225" s="94"/>
      <c r="AV225" s="94"/>
      <c r="AW225" s="94"/>
      <c r="AX225" s="94"/>
      <c r="AY225" s="94"/>
      <c r="AZ225" s="94"/>
      <c r="BA225" s="94"/>
      <c r="BB225" s="94"/>
      <c r="BC225" s="94"/>
      <c r="BD225" s="94"/>
      <c r="BE225" s="94"/>
      <c r="BF225" s="94"/>
      <c r="BG225" s="94"/>
      <c r="BH225" s="93"/>
      <c r="BI225" s="93"/>
      <c r="BJ225" s="93"/>
      <c r="BK225" s="93"/>
      <c r="BL225" s="93"/>
      <c r="BM225" s="93"/>
      <c r="BN225" s="93"/>
      <c r="BO225" s="93"/>
      <c r="BP225" s="93"/>
      <c r="BQ225" s="93"/>
      <c r="BR225" s="93"/>
      <c r="BS225" s="93"/>
      <c r="BT225" s="93"/>
    </row>
    <row r="226" spans="3:72">
      <c r="C226" s="93"/>
      <c r="D226" s="93"/>
      <c r="E226" s="93"/>
      <c r="F226" s="93"/>
      <c r="G226" s="93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  <c r="AQ226" s="94"/>
      <c r="AR226" s="94"/>
      <c r="AS226" s="94"/>
      <c r="AT226" s="94"/>
      <c r="AU226" s="94"/>
      <c r="AV226" s="94"/>
      <c r="AW226" s="94"/>
      <c r="AX226" s="94"/>
      <c r="AY226" s="94"/>
      <c r="AZ226" s="94"/>
      <c r="BA226" s="94"/>
      <c r="BB226" s="94"/>
      <c r="BC226" s="94"/>
      <c r="BD226" s="94"/>
      <c r="BE226" s="94"/>
      <c r="BF226" s="94"/>
      <c r="BG226" s="94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</row>
    <row r="227" spans="3:72">
      <c r="C227" s="93"/>
      <c r="D227" s="93"/>
      <c r="E227" s="93"/>
      <c r="F227" s="93"/>
      <c r="G227" s="93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  <c r="AQ227" s="94"/>
      <c r="AR227" s="94"/>
      <c r="AS227" s="94"/>
      <c r="AT227" s="94"/>
      <c r="AU227" s="94"/>
      <c r="AV227" s="94"/>
      <c r="AW227" s="94"/>
      <c r="AX227" s="94"/>
      <c r="AY227" s="94"/>
      <c r="AZ227" s="94"/>
      <c r="BA227" s="94"/>
      <c r="BB227" s="94"/>
      <c r="BC227" s="94"/>
      <c r="BD227" s="94"/>
      <c r="BE227" s="94"/>
      <c r="BF227" s="94"/>
      <c r="BG227" s="94"/>
      <c r="BH227" s="93"/>
      <c r="BI227" s="93"/>
      <c r="BJ227" s="93"/>
      <c r="BK227" s="93"/>
      <c r="BL227" s="93"/>
      <c r="BM227" s="93"/>
      <c r="BN227" s="93"/>
      <c r="BO227" s="93"/>
      <c r="BP227" s="93"/>
      <c r="BQ227" s="93"/>
      <c r="BR227" s="93"/>
      <c r="BS227" s="93"/>
      <c r="BT227" s="93"/>
    </row>
    <row r="228" spans="3:72">
      <c r="C228" s="93"/>
      <c r="D228" s="93"/>
      <c r="E228" s="93"/>
      <c r="F228" s="93"/>
      <c r="G228" s="93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  <c r="AS228" s="94"/>
      <c r="AT228" s="94"/>
      <c r="AU228" s="94"/>
      <c r="AV228" s="94"/>
      <c r="AW228" s="94"/>
      <c r="AX228" s="94"/>
      <c r="AY228" s="94"/>
      <c r="AZ228" s="94"/>
      <c r="BA228" s="94"/>
      <c r="BB228" s="94"/>
      <c r="BC228" s="94"/>
      <c r="BD228" s="94"/>
      <c r="BE228" s="94"/>
      <c r="BF228" s="94"/>
      <c r="BG228" s="94"/>
      <c r="BH228" s="93"/>
      <c r="BI228" s="93"/>
      <c r="BJ228" s="93"/>
      <c r="BK228" s="93"/>
      <c r="BL228" s="93"/>
      <c r="BM228" s="93"/>
      <c r="BN228" s="93"/>
      <c r="BO228" s="93"/>
      <c r="BP228" s="93"/>
      <c r="BQ228" s="93"/>
      <c r="BR228" s="93"/>
      <c r="BS228" s="93"/>
      <c r="BT228" s="93"/>
    </row>
    <row r="229" spans="3:72">
      <c r="C229" s="93"/>
      <c r="D229" s="93"/>
      <c r="E229" s="93"/>
      <c r="F229" s="93"/>
      <c r="G229" s="93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4"/>
      <c r="BA229" s="94"/>
      <c r="BB229" s="94"/>
      <c r="BC229" s="94"/>
      <c r="BD229" s="94"/>
      <c r="BE229" s="94"/>
      <c r="BF229" s="94"/>
      <c r="BG229" s="94"/>
      <c r="BH229" s="93"/>
      <c r="BI229" s="93"/>
      <c r="BJ229" s="93"/>
      <c r="BK229" s="93"/>
      <c r="BL229" s="93"/>
      <c r="BM229" s="93"/>
      <c r="BN229" s="93"/>
      <c r="BO229" s="93"/>
      <c r="BP229" s="93"/>
      <c r="BQ229" s="93"/>
      <c r="BR229" s="93"/>
      <c r="BS229" s="93"/>
      <c r="BT229" s="93"/>
    </row>
    <row r="230" spans="3:72">
      <c r="C230" s="93"/>
      <c r="D230" s="93"/>
      <c r="E230" s="93"/>
      <c r="F230" s="93"/>
      <c r="G230" s="93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  <c r="AQ230" s="94"/>
      <c r="AR230" s="94"/>
      <c r="AS230" s="94"/>
      <c r="AT230" s="94"/>
      <c r="AU230" s="94"/>
      <c r="AV230" s="94"/>
      <c r="AW230" s="94"/>
      <c r="AX230" s="94"/>
      <c r="AY230" s="94"/>
      <c r="AZ230" s="94"/>
      <c r="BA230" s="94"/>
      <c r="BB230" s="94"/>
      <c r="BC230" s="94"/>
      <c r="BD230" s="94"/>
      <c r="BE230" s="94"/>
      <c r="BF230" s="94"/>
      <c r="BG230" s="94"/>
      <c r="BH230" s="93"/>
      <c r="BI230" s="93"/>
      <c r="BJ230" s="93"/>
      <c r="BK230" s="93"/>
      <c r="BL230" s="93"/>
      <c r="BM230" s="93"/>
      <c r="BN230" s="93"/>
      <c r="BO230" s="93"/>
      <c r="BP230" s="93"/>
      <c r="BQ230" s="93"/>
      <c r="BR230" s="93"/>
      <c r="BS230" s="93"/>
      <c r="BT230" s="93"/>
    </row>
    <row r="231" spans="3:72">
      <c r="C231" s="93"/>
      <c r="D231" s="93"/>
      <c r="E231" s="93"/>
      <c r="F231" s="93"/>
      <c r="G231" s="93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4"/>
      <c r="AT231" s="94"/>
      <c r="AU231" s="94"/>
      <c r="AV231" s="94"/>
      <c r="AW231" s="94"/>
      <c r="AX231" s="94"/>
      <c r="AY231" s="94"/>
      <c r="AZ231" s="94"/>
      <c r="BA231" s="94"/>
      <c r="BB231" s="94"/>
      <c r="BC231" s="94"/>
      <c r="BD231" s="94"/>
      <c r="BE231" s="94"/>
      <c r="BF231" s="94"/>
      <c r="BG231" s="94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</row>
    <row r="232" spans="3:72">
      <c r="C232" s="93"/>
      <c r="D232" s="93"/>
      <c r="E232" s="93"/>
      <c r="F232" s="93"/>
      <c r="G232" s="93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/>
      <c r="AR232" s="94"/>
      <c r="AS232" s="94"/>
      <c r="AT232" s="94"/>
      <c r="AU232" s="94"/>
      <c r="AV232" s="94"/>
      <c r="AW232" s="94"/>
      <c r="AX232" s="94"/>
      <c r="AY232" s="94"/>
      <c r="AZ232" s="94"/>
      <c r="BA232" s="94"/>
      <c r="BB232" s="94"/>
      <c r="BC232" s="94"/>
      <c r="BD232" s="94"/>
      <c r="BE232" s="94"/>
      <c r="BF232" s="94"/>
      <c r="BG232" s="94"/>
      <c r="BH232" s="93"/>
      <c r="BI232" s="93"/>
      <c r="BJ232" s="93"/>
      <c r="BK232" s="93"/>
      <c r="BL232" s="93"/>
      <c r="BM232" s="93"/>
      <c r="BN232" s="93"/>
      <c r="BO232" s="93"/>
      <c r="BP232" s="93"/>
      <c r="BQ232" s="93"/>
      <c r="BR232" s="93"/>
      <c r="BS232" s="93"/>
      <c r="BT232" s="93"/>
    </row>
    <row r="233" spans="3:72">
      <c r="C233" s="93"/>
      <c r="D233" s="93"/>
      <c r="E233" s="93"/>
      <c r="F233" s="93"/>
      <c r="G233" s="93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  <c r="AS233" s="94"/>
      <c r="AT233" s="94"/>
      <c r="AU233" s="94"/>
      <c r="AV233" s="94"/>
      <c r="AW233" s="94"/>
      <c r="AX233" s="94"/>
      <c r="AY233" s="94"/>
      <c r="AZ233" s="94"/>
      <c r="BA233" s="94"/>
      <c r="BB233" s="94"/>
      <c r="BC233" s="94"/>
      <c r="BD233" s="94"/>
      <c r="BE233" s="94"/>
      <c r="BF233" s="94"/>
      <c r="BG233" s="94"/>
      <c r="BH233" s="93"/>
      <c r="BI233" s="93"/>
      <c r="BJ233" s="93"/>
      <c r="BK233" s="93"/>
      <c r="BL233" s="93"/>
      <c r="BM233" s="93"/>
      <c r="BN233" s="93"/>
      <c r="BO233" s="93"/>
      <c r="BP233" s="93"/>
      <c r="BQ233" s="93"/>
      <c r="BR233" s="93"/>
      <c r="BS233" s="93"/>
      <c r="BT233" s="93"/>
    </row>
    <row r="234" spans="3:72">
      <c r="C234" s="93"/>
      <c r="D234" s="93"/>
      <c r="E234" s="93"/>
      <c r="F234" s="93"/>
      <c r="G234" s="93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  <c r="AW234" s="94"/>
      <c r="AX234" s="94"/>
      <c r="AY234" s="94"/>
      <c r="AZ234" s="94"/>
      <c r="BA234" s="94"/>
      <c r="BB234" s="94"/>
      <c r="BC234" s="94"/>
      <c r="BD234" s="94"/>
      <c r="BE234" s="94"/>
      <c r="BF234" s="94"/>
      <c r="BG234" s="94"/>
      <c r="BH234" s="93"/>
      <c r="BI234" s="93"/>
      <c r="BJ234" s="93"/>
      <c r="BK234" s="93"/>
      <c r="BL234" s="93"/>
      <c r="BM234" s="93"/>
      <c r="BN234" s="93"/>
      <c r="BO234" s="93"/>
      <c r="BP234" s="93"/>
      <c r="BQ234" s="93"/>
      <c r="BR234" s="93"/>
      <c r="BS234" s="93"/>
      <c r="BT234" s="93"/>
    </row>
    <row r="235" spans="3:72">
      <c r="C235" s="93"/>
      <c r="D235" s="93"/>
      <c r="E235" s="93"/>
      <c r="F235" s="93"/>
      <c r="G235" s="93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/>
      <c r="AT235" s="9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4"/>
      <c r="BE235" s="94"/>
      <c r="BF235" s="94"/>
      <c r="BG235" s="94"/>
      <c r="BH235" s="93"/>
      <c r="BI235" s="93"/>
      <c r="BJ235" s="93"/>
      <c r="BK235" s="93"/>
      <c r="BL235" s="93"/>
      <c r="BM235" s="93"/>
      <c r="BN235" s="93"/>
      <c r="BO235" s="93"/>
      <c r="BP235" s="93"/>
      <c r="BQ235" s="93"/>
      <c r="BR235" s="93"/>
      <c r="BS235" s="93"/>
      <c r="BT235" s="93"/>
    </row>
    <row r="236" spans="3:72">
      <c r="C236" s="93"/>
      <c r="D236" s="93"/>
      <c r="E236" s="93"/>
      <c r="F236" s="93"/>
      <c r="G236" s="93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  <c r="AT236" s="94"/>
      <c r="AU236" s="94"/>
      <c r="AV236" s="94"/>
      <c r="AW236" s="94"/>
      <c r="AX236" s="94"/>
      <c r="AY236" s="94"/>
      <c r="AZ236" s="94"/>
      <c r="BA236" s="94"/>
      <c r="BB236" s="94"/>
      <c r="BC236" s="94"/>
      <c r="BD236" s="94"/>
      <c r="BE236" s="94"/>
      <c r="BF236" s="94"/>
      <c r="BG236" s="94"/>
      <c r="BH236" s="93"/>
      <c r="BI236" s="93"/>
      <c r="BJ236" s="93"/>
      <c r="BK236" s="93"/>
      <c r="BL236" s="93"/>
      <c r="BM236" s="93"/>
      <c r="BN236" s="93"/>
      <c r="BO236" s="93"/>
      <c r="BP236" s="93"/>
      <c r="BQ236" s="93"/>
      <c r="BR236" s="93"/>
      <c r="BS236" s="93"/>
      <c r="BT236" s="93"/>
    </row>
    <row r="237" spans="3:72">
      <c r="C237" s="93"/>
      <c r="D237" s="93"/>
      <c r="E237" s="93"/>
      <c r="F237" s="93"/>
      <c r="G237" s="93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  <c r="AS237" s="94"/>
      <c r="AT237" s="94"/>
      <c r="AU237" s="94"/>
      <c r="AV237" s="94"/>
      <c r="AW237" s="94"/>
      <c r="AX237" s="94"/>
      <c r="AY237" s="94"/>
      <c r="AZ237" s="94"/>
      <c r="BA237" s="94"/>
      <c r="BB237" s="94"/>
      <c r="BC237" s="94"/>
      <c r="BD237" s="94"/>
      <c r="BE237" s="94"/>
      <c r="BF237" s="94"/>
      <c r="BG237" s="94"/>
      <c r="BH237" s="93"/>
      <c r="BI237" s="93"/>
      <c r="BJ237" s="93"/>
      <c r="BK237" s="93"/>
      <c r="BL237" s="93"/>
      <c r="BM237" s="93"/>
      <c r="BN237" s="93"/>
      <c r="BO237" s="93"/>
      <c r="BP237" s="93"/>
      <c r="BQ237" s="93"/>
      <c r="BR237" s="93"/>
      <c r="BS237" s="93"/>
      <c r="BT237" s="93"/>
    </row>
    <row r="238" spans="3:72">
      <c r="C238" s="93"/>
      <c r="D238" s="93"/>
      <c r="E238" s="93"/>
      <c r="F238" s="93"/>
      <c r="G238" s="93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  <c r="AW238" s="94"/>
      <c r="AX238" s="94"/>
      <c r="AY238" s="94"/>
      <c r="AZ238" s="94"/>
      <c r="BA238" s="94"/>
      <c r="BB238" s="94"/>
      <c r="BC238" s="94"/>
      <c r="BD238" s="94"/>
      <c r="BE238" s="94"/>
      <c r="BF238" s="94"/>
      <c r="BG238" s="94"/>
      <c r="BH238" s="93"/>
      <c r="BI238" s="93"/>
      <c r="BJ238" s="93"/>
      <c r="BK238" s="93"/>
      <c r="BL238" s="93"/>
      <c r="BM238" s="93"/>
      <c r="BN238" s="93"/>
      <c r="BO238" s="93"/>
      <c r="BP238" s="93"/>
      <c r="BQ238" s="93"/>
      <c r="BR238" s="93"/>
      <c r="BS238" s="93"/>
      <c r="BT238" s="93"/>
    </row>
    <row r="239" spans="3:72">
      <c r="C239" s="93"/>
      <c r="D239" s="93"/>
      <c r="E239" s="93"/>
      <c r="F239" s="93"/>
      <c r="G239" s="93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  <c r="AS239" s="94"/>
      <c r="AT239" s="94"/>
      <c r="AU239" s="94"/>
      <c r="AV239" s="94"/>
      <c r="AW239" s="94"/>
      <c r="AX239" s="94"/>
      <c r="AY239" s="94"/>
      <c r="AZ239" s="94"/>
      <c r="BA239" s="94"/>
      <c r="BB239" s="94"/>
      <c r="BC239" s="94"/>
      <c r="BD239" s="94"/>
      <c r="BE239" s="94"/>
      <c r="BF239" s="94"/>
      <c r="BG239" s="94"/>
      <c r="BH239" s="93"/>
      <c r="BI239" s="93"/>
      <c r="BJ239" s="93"/>
      <c r="BK239" s="93"/>
      <c r="BL239" s="93"/>
      <c r="BM239" s="93"/>
      <c r="BN239" s="93"/>
      <c r="BO239" s="93"/>
      <c r="BP239" s="93"/>
      <c r="BQ239" s="93"/>
      <c r="BR239" s="93"/>
      <c r="BS239" s="93"/>
      <c r="BT239" s="93"/>
    </row>
    <row r="240" spans="3:72">
      <c r="C240" s="93"/>
      <c r="D240" s="93"/>
      <c r="E240" s="93"/>
      <c r="F240" s="93"/>
      <c r="G240" s="93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94"/>
      <c r="AS240" s="94"/>
      <c r="AT240" s="94"/>
      <c r="AU240" s="94"/>
      <c r="AV240" s="94"/>
      <c r="AW240" s="94"/>
      <c r="AX240" s="94"/>
      <c r="AY240" s="94"/>
      <c r="AZ240" s="94"/>
      <c r="BA240" s="94"/>
      <c r="BB240" s="94"/>
      <c r="BC240" s="94"/>
      <c r="BD240" s="94"/>
      <c r="BE240" s="94"/>
      <c r="BF240" s="94"/>
      <c r="BG240" s="94"/>
      <c r="BH240" s="93"/>
      <c r="BI240" s="93"/>
      <c r="BJ240" s="93"/>
      <c r="BK240" s="93"/>
      <c r="BL240" s="93"/>
      <c r="BM240" s="93"/>
      <c r="BN240" s="93"/>
      <c r="BO240" s="93"/>
      <c r="BP240" s="93"/>
      <c r="BQ240" s="93"/>
      <c r="BR240" s="93"/>
      <c r="BS240" s="93"/>
      <c r="BT240" s="93"/>
    </row>
    <row r="241" spans="3:72">
      <c r="C241" s="93"/>
      <c r="D241" s="93"/>
      <c r="E241" s="93"/>
      <c r="F241" s="93"/>
      <c r="G241" s="93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  <c r="AS241" s="94"/>
      <c r="AT241" s="94"/>
      <c r="AU241" s="94"/>
      <c r="AV241" s="94"/>
      <c r="AW241" s="94"/>
      <c r="AX241" s="94"/>
      <c r="AY241" s="94"/>
      <c r="AZ241" s="94"/>
      <c r="BA241" s="94"/>
      <c r="BB241" s="94"/>
      <c r="BC241" s="94"/>
      <c r="BD241" s="94"/>
      <c r="BE241" s="94"/>
      <c r="BF241" s="94"/>
      <c r="BG241" s="94"/>
      <c r="BH241" s="93"/>
      <c r="BI241" s="93"/>
      <c r="BJ241" s="93"/>
      <c r="BK241" s="93"/>
      <c r="BL241" s="93"/>
      <c r="BM241" s="93"/>
      <c r="BN241" s="93"/>
      <c r="BO241" s="93"/>
      <c r="BP241" s="93"/>
      <c r="BQ241" s="93"/>
      <c r="BR241" s="93"/>
      <c r="BS241" s="93"/>
      <c r="BT241" s="93"/>
    </row>
    <row r="242" spans="3:72">
      <c r="C242" s="93"/>
      <c r="D242" s="93"/>
      <c r="E242" s="93"/>
      <c r="F242" s="93"/>
      <c r="G242" s="93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V242" s="94"/>
      <c r="AW242" s="94"/>
      <c r="AX242" s="94"/>
      <c r="AY242" s="94"/>
      <c r="AZ242" s="94"/>
      <c r="BA242" s="94"/>
      <c r="BB242" s="94"/>
      <c r="BC242" s="94"/>
      <c r="BD242" s="94"/>
      <c r="BE242" s="94"/>
      <c r="BF242" s="94"/>
      <c r="BG242" s="94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</row>
    <row r="243" spans="3:72">
      <c r="C243" s="93"/>
      <c r="D243" s="93"/>
      <c r="E243" s="93"/>
      <c r="F243" s="93"/>
      <c r="G243" s="93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/>
      <c r="AX243" s="94"/>
      <c r="AY243" s="94"/>
      <c r="AZ243" s="94"/>
      <c r="BA243" s="94"/>
      <c r="BB243" s="94"/>
      <c r="BC243" s="94"/>
      <c r="BD243" s="94"/>
      <c r="BE243" s="94"/>
      <c r="BF243" s="94"/>
      <c r="BG243" s="94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</row>
    <row r="244" spans="3:72">
      <c r="C244" s="93"/>
      <c r="D244" s="93"/>
      <c r="E244" s="93"/>
      <c r="F244" s="93"/>
      <c r="G244" s="93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94"/>
      <c r="AW244" s="94"/>
      <c r="AX244" s="94"/>
      <c r="AY244" s="94"/>
      <c r="AZ244" s="94"/>
      <c r="BA244" s="94"/>
      <c r="BB244" s="94"/>
      <c r="BC244" s="94"/>
      <c r="BD244" s="94"/>
      <c r="BE244" s="94"/>
      <c r="BF244" s="94"/>
      <c r="BG244" s="94"/>
      <c r="BH244" s="93"/>
      <c r="BI244" s="93"/>
      <c r="BJ244" s="93"/>
      <c r="BK244" s="93"/>
      <c r="BL244" s="93"/>
      <c r="BM244" s="93"/>
      <c r="BN244" s="93"/>
      <c r="BO244" s="93"/>
      <c r="BP244" s="93"/>
      <c r="BQ244" s="93"/>
      <c r="BR244" s="93"/>
      <c r="BS244" s="93"/>
      <c r="BT244" s="93"/>
    </row>
    <row r="245" spans="3:72">
      <c r="C245" s="93"/>
      <c r="D245" s="93"/>
      <c r="E245" s="93"/>
      <c r="F245" s="93"/>
      <c r="G245" s="93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/>
      <c r="AX245" s="94"/>
      <c r="AY245" s="94"/>
      <c r="AZ245" s="94"/>
      <c r="BA245" s="94"/>
      <c r="BB245" s="94"/>
      <c r="BC245" s="94"/>
      <c r="BD245" s="94"/>
      <c r="BE245" s="94"/>
      <c r="BF245" s="94"/>
      <c r="BG245" s="94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</row>
    <row r="246" spans="3:72">
      <c r="C246" s="93"/>
      <c r="D246" s="93"/>
      <c r="E246" s="93"/>
      <c r="F246" s="93"/>
      <c r="G246" s="93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  <c r="AT246" s="94"/>
      <c r="AU246" s="94"/>
      <c r="AV246" s="94"/>
      <c r="AW246" s="94"/>
      <c r="AX246" s="94"/>
      <c r="AY246" s="94"/>
      <c r="AZ246" s="94"/>
      <c r="BA246" s="94"/>
      <c r="BB246" s="94"/>
      <c r="BC246" s="94"/>
      <c r="BD246" s="94"/>
      <c r="BE246" s="94"/>
      <c r="BF246" s="94"/>
      <c r="BG246" s="94"/>
      <c r="BH246" s="93"/>
      <c r="BI246" s="93"/>
      <c r="BJ246" s="93"/>
      <c r="BK246" s="93"/>
      <c r="BL246" s="93"/>
      <c r="BM246" s="93"/>
      <c r="BN246" s="93"/>
      <c r="BO246" s="93"/>
      <c r="BP246" s="93"/>
      <c r="BQ246" s="93"/>
      <c r="BR246" s="93"/>
      <c r="BS246" s="93"/>
      <c r="BT246" s="93"/>
    </row>
    <row r="247" spans="3:72">
      <c r="C247" s="93"/>
      <c r="D247" s="93"/>
      <c r="E247" s="93"/>
      <c r="F247" s="93"/>
      <c r="G247" s="93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94"/>
      <c r="AX247" s="94"/>
      <c r="AY247" s="94"/>
      <c r="AZ247" s="94"/>
      <c r="BA247" s="94"/>
      <c r="BB247" s="94"/>
      <c r="BC247" s="94"/>
      <c r="BD247" s="94"/>
      <c r="BE247" s="94"/>
      <c r="BF247" s="94"/>
      <c r="BG247" s="94"/>
      <c r="BH247" s="93"/>
      <c r="BI247" s="93"/>
      <c r="BJ247" s="93"/>
      <c r="BK247" s="93"/>
      <c r="BL247" s="93"/>
      <c r="BM247" s="93"/>
      <c r="BN247" s="93"/>
      <c r="BO247" s="93"/>
      <c r="BP247" s="93"/>
      <c r="BQ247" s="93"/>
      <c r="BR247" s="93"/>
      <c r="BS247" s="93"/>
      <c r="BT247" s="93"/>
    </row>
    <row r="248" spans="3:72">
      <c r="C248" s="93"/>
      <c r="D248" s="93"/>
      <c r="E248" s="93"/>
      <c r="F248" s="93"/>
      <c r="G248" s="93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4"/>
      <c r="BE248" s="94"/>
      <c r="BF248" s="94"/>
      <c r="BG248" s="94"/>
      <c r="BH248" s="93"/>
      <c r="BI248" s="93"/>
      <c r="BJ248" s="93"/>
      <c r="BK248" s="93"/>
      <c r="BL248" s="93"/>
      <c r="BM248" s="93"/>
      <c r="BN248" s="93"/>
      <c r="BO248" s="93"/>
      <c r="BP248" s="93"/>
      <c r="BQ248" s="93"/>
      <c r="BR248" s="93"/>
      <c r="BS248" s="93"/>
      <c r="BT248" s="93"/>
    </row>
    <row r="249" spans="3:72">
      <c r="C249" s="93"/>
      <c r="D249" s="93"/>
      <c r="E249" s="93"/>
      <c r="F249" s="93"/>
      <c r="G249" s="93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  <c r="AT249" s="94"/>
      <c r="AU249" s="94"/>
      <c r="AV249" s="94"/>
      <c r="AW249" s="94"/>
      <c r="AX249" s="94"/>
      <c r="AY249" s="94"/>
      <c r="AZ249" s="94"/>
      <c r="BA249" s="94"/>
      <c r="BB249" s="94"/>
      <c r="BC249" s="94"/>
      <c r="BD249" s="94"/>
      <c r="BE249" s="94"/>
      <c r="BF249" s="94"/>
      <c r="BG249" s="94"/>
      <c r="BH249" s="93"/>
      <c r="BI249" s="93"/>
      <c r="BJ249" s="93"/>
      <c r="BK249" s="93"/>
      <c r="BL249" s="93"/>
      <c r="BM249" s="93"/>
      <c r="BN249" s="93"/>
      <c r="BO249" s="93"/>
      <c r="BP249" s="93"/>
      <c r="BQ249" s="93"/>
      <c r="BR249" s="93"/>
      <c r="BS249" s="93"/>
      <c r="BT249" s="93"/>
    </row>
    <row r="250" spans="3:72">
      <c r="C250" s="93"/>
      <c r="D250" s="93"/>
      <c r="E250" s="93"/>
      <c r="F250" s="93"/>
      <c r="G250" s="93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  <c r="AT250" s="94"/>
      <c r="AU250" s="94"/>
      <c r="AV250" s="94"/>
      <c r="AW250" s="94"/>
      <c r="AX250" s="94"/>
      <c r="AY250" s="94"/>
      <c r="AZ250" s="94"/>
      <c r="BA250" s="94"/>
      <c r="BB250" s="94"/>
      <c r="BC250" s="94"/>
      <c r="BD250" s="94"/>
      <c r="BE250" s="94"/>
      <c r="BF250" s="94"/>
      <c r="BG250" s="94"/>
      <c r="BH250" s="93"/>
      <c r="BI250" s="93"/>
      <c r="BJ250" s="93"/>
      <c r="BK250" s="93"/>
      <c r="BL250" s="93"/>
      <c r="BM250" s="93"/>
      <c r="BN250" s="93"/>
      <c r="BO250" s="93"/>
      <c r="BP250" s="93"/>
      <c r="BQ250" s="93"/>
      <c r="BR250" s="93"/>
      <c r="BS250" s="93"/>
      <c r="BT250" s="93"/>
    </row>
    <row r="251" spans="3:72">
      <c r="C251" s="93"/>
      <c r="D251" s="93"/>
      <c r="E251" s="93"/>
      <c r="F251" s="93"/>
      <c r="G251" s="93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4"/>
      <c r="BE251" s="94"/>
      <c r="BF251" s="94"/>
      <c r="BG251" s="94"/>
      <c r="BH251" s="93"/>
      <c r="BI251" s="93"/>
      <c r="BJ251" s="93"/>
      <c r="BK251" s="93"/>
      <c r="BL251" s="93"/>
      <c r="BM251" s="93"/>
      <c r="BN251" s="93"/>
      <c r="BO251" s="93"/>
      <c r="BP251" s="93"/>
      <c r="BQ251" s="93"/>
      <c r="BR251" s="93"/>
      <c r="BS251" s="93"/>
      <c r="BT251" s="93"/>
    </row>
    <row r="252" spans="3:72">
      <c r="C252" s="93"/>
      <c r="D252" s="93"/>
      <c r="E252" s="93"/>
      <c r="F252" s="93"/>
      <c r="G252" s="93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4"/>
      <c r="BE252" s="94"/>
      <c r="BF252" s="94"/>
      <c r="BG252" s="94"/>
      <c r="BH252" s="93"/>
      <c r="BI252" s="93"/>
      <c r="BJ252" s="93"/>
      <c r="BK252" s="93"/>
      <c r="BL252" s="93"/>
      <c r="BM252" s="93"/>
      <c r="BN252" s="93"/>
      <c r="BO252" s="93"/>
      <c r="BP252" s="93"/>
      <c r="BQ252" s="93"/>
      <c r="BR252" s="93"/>
      <c r="BS252" s="93"/>
      <c r="BT252" s="93"/>
    </row>
    <row r="253" spans="3:72">
      <c r="C253" s="93"/>
      <c r="D253" s="93"/>
      <c r="E253" s="93"/>
      <c r="F253" s="93"/>
      <c r="G253" s="93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  <c r="AT253" s="94"/>
      <c r="AU253" s="94"/>
      <c r="AV253" s="94"/>
      <c r="AW253" s="94"/>
      <c r="AX253" s="94"/>
      <c r="AY253" s="94"/>
      <c r="AZ253" s="94"/>
      <c r="BA253" s="94"/>
      <c r="BB253" s="94"/>
      <c r="BC253" s="94"/>
      <c r="BD253" s="94"/>
      <c r="BE253" s="94"/>
      <c r="BF253" s="94"/>
      <c r="BG253" s="94"/>
      <c r="BH253" s="93"/>
      <c r="BI253" s="93"/>
      <c r="BJ253" s="93"/>
      <c r="BK253" s="93"/>
      <c r="BL253" s="93"/>
      <c r="BM253" s="93"/>
      <c r="BN253" s="93"/>
      <c r="BO253" s="93"/>
      <c r="BP253" s="93"/>
      <c r="BQ253" s="93"/>
      <c r="BR253" s="93"/>
      <c r="BS253" s="93"/>
      <c r="BT253" s="93"/>
    </row>
    <row r="254" spans="3:72">
      <c r="C254" s="93"/>
      <c r="D254" s="93"/>
      <c r="E254" s="93"/>
      <c r="F254" s="93"/>
      <c r="G254" s="93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94"/>
      <c r="AX254" s="94"/>
      <c r="AY254" s="94"/>
      <c r="AZ254" s="94"/>
      <c r="BA254" s="94"/>
      <c r="BB254" s="94"/>
      <c r="BC254" s="94"/>
      <c r="BD254" s="94"/>
      <c r="BE254" s="94"/>
      <c r="BF254" s="94"/>
      <c r="BG254" s="94"/>
      <c r="BH254" s="93"/>
      <c r="BI254" s="93"/>
      <c r="BJ254" s="93"/>
      <c r="BK254" s="93"/>
      <c r="BL254" s="93"/>
      <c r="BM254" s="93"/>
      <c r="BN254" s="93"/>
      <c r="BO254" s="93"/>
      <c r="BP254" s="93"/>
      <c r="BQ254" s="93"/>
      <c r="BR254" s="93"/>
      <c r="BS254" s="93"/>
      <c r="BT254" s="93"/>
    </row>
    <row r="255" spans="3:72">
      <c r="C255" s="93"/>
      <c r="D255" s="93"/>
      <c r="E255" s="93"/>
      <c r="F255" s="93"/>
      <c r="G255" s="93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/>
      <c r="AY255" s="94"/>
      <c r="AZ255" s="94"/>
      <c r="BA255" s="94"/>
      <c r="BB255" s="94"/>
      <c r="BC255" s="94"/>
      <c r="BD255" s="94"/>
      <c r="BE255" s="94"/>
      <c r="BF255" s="94"/>
      <c r="BG255" s="94"/>
      <c r="BH255" s="93"/>
      <c r="BI255" s="93"/>
      <c r="BJ255" s="93"/>
      <c r="BK255" s="93"/>
      <c r="BL255" s="93"/>
      <c r="BM255" s="93"/>
      <c r="BN255" s="93"/>
      <c r="BO255" s="93"/>
      <c r="BP255" s="93"/>
      <c r="BQ255" s="93"/>
      <c r="BR255" s="93"/>
      <c r="BS255" s="93"/>
      <c r="BT255" s="93"/>
    </row>
    <row r="256" spans="3:72">
      <c r="C256" s="93"/>
      <c r="D256" s="93"/>
      <c r="E256" s="93"/>
      <c r="F256" s="93"/>
      <c r="G256" s="93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94"/>
      <c r="AX256" s="94"/>
      <c r="AY256" s="94"/>
      <c r="AZ256" s="94"/>
      <c r="BA256" s="94"/>
      <c r="BB256" s="94"/>
      <c r="BC256" s="94"/>
      <c r="BD256" s="94"/>
      <c r="BE256" s="94"/>
      <c r="BF256" s="94"/>
      <c r="BG256" s="94"/>
      <c r="BH256" s="93"/>
      <c r="BI256" s="93"/>
      <c r="BJ256" s="93"/>
      <c r="BK256" s="93"/>
      <c r="BL256" s="93"/>
      <c r="BM256" s="93"/>
      <c r="BN256" s="93"/>
      <c r="BO256" s="93"/>
      <c r="BP256" s="93"/>
      <c r="BQ256" s="93"/>
      <c r="BR256" s="93"/>
      <c r="BS256" s="93"/>
      <c r="BT256" s="93"/>
    </row>
    <row r="257" spans="3:72">
      <c r="C257" s="93"/>
      <c r="D257" s="93"/>
      <c r="E257" s="93"/>
      <c r="F257" s="93"/>
      <c r="G257" s="93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  <c r="BG257" s="94"/>
      <c r="BH257" s="93"/>
      <c r="BI257" s="93"/>
      <c r="BJ257" s="93"/>
      <c r="BK257" s="93"/>
      <c r="BL257" s="93"/>
      <c r="BM257" s="93"/>
      <c r="BN257" s="93"/>
      <c r="BO257" s="93"/>
      <c r="BP257" s="93"/>
      <c r="BQ257" s="93"/>
      <c r="BR257" s="93"/>
      <c r="BS257" s="93"/>
      <c r="BT257" s="93"/>
    </row>
    <row r="258" spans="3:72">
      <c r="C258" s="93"/>
      <c r="D258" s="93"/>
      <c r="E258" s="93"/>
      <c r="F258" s="93"/>
      <c r="G258" s="93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  <c r="AT258" s="94"/>
      <c r="AU258" s="94"/>
      <c r="AV258" s="94"/>
      <c r="AW258" s="94"/>
      <c r="AX258" s="94"/>
      <c r="AY258" s="94"/>
      <c r="AZ258" s="94"/>
      <c r="BA258" s="94"/>
      <c r="BB258" s="94"/>
      <c r="BC258" s="94"/>
      <c r="BD258" s="94"/>
      <c r="BE258" s="94"/>
      <c r="BF258" s="94"/>
      <c r="BG258" s="94"/>
      <c r="BH258" s="93"/>
      <c r="BI258" s="93"/>
      <c r="BJ258" s="93"/>
      <c r="BK258" s="93"/>
      <c r="BL258" s="93"/>
      <c r="BM258" s="93"/>
      <c r="BN258" s="93"/>
      <c r="BO258" s="93"/>
      <c r="BP258" s="93"/>
      <c r="BQ258" s="93"/>
      <c r="BR258" s="93"/>
      <c r="BS258" s="93"/>
      <c r="BT258" s="93"/>
    </row>
    <row r="259" spans="3:72">
      <c r="C259" s="93"/>
      <c r="D259" s="93"/>
      <c r="E259" s="93"/>
      <c r="F259" s="93"/>
      <c r="G259" s="93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4"/>
      <c r="BE259" s="94"/>
      <c r="BF259" s="94"/>
      <c r="BG259" s="94"/>
      <c r="BH259" s="93"/>
      <c r="BI259" s="93"/>
      <c r="BJ259" s="93"/>
      <c r="BK259" s="93"/>
      <c r="BL259" s="93"/>
      <c r="BM259" s="93"/>
      <c r="BN259" s="93"/>
      <c r="BO259" s="93"/>
      <c r="BP259" s="93"/>
      <c r="BQ259" s="93"/>
      <c r="BR259" s="93"/>
      <c r="BS259" s="93"/>
      <c r="BT259" s="93"/>
    </row>
    <row r="260" spans="3:72">
      <c r="C260" s="93"/>
      <c r="D260" s="93"/>
      <c r="E260" s="93"/>
      <c r="F260" s="93"/>
      <c r="G260" s="93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  <c r="AT260" s="94"/>
      <c r="AU260" s="94"/>
      <c r="AV260" s="94"/>
      <c r="AW260" s="94"/>
      <c r="AX260" s="94"/>
      <c r="AY260" s="94"/>
      <c r="AZ260" s="94"/>
      <c r="BA260" s="94"/>
      <c r="BB260" s="94"/>
      <c r="BC260" s="94"/>
      <c r="BD260" s="94"/>
      <c r="BE260" s="94"/>
      <c r="BF260" s="94"/>
      <c r="BG260" s="94"/>
      <c r="BH260" s="93"/>
      <c r="BI260" s="93"/>
      <c r="BJ260" s="93"/>
      <c r="BK260" s="93"/>
      <c r="BL260" s="93"/>
      <c r="BM260" s="93"/>
      <c r="BN260" s="93"/>
      <c r="BO260" s="93"/>
      <c r="BP260" s="93"/>
      <c r="BQ260" s="93"/>
      <c r="BR260" s="93"/>
      <c r="BS260" s="93"/>
      <c r="BT260" s="93"/>
    </row>
    <row r="261" spans="3:72">
      <c r="C261" s="93"/>
      <c r="D261" s="93"/>
      <c r="E261" s="93"/>
      <c r="F261" s="93"/>
      <c r="G261" s="93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/>
      <c r="AX261" s="94"/>
      <c r="AY261" s="94"/>
      <c r="AZ261" s="94"/>
      <c r="BA261" s="94"/>
      <c r="BB261" s="94"/>
      <c r="BC261" s="94"/>
      <c r="BD261" s="94"/>
      <c r="BE261" s="94"/>
      <c r="BF261" s="94"/>
      <c r="BG261" s="94"/>
      <c r="BH261" s="93"/>
      <c r="BI261" s="93"/>
      <c r="BJ261" s="93"/>
      <c r="BK261" s="93"/>
      <c r="BL261" s="93"/>
      <c r="BM261" s="93"/>
      <c r="BN261" s="93"/>
      <c r="BO261" s="93"/>
      <c r="BP261" s="93"/>
      <c r="BQ261" s="93"/>
      <c r="BR261" s="93"/>
      <c r="BS261" s="93"/>
      <c r="BT261" s="93"/>
    </row>
    <row r="262" spans="3:72">
      <c r="C262" s="93"/>
      <c r="D262" s="93"/>
      <c r="E262" s="93"/>
      <c r="F262" s="93"/>
      <c r="G262" s="93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4"/>
      <c r="BA262" s="94"/>
      <c r="BB262" s="94"/>
      <c r="BC262" s="94"/>
      <c r="BD262" s="94"/>
      <c r="BE262" s="94"/>
      <c r="BF262" s="94"/>
      <c r="BG262" s="94"/>
      <c r="BH262" s="93"/>
      <c r="BI262" s="93"/>
      <c r="BJ262" s="93"/>
      <c r="BK262" s="93"/>
      <c r="BL262" s="93"/>
      <c r="BM262" s="93"/>
      <c r="BN262" s="93"/>
      <c r="BO262" s="93"/>
      <c r="BP262" s="93"/>
      <c r="BQ262" s="93"/>
      <c r="BR262" s="93"/>
      <c r="BS262" s="93"/>
      <c r="BT262" s="93"/>
    </row>
    <row r="263" spans="3:72">
      <c r="C263" s="93"/>
      <c r="D263" s="93"/>
      <c r="E263" s="93"/>
      <c r="F263" s="93"/>
      <c r="G263" s="93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/>
      <c r="AX263" s="94"/>
      <c r="AY263" s="94"/>
      <c r="AZ263" s="94"/>
      <c r="BA263" s="94"/>
      <c r="BB263" s="94"/>
      <c r="BC263" s="94"/>
      <c r="BD263" s="94"/>
      <c r="BE263" s="94"/>
      <c r="BF263" s="94"/>
      <c r="BG263" s="94"/>
      <c r="BH263" s="93"/>
      <c r="BI263" s="93"/>
      <c r="BJ263" s="93"/>
      <c r="BK263" s="93"/>
      <c r="BL263" s="93"/>
      <c r="BM263" s="93"/>
      <c r="BN263" s="93"/>
      <c r="BO263" s="93"/>
      <c r="BP263" s="93"/>
      <c r="BQ263" s="93"/>
      <c r="BR263" s="93"/>
      <c r="BS263" s="93"/>
      <c r="BT263" s="93"/>
    </row>
    <row r="264" spans="3:72">
      <c r="C264" s="93"/>
      <c r="D264" s="93"/>
      <c r="E264" s="93"/>
      <c r="F264" s="93"/>
      <c r="G264" s="93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  <c r="AQ264" s="94"/>
      <c r="AR264" s="94"/>
      <c r="AS264" s="94"/>
      <c r="AT264" s="94"/>
      <c r="AU264" s="94"/>
      <c r="AV264" s="94"/>
      <c r="AW264" s="94"/>
      <c r="AX264" s="94"/>
      <c r="AY264" s="94"/>
      <c r="AZ264" s="94"/>
      <c r="BA264" s="94"/>
      <c r="BB264" s="94"/>
      <c r="BC264" s="94"/>
      <c r="BD264" s="94"/>
      <c r="BE264" s="94"/>
      <c r="BF264" s="94"/>
      <c r="BG264" s="94"/>
      <c r="BH264" s="93"/>
      <c r="BI264" s="93"/>
      <c r="BJ264" s="93"/>
      <c r="BK264" s="93"/>
      <c r="BL264" s="93"/>
      <c r="BM264" s="93"/>
      <c r="BN264" s="93"/>
      <c r="BO264" s="93"/>
      <c r="BP264" s="93"/>
      <c r="BQ264" s="93"/>
      <c r="BR264" s="93"/>
      <c r="BS264" s="93"/>
      <c r="BT264" s="93"/>
    </row>
    <row r="265" spans="3:72">
      <c r="C265" s="93"/>
      <c r="D265" s="93"/>
      <c r="E265" s="93"/>
      <c r="F265" s="93"/>
      <c r="G265" s="93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/>
      <c r="AX265" s="94"/>
      <c r="AY265" s="94"/>
      <c r="AZ265" s="94"/>
      <c r="BA265" s="94"/>
      <c r="BB265" s="94"/>
      <c r="BC265" s="94"/>
      <c r="BD265" s="94"/>
      <c r="BE265" s="94"/>
      <c r="BF265" s="94"/>
      <c r="BG265" s="94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</row>
    <row r="266" spans="3:72">
      <c r="C266" s="93"/>
      <c r="D266" s="93"/>
      <c r="E266" s="93"/>
      <c r="F266" s="93"/>
      <c r="G266" s="93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  <c r="AQ266" s="94"/>
      <c r="AR266" s="94"/>
      <c r="AS266" s="94"/>
      <c r="AT266" s="94"/>
      <c r="AU266" s="94"/>
      <c r="AV266" s="94"/>
      <c r="AW266" s="94"/>
      <c r="AX266" s="94"/>
      <c r="AY266" s="94"/>
      <c r="AZ266" s="94"/>
      <c r="BA266" s="94"/>
      <c r="BB266" s="94"/>
      <c r="BC266" s="94"/>
      <c r="BD266" s="94"/>
      <c r="BE266" s="94"/>
      <c r="BF266" s="94"/>
      <c r="BG266" s="94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</row>
    <row r="267" spans="3:72">
      <c r="C267" s="93"/>
      <c r="D267" s="93"/>
      <c r="E267" s="93"/>
      <c r="F267" s="93"/>
      <c r="G267" s="93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/>
      <c r="AX267" s="94"/>
      <c r="AY267" s="94"/>
      <c r="AZ267" s="94"/>
      <c r="BA267" s="94"/>
      <c r="BB267" s="94"/>
      <c r="BC267" s="94"/>
      <c r="BD267" s="94"/>
      <c r="BE267" s="94"/>
      <c r="BF267" s="94"/>
      <c r="BG267" s="94"/>
      <c r="BH267" s="93"/>
      <c r="BI267" s="93"/>
      <c r="BJ267" s="93"/>
      <c r="BK267" s="93"/>
      <c r="BL267" s="93"/>
      <c r="BM267" s="93"/>
      <c r="BN267" s="93"/>
      <c r="BO267" s="93"/>
      <c r="BP267" s="93"/>
      <c r="BQ267" s="93"/>
      <c r="BR267" s="93"/>
      <c r="BS267" s="93"/>
      <c r="BT267" s="93"/>
    </row>
    <row r="268" spans="3:72">
      <c r="C268" s="93"/>
      <c r="D268" s="93"/>
      <c r="E268" s="93"/>
      <c r="F268" s="93"/>
      <c r="G268" s="93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  <c r="AQ268" s="94"/>
      <c r="AR268" s="94"/>
      <c r="AS268" s="94"/>
      <c r="AT268" s="94"/>
      <c r="AU268" s="94"/>
      <c r="AV268" s="94"/>
      <c r="AW268" s="94"/>
      <c r="AX268" s="94"/>
      <c r="AY268" s="94"/>
      <c r="AZ268" s="94"/>
      <c r="BA268" s="94"/>
      <c r="BB268" s="94"/>
      <c r="BC268" s="94"/>
      <c r="BD268" s="94"/>
      <c r="BE268" s="94"/>
      <c r="BF268" s="94"/>
      <c r="BG268" s="94"/>
      <c r="BH268" s="93"/>
      <c r="BI268" s="93"/>
      <c r="BJ268" s="93"/>
      <c r="BK268" s="93"/>
      <c r="BL268" s="93"/>
      <c r="BM268" s="93"/>
      <c r="BN268" s="93"/>
      <c r="BO268" s="93"/>
      <c r="BP268" s="93"/>
      <c r="BQ268" s="93"/>
      <c r="BR268" s="93"/>
      <c r="BS268" s="93"/>
      <c r="BT268" s="93"/>
    </row>
    <row r="269" spans="3:72">
      <c r="C269" s="93"/>
      <c r="D269" s="93"/>
      <c r="E269" s="93"/>
      <c r="F269" s="93"/>
      <c r="G269" s="93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/>
      <c r="AT269" s="94"/>
      <c r="AU269" s="94"/>
      <c r="AV269" s="94"/>
      <c r="AW269" s="94"/>
      <c r="AX269" s="94"/>
      <c r="AY269" s="94"/>
      <c r="AZ269" s="94"/>
      <c r="BA269" s="94"/>
      <c r="BB269" s="94"/>
      <c r="BC269" s="94"/>
      <c r="BD269" s="94"/>
      <c r="BE269" s="94"/>
      <c r="BF269" s="94"/>
      <c r="BG269" s="94"/>
      <c r="BH269" s="93"/>
      <c r="BI269" s="93"/>
      <c r="BJ269" s="93"/>
      <c r="BK269" s="93"/>
      <c r="BL269" s="93"/>
      <c r="BM269" s="93"/>
      <c r="BN269" s="93"/>
      <c r="BO269" s="93"/>
      <c r="BP269" s="93"/>
      <c r="BQ269" s="93"/>
      <c r="BR269" s="93"/>
      <c r="BS269" s="93"/>
      <c r="BT269" s="93"/>
    </row>
    <row r="270" spans="3:72">
      <c r="C270" s="93"/>
      <c r="D270" s="93"/>
      <c r="E270" s="93"/>
      <c r="F270" s="93"/>
      <c r="G270" s="93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4"/>
      <c r="BA270" s="94"/>
      <c r="BB270" s="94"/>
      <c r="BC270" s="94"/>
      <c r="BD270" s="94"/>
      <c r="BE270" s="94"/>
      <c r="BF270" s="94"/>
      <c r="BG270" s="94"/>
      <c r="BH270" s="93"/>
      <c r="BI270" s="93"/>
      <c r="BJ270" s="93"/>
      <c r="BK270" s="93"/>
      <c r="BL270" s="93"/>
      <c r="BM270" s="93"/>
      <c r="BN270" s="93"/>
      <c r="BO270" s="93"/>
      <c r="BP270" s="93"/>
      <c r="BQ270" s="93"/>
      <c r="BR270" s="93"/>
      <c r="BS270" s="93"/>
      <c r="BT270" s="93"/>
    </row>
    <row r="271" spans="3:72">
      <c r="C271" s="93"/>
      <c r="D271" s="93"/>
      <c r="E271" s="93"/>
      <c r="F271" s="93"/>
      <c r="G271" s="93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4"/>
      <c r="BA271" s="94"/>
      <c r="BB271" s="94"/>
      <c r="BC271" s="94"/>
      <c r="BD271" s="94"/>
      <c r="BE271" s="94"/>
      <c r="BF271" s="94"/>
      <c r="BG271" s="94"/>
      <c r="BH271" s="93"/>
      <c r="BI271" s="93"/>
      <c r="BJ271" s="93"/>
      <c r="BK271" s="93"/>
      <c r="BL271" s="93"/>
      <c r="BM271" s="93"/>
      <c r="BN271" s="93"/>
      <c r="BO271" s="93"/>
      <c r="BP271" s="93"/>
      <c r="BQ271" s="93"/>
      <c r="BR271" s="93"/>
      <c r="BS271" s="93"/>
      <c r="BT271" s="93"/>
    </row>
    <row r="272" spans="3:72">
      <c r="C272" s="93"/>
      <c r="D272" s="93"/>
      <c r="E272" s="93"/>
      <c r="F272" s="93"/>
      <c r="G272" s="93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  <c r="AQ272" s="94"/>
      <c r="AR272" s="94"/>
      <c r="AS272" s="94"/>
      <c r="AT272" s="94"/>
      <c r="AU272" s="94"/>
      <c r="AV272" s="94"/>
      <c r="AW272" s="94"/>
      <c r="AX272" s="94"/>
      <c r="AY272" s="94"/>
      <c r="AZ272" s="94"/>
      <c r="BA272" s="94"/>
      <c r="BB272" s="94"/>
      <c r="BC272" s="94"/>
      <c r="BD272" s="94"/>
      <c r="BE272" s="94"/>
      <c r="BF272" s="94"/>
      <c r="BG272" s="94"/>
      <c r="BH272" s="93"/>
      <c r="BI272" s="93"/>
      <c r="BJ272" s="93"/>
      <c r="BK272" s="93"/>
      <c r="BL272" s="93"/>
      <c r="BM272" s="93"/>
      <c r="BN272" s="93"/>
      <c r="BO272" s="93"/>
      <c r="BP272" s="93"/>
      <c r="BQ272" s="93"/>
      <c r="BR272" s="93"/>
      <c r="BS272" s="93"/>
      <c r="BT272" s="93"/>
    </row>
    <row r="273" spans="3:72">
      <c r="C273" s="93"/>
      <c r="D273" s="93"/>
      <c r="E273" s="93"/>
      <c r="F273" s="93"/>
      <c r="G273" s="93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/>
      <c r="AX273" s="94"/>
      <c r="AY273" s="94"/>
      <c r="AZ273" s="94"/>
      <c r="BA273" s="94"/>
      <c r="BB273" s="94"/>
      <c r="BC273" s="94"/>
      <c r="BD273" s="94"/>
      <c r="BE273" s="94"/>
      <c r="BF273" s="94"/>
      <c r="BG273" s="94"/>
      <c r="BH273" s="93"/>
      <c r="BI273" s="93"/>
      <c r="BJ273" s="93"/>
      <c r="BK273" s="93"/>
      <c r="BL273" s="93"/>
      <c r="BM273" s="93"/>
      <c r="BN273" s="93"/>
      <c r="BO273" s="93"/>
      <c r="BP273" s="93"/>
      <c r="BQ273" s="93"/>
      <c r="BR273" s="93"/>
      <c r="BS273" s="93"/>
      <c r="BT273" s="93"/>
    </row>
    <row r="274" spans="3:72">
      <c r="C274" s="93"/>
      <c r="D274" s="93"/>
      <c r="E274" s="93"/>
      <c r="F274" s="93"/>
      <c r="G274" s="93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  <c r="AQ274" s="94"/>
      <c r="AR274" s="94"/>
      <c r="AS274" s="94"/>
      <c r="AT274" s="94"/>
      <c r="AU274" s="94"/>
      <c r="AV274" s="94"/>
      <c r="AW274" s="94"/>
      <c r="AX274" s="94"/>
      <c r="AY274" s="94"/>
      <c r="AZ274" s="94"/>
      <c r="BA274" s="94"/>
      <c r="BB274" s="94"/>
      <c r="BC274" s="94"/>
      <c r="BD274" s="94"/>
      <c r="BE274" s="94"/>
      <c r="BF274" s="94"/>
      <c r="BG274" s="94"/>
      <c r="BH274" s="93"/>
      <c r="BI274" s="93"/>
      <c r="BJ274" s="93"/>
      <c r="BK274" s="93"/>
      <c r="BL274" s="93"/>
      <c r="BM274" s="93"/>
      <c r="BN274" s="93"/>
      <c r="BO274" s="93"/>
      <c r="BP274" s="93"/>
      <c r="BQ274" s="93"/>
      <c r="BR274" s="93"/>
      <c r="BS274" s="93"/>
      <c r="BT274" s="93"/>
    </row>
    <row r="275" spans="3:72">
      <c r="C275" s="93"/>
      <c r="D275" s="93"/>
      <c r="E275" s="93"/>
      <c r="F275" s="93"/>
      <c r="G275" s="93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4"/>
      <c r="BA275" s="94"/>
      <c r="BB275" s="94"/>
      <c r="BC275" s="94"/>
      <c r="BD275" s="94"/>
      <c r="BE275" s="94"/>
      <c r="BF275" s="94"/>
      <c r="BG275" s="94"/>
      <c r="BH275" s="93"/>
      <c r="BI275" s="93"/>
      <c r="BJ275" s="93"/>
      <c r="BK275" s="93"/>
      <c r="BL275" s="93"/>
      <c r="BM275" s="93"/>
      <c r="BN275" s="93"/>
      <c r="BO275" s="93"/>
      <c r="BP275" s="93"/>
      <c r="BQ275" s="93"/>
      <c r="BR275" s="93"/>
      <c r="BS275" s="93"/>
      <c r="BT275" s="93"/>
    </row>
    <row r="276" spans="3:72">
      <c r="C276" s="93"/>
      <c r="D276" s="93"/>
      <c r="E276" s="93"/>
      <c r="F276" s="93"/>
      <c r="G276" s="93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94"/>
      <c r="AX276" s="94"/>
      <c r="AY276" s="94"/>
      <c r="AZ276" s="94"/>
      <c r="BA276" s="94"/>
      <c r="BB276" s="94"/>
      <c r="BC276" s="94"/>
      <c r="BD276" s="94"/>
      <c r="BE276" s="94"/>
      <c r="BF276" s="94"/>
      <c r="BG276" s="94"/>
      <c r="BH276" s="93"/>
      <c r="BI276" s="93"/>
      <c r="BJ276" s="93"/>
      <c r="BK276" s="93"/>
      <c r="BL276" s="93"/>
      <c r="BM276" s="93"/>
      <c r="BN276" s="93"/>
      <c r="BO276" s="93"/>
      <c r="BP276" s="93"/>
      <c r="BQ276" s="93"/>
      <c r="BR276" s="93"/>
      <c r="BS276" s="93"/>
      <c r="BT276" s="93"/>
    </row>
    <row r="277" spans="3:72">
      <c r="C277" s="93"/>
      <c r="D277" s="93"/>
      <c r="E277" s="93"/>
      <c r="F277" s="93"/>
      <c r="G277" s="93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  <c r="AT277" s="94"/>
      <c r="AU277" s="94"/>
      <c r="AV277" s="94"/>
      <c r="AW277" s="94"/>
      <c r="AX277" s="94"/>
      <c r="AY277" s="94"/>
      <c r="AZ277" s="94"/>
      <c r="BA277" s="94"/>
      <c r="BB277" s="94"/>
      <c r="BC277" s="94"/>
      <c r="BD277" s="94"/>
      <c r="BE277" s="94"/>
      <c r="BF277" s="94"/>
      <c r="BG277" s="94"/>
      <c r="BH277" s="93"/>
      <c r="BI277" s="93"/>
      <c r="BJ277" s="93"/>
      <c r="BK277" s="93"/>
      <c r="BL277" s="93"/>
      <c r="BM277" s="93"/>
      <c r="BN277" s="93"/>
      <c r="BO277" s="93"/>
      <c r="BP277" s="93"/>
      <c r="BQ277" s="93"/>
      <c r="BR277" s="93"/>
      <c r="BS277" s="93"/>
      <c r="BT277" s="93"/>
    </row>
    <row r="278" spans="3:72">
      <c r="C278" s="93"/>
      <c r="D278" s="93"/>
      <c r="E278" s="93"/>
      <c r="F278" s="93"/>
      <c r="G278" s="93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  <c r="AQ278" s="94"/>
      <c r="AR278" s="94"/>
      <c r="AS278" s="94"/>
      <c r="AT278" s="94"/>
      <c r="AU278" s="94"/>
      <c r="AV278" s="94"/>
      <c r="AW278" s="94"/>
      <c r="AX278" s="94"/>
      <c r="AY278" s="94"/>
      <c r="AZ278" s="94"/>
      <c r="BA278" s="94"/>
      <c r="BB278" s="94"/>
      <c r="BC278" s="94"/>
      <c r="BD278" s="94"/>
      <c r="BE278" s="94"/>
      <c r="BF278" s="94"/>
      <c r="BG278" s="94"/>
      <c r="BH278" s="93"/>
      <c r="BI278" s="93"/>
      <c r="BJ278" s="93"/>
      <c r="BK278" s="93"/>
      <c r="BL278" s="93"/>
      <c r="BM278" s="93"/>
      <c r="BN278" s="93"/>
      <c r="BO278" s="93"/>
      <c r="BP278" s="93"/>
      <c r="BQ278" s="93"/>
      <c r="BR278" s="93"/>
      <c r="BS278" s="93"/>
      <c r="BT278" s="93"/>
    </row>
    <row r="279" spans="3:72">
      <c r="C279" s="93"/>
      <c r="D279" s="93"/>
      <c r="E279" s="93"/>
      <c r="F279" s="93"/>
      <c r="G279" s="93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/>
      <c r="AY279" s="94"/>
      <c r="AZ279" s="94"/>
      <c r="BA279" s="94"/>
      <c r="BB279" s="94"/>
      <c r="BC279" s="94"/>
      <c r="BD279" s="94"/>
      <c r="BE279" s="94"/>
      <c r="BF279" s="94"/>
      <c r="BG279" s="94"/>
      <c r="BH279" s="93"/>
      <c r="BI279" s="93"/>
      <c r="BJ279" s="93"/>
      <c r="BK279" s="93"/>
      <c r="BL279" s="93"/>
      <c r="BM279" s="93"/>
      <c r="BN279" s="93"/>
      <c r="BO279" s="93"/>
      <c r="BP279" s="93"/>
      <c r="BQ279" s="93"/>
      <c r="BR279" s="93"/>
      <c r="BS279" s="93"/>
      <c r="BT279" s="93"/>
    </row>
    <row r="280" spans="3:72">
      <c r="C280" s="93"/>
      <c r="D280" s="93"/>
      <c r="E280" s="93"/>
      <c r="F280" s="93"/>
      <c r="G280" s="93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  <c r="AQ280" s="94"/>
      <c r="AR280" s="94"/>
      <c r="AS280" s="94"/>
      <c r="AT280" s="94"/>
      <c r="AU280" s="94"/>
      <c r="AV280" s="94"/>
      <c r="AW280" s="94"/>
      <c r="AX280" s="94"/>
      <c r="AY280" s="94"/>
      <c r="AZ280" s="94"/>
      <c r="BA280" s="94"/>
      <c r="BB280" s="94"/>
      <c r="BC280" s="94"/>
      <c r="BD280" s="94"/>
      <c r="BE280" s="94"/>
      <c r="BF280" s="94"/>
      <c r="BG280" s="94"/>
      <c r="BH280" s="93"/>
      <c r="BI280" s="93"/>
      <c r="BJ280" s="93"/>
      <c r="BK280" s="93"/>
      <c r="BL280" s="93"/>
      <c r="BM280" s="93"/>
      <c r="BN280" s="93"/>
      <c r="BO280" s="93"/>
      <c r="BP280" s="93"/>
      <c r="BQ280" s="93"/>
      <c r="BR280" s="93"/>
      <c r="BS280" s="93"/>
      <c r="BT280" s="93"/>
    </row>
    <row r="281" spans="3:72">
      <c r="C281" s="93"/>
      <c r="D281" s="93"/>
      <c r="E281" s="93"/>
      <c r="F281" s="93"/>
      <c r="G281" s="93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  <c r="AT281" s="94"/>
      <c r="AU281" s="94"/>
      <c r="AV281" s="94"/>
      <c r="AW281" s="94"/>
      <c r="AX281" s="94"/>
      <c r="AY281" s="94"/>
      <c r="AZ281" s="94"/>
      <c r="BA281" s="94"/>
      <c r="BB281" s="94"/>
      <c r="BC281" s="94"/>
      <c r="BD281" s="94"/>
      <c r="BE281" s="94"/>
      <c r="BF281" s="94"/>
      <c r="BG281" s="94"/>
      <c r="BH281" s="93"/>
      <c r="BI281" s="93"/>
      <c r="BJ281" s="93"/>
      <c r="BK281" s="93"/>
      <c r="BL281" s="93"/>
      <c r="BM281" s="93"/>
      <c r="BN281" s="93"/>
      <c r="BO281" s="93"/>
      <c r="BP281" s="93"/>
      <c r="BQ281" s="93"/>
      <c r="BR281" s="93"/>
      <c r="BS281" s="93"/>
      <c r="BT281" s="93"/>
    </row>
    <row r="282" spans="3:72">
      <c r="C282" s="93"/>
      <c r="D282" s="93"/>
      <c r="E282" s="93"/>
      <c r="F282" s="93"/>
      <c r="G282" s="93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  <c r="AQ282" s="94"/>
      <c r="AR282" s="94"/>
      <c r="AS282" s="94"/>
      <c r="AT282" s="94"/>
      <c r="AU282" s="94"/>
      <c r="AV282" s="94"/>
      <c r="AW282" s="94"/>
      <c r="AX282" s="94"/>
      <c r="AY282" s="94"/>
      <c r="AZ282" s="94"/>
      <c r="BA282" s="94"/>
      <c r="BB282" s="94"/>
      <c r="BC282" s="94"/>
      <c r="BD282" s="94"/>
      <c r="BE282" s="94"/>
      <c r="BF282" s="94"/>
      <c r="BG282" s="94"/>
      <c r="BH282" s="93"/>
      <c r="BI282" s="93"/>
      <c r="BJ282" s="93"/>
      <c r="BK282" s="93"/>
      <c r="BL282" s="93"/>
      <c r="BM282" s="93"/>
      <c r="BN282" s="93"/>
      <c r="BO282" s="93"/>
      <c r="BP282" s="93"/>
      <c r="BQ282" s="93"/>
      <c r="BR282" s="93"/>
      <c r="BS282" s="93"/>
      <c r="BT282" s="93"/>
    </row>
    <row r="283" spans="3:72">
      <c r="C283" s="93"/>
      <c r="D283" s="93"/>
      <c r="E283" s="93"/>
      <c r="F283" s="93"/>
      <c r="G283" s="93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/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4"/>
      <c r="BE283" s="94"/>
      <c r="BF283" s="94"/>
      <c r="BG283" s="94"/>
      <c r="BH283" s="93"/>
      <c r="BI283" s="93"/>
      <c r="BJ283" s="93"/>
      <c r="BK283" s="93"/>
      <c r="BL283" s="93"/>
      <c r="BM283" s="93"/>
      <c r="BN283" s="93"/>
      <c r="BO283" s="93"/>
      <c r="BP283" s="93"/>
      <c r="BQ283" s="93"/>
      <c r="BR283" s="93"/>
      <c r="BS283" s="93"/>
      <c r="BT283" s="93"/>
    </row>
    <row r="284" spans="3:72">
      <c r="C284" s="93"/>
      <c r="D284" s="93"/>
      <c r="E284" s="93"/>
      <c r="F284" s="93"/>
      <c r="G284" s="93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  <c r="AT284" s="94"/>
      <c r="AU284" s="94"/>
      <c r="AV284" s="94"/>
      <c r="AW284" s="94"/>
      <c r="AX284" s="94"/>
      <c r="AY284" s="94"/>
      <c r="AZ284" s="94"/>
      <c r="BA284" s="94"/>
      <c r="BB284" s="94"/>
      <c r="BC284" s="94"/>
      <c r="BD284" s="94"/>
      <c r="BE284" s="94"/>
      <c r="BF284" s="94"/>
      <c r="BG284" s="94"/>
      <c r="BH284" s="93"/>
      <c r="BI284" s="93"/>
      <c r="BJ284" s="93"/>
      <c r="BK284" s="93"/>
      <c r="BL284" s="93"/>
      <c r="BM284" s="93"/>
      <c r="BN284" s="93"/>
      <c r="BO284" s="93"/>
      <c r="BP284" s="93"/>
      <c r="BQ284" s="93"/>
      <c r="BR284" s="93"/>
      <c r="BS284" s="93"/>
      <c r="BT284" s="93"/>
    </row>
    <row r="285" spans="3:72">
      <c r="C285" s="93"/>
      <c r="D285" s="93"/>
      <c r="E285" s="93"/>
      <c r="F285" s="93"/>
      <c r="G285" s="93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4"/>
      <c r="BE285" s="94"/>
      <c r="BF285" s="94"/>
      <c r="BG285" s="94"/>
      <c r="BH285" s="93"/>
      <c r="BI285" s="93"/>
      <c r="BJ285" s="93"/>
      <c r="BK285" s="93"/>
      <c r="BL285" s="93"/>
      <c r="BM285" s="93"/>
      <c r="BN285" s="93"/>
      <c r="BO285" s="93"/>
      <c r="BP285" s="93"/>
      <c r="BQ285" s="93"/>
      <c r="BR285" s="93"/>
      <c r="BS285" s="93"/>
      <c r="BT285" s="93"/>
    </row>
    <row r="286" spans="3:72">
      <c r="C286" s="93"/>
      <c r="D286" s="93"/>
      <c r="E286" s="93"/>
      <c r="F286" s="93"/>
      <c r="G286" s="93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  <c r="AT286" s="94"/>
      <c r="AU286" s="94"/>
      <c r="AV286" s="94"/>
      <c r="AW286" s="94"/>
      <c r="AX286" s="94"/>
      <c r="AY286" s="94"/>
      <c r="AZ286" s="94"/>
      <c r="BA286" s="94"/>
      <c r="BB286" s="94"/>
      <c r="BC286" s="94"/>
      <c r="BD286" s="94"/>
      <c r="BE286" s="94"/>
      <c r="BF286" s="94"/>
      <c r="BG286" s="94"/>
      <c r="BH286" s="93"/>
      <c r="BI286" s="93"/>
      <c r="BJ286" s="93"/>
      <c r="BK286" s="93"/>
      <c r="BL286" s="93"/>
      <c r="BM286" s="93"/>
      <c r="BN286" s="93"/>
      <c r="BO286" s="93"/>
      <c r="BP286" s="93"/>
      <c r="BQ286" s="93"/>
      <c r="BR286" s="93"/>
      <c r="BS286" s="93"/>
      <c r="BT286" s="93"/>
    </row>
    <row r="287" spans="3:72">
      <c r="C287" s="93"/>
      <c r="D287" s="93"/>
      <c r="E287" s="93"/>
      <c r="F287" s="93"/>
      <c r="G287" s="93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  <c r="BG287" s="94"/>
      <c r="BH287" s="93"/>
      <c r="BI287" s="93"/>
      <c r="BJ287" s="93"/>
      <c r="BK287" s="93"/>
      <c r="BL287" s="93"/>
      <c r="BM287" s="93"/>
      <c r="BN287" s="93"/>
      <c r="BO287" s="93"/>
      <c r="BP287" s="93"/>
      <c r="BQ287" s="93"/>
      <c r="BR287" s="93"/>
      <c r="BS287" s="93"/>
      <c r="BT287" s="93"/>
    </row>
    <row r="288" spans="3:72">
      <c r="C288" s="93"/>
      <c r="D288" s="93"/>
      <c r="E288" s="93"/>
      <c r="F288" s="93"/>
      <c r="G288" s="93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4"/>
      <c r="BE288" s="94"/>
      <c r="BF288" s="94"/>
      <c r="BG288" s="94"/>
      <c r="BH288" s="93"/>
      <c r="BI288" s="93"/>
      <c r="BJ288" s="93"/>
      <c r="BK288" s="93"/>
      <c r="BL288" s="93"/>
      <c r="BM288" s="93"/>
      <c r="BN288" s="93"/>
      <c r="BO288" s="93"/>
      <c r="BP288" s="93"/>
      <c r="BQ288" s="93"/>
      <c r="BR288" s="93"/>
      <c r="BS288" s="93"/>
      <c r="BT288" s="93"/>
    </row>
    <row r="289" spans="3:72">
      <c r="C289" s="93"/>
      <c r="D289" s="93"/>
      <c r="E289" s="93"/>
      <c r="F289" s="93"/>
      <c r="G289" s="93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4"/>
      <c r="BE289" s="94"/>
      <c r="BF289" s="94"/>
      <c r="BG289" s="94"/>
      <c r="BH289" s="93"/>
      <c r="BI289" s="93"/>
      <c r="BJ289" s="93"/>
      <c r="BK289" s="93"/>
      <c r="BL289" s="93"/>
      <c r="BM289" s="93"/>
      <c r="BN289" s="93"/>
      <c r="BO289" s="93"/>
      <c r="BP289" s="93"/>
      <c r="BQ289" s="93"/>
      <c r="BR289" s="93"/>
      <c r="BS289" s="93"/>
      <c r="BT289" s="93"/>
    </row>
    <row r="290" spans="3:72">
      <c r="C290" s="93"/>
      <c r="D290" s="93"/>
      <c r="E290" s="93"/>
      <c r="F290" s="93"/>
      <c r="G290" s="93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  <c r="AQ290" s="94"/>
      <c r="AR290" s="94"/>
      <c r="AS290" s="94"/>
      <c r="AT290" s="94"/>
      <c r="AU290" s="94"/>
      <c r="AV290" s="94"/>
      <c r="AW290" s="94"/>
      <c r="AX290" s="94"/>
      <c r="AY290" s="94"/>
      <c r="AZ290" s="94"/>
      <c r="BA290" s="94"/>
      <c r="BB290" s="94"/>
      <c r="BC290" s="94"/>
      <c r="BD290" s="94"/>
      <c r="BE290" s="94"/>
      <c r="BF290" s="94"/>
      <c r="BG290" s="94"/>
      <c r="BH290" s="93"/>
      <c r="BI290" s="93"/>
      <c r="BJ290" s="93"/>
      <c r="BK290" s="93"/>
      <c r="BL290" s="93"/>
      <c r="BM290" s="93"/>
      <c r="BN290" s="93"/>
      <c r="BO290" s="93"/>
      <c r="BP290" s="93"/>
      <c r="BQ290" s="93"/>
      <c r="BR290" s="93"/>
      <c r="BS290" s="93"/>
      <c r="BT290" s="93"/>
    </row>
    <row r="291" spans="3:72">
      <c r="C291" s="93"/>
      <c r="D291" s="93"/>
      <c r="E291" s="93"/>
      <c r="F291" s="93"/>
      <c r="G291" s="93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4"/>
      <c r="BE291" s="94"/>
      <c r="BF291" s="94"/>
      <c r="BG291" s="94"/>
      <c r="BH291" s="93"/>
      <c r="BI291" s="93"/>
      <c r="BJ291" s="93"/>
      <c r="BK291" s="93"/>
      <c r="BL291" s="93"/>
      <c r="BM291" s="93"/>
      <c r="BN291" s="93"/>
      <c r="BO291" s="93"/>
      <c r="BP291" s="93"/>
      <c r="BQ291" s="93"/>
      <c r="BR291" s="93"/>
      <c r="BS291" s="93"/>
      <c r="BT291" s="93"/>
    </row>
    <row r="292" spans="3:72">
      <c r="C292" s="93"/>
      <c r="D292" s="93"/>
      <c r="E292" s="93"/>
      <c r="F292" s="93"/>
      <c r="G292" s="93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4"/>
      <c r="BA292" s="94"/>
      <c r="BB292" s="94"/>
      <c r="BC292" s="94"/>
      <c r="BD292" s="94"/>
      <c r="BE292" s="94"/>
      <c r="BF292" s="94"/>
      <c r="BG292" s="94"/>
      <c r="BH292" s="93"/>
      <c r="BI292" s="93"/>
      <c r="BJ292" s="93"/>
      <c r="BK292" s="93"/>
      <c r="BL292" s="93"/>
      <c r="BM292" s="93"/>
      <c r="BN292" s="93"/>
      <c r="BO292" s="93"/>
      <c r="BP292" s="93"/>
      <c r="BQ292" s="93"/>
      <c r="BR292" s="93"/>
      <c r="BS292" s="93"/>
      <c r="BT292" s="93"/>
    </row>
    <row r="293" spans="3:72">
      <c r="C293" s="93"/>
      <c r="D293" s="93"/>
      <c r="E293" s="93"/>
      <c r="F293" s="93"/>
      <c r="G293" s="93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/>
      <c r="AX293" s="94"/>
      <c r="AY293" s="94"/>
      <c r="AZ293" s="94"/>
      <c r="BA293" s="94"/>
      <c r="BB293" s="94"/>
      <c r="BC293" s="94"/>
      <c r="BD293" s="94"/>
      <c r="BE293" s="94"/>
      <c r="BF293" s="94"/>
      <c r="BG293" s="94"/>
      <c r="BH293" s="93"/>
      <c r="BI293" s="93"/>
      <c r="BJ293" s="93"/>
      <c r="BK293" s="93"/>
      <c r="BL293" s="93"/>
      <c r="BM293" s="93"/>
      <c r="BN293" s="93"/>
      <c r="BO293" s="93"/>
      <c r="BP293" s="93"/>
      <c r="BQ293" s="93"/>
      <c r="BR293" s="93"/>
      <c r="BS293" s="93"/>
      <c r="BT293" s="93"/>
    </row>
    <row r="294" spans="3:72">
      <c r="C294" s="93"/>
      <c r="D294" s="93"/>
      <c r="E294" s="93"/>
      <c r="F294" s="93"/>
      <c r="G294" s="93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94"/>
      <c r="AX294" s="94"/>
      <c r="AY294" s="94"/>
      <c r="AZ294" s="94"/>
      <c r="BA294" s="94"/>
      <c r="BB294" s="94"/>
      <c r="BC294" s="94"/>
      <c r="BD294" s="94"/>
      <c r="BE294" s="94"/>
      <c r="BF294" s="94"/>
      <c r="BG294" s="94"/>
      <c r="BH294" s="93"/>
      <c r="BI294" s="93"/>
      <c r="BJ294" s="93"/>
      <c r="BK294" s="93"/>
      <c r="BL294" s="93"/>
      <c r="BM294" s="93"/>
      <c r="BN294" s="93"/>
      <c r="BO294" s="93"/>
      <c r="BP294" s="93"/>
      <c r="BQ294" s="93"/>
      <c r="BR294" s="93"/>
      <c r="BS294" s="93"/>
      <c r="BT294" s="93"/>
    </row>
    <row r="295" spans="3:72">
      <c r="C295" s="93"/>
      <c r="D295" s="93"/>
      <c r="E295" s="93"/>
      <c r="F295" s="93"/>
      <c r="G295" s="93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4"/>
      <c r="BA295" s="94"/>
      <c r="BB295" s="94"/>
      <c r="BC295" s="94"/>
      <c r="BD295" s="94"/>
      <c r="BE295" s="94"/>
      <c r="BF295" s="94"/>
      <c r="BG295" s="94"/>
      <c r="BH295" s="93"/>
      <c r="BI295" s="93"/>
      <c r="BJ295" s="93"/>
      <c r="BK295" s="93"/>
      <c r="BL295" s="93"/>
      <c r="BM295" s="93"/>
      <c r="BN295" s="93"/>
      <c r="BO295" s="93"/>
      <c r="BP295" s="93"/>
      <c r="BQ295" s="93"/>
      <c r="BR295" s="93"/>
      <c r="BS295" s="93"/>
      <c r="BT295" s="93"/>
    </row>
    <row r="296" spans="3:72">
      <c r="C296" s="93"/>
      <c r="D296" s="93"/>
      <c r="E296" s="93"/>
      <c r="F296" s="93"/>
      <c r="G296" s="93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  <c r="AQ296" s="94"/>
      <c r="AR296" s="94"/>
      <c r="AS296" s="94"/>
      <c r="AT296" s="94"/>
      <c r="AU296" s="94"/>
      <c r="AV296" s="94"/>
      <c r="AW296" s="94"/>
      <c r="AX296" s="94"/>
      <c r="AY296" s="94"/>
      <c r="AZ296" s="94"/>
      <c r="BA296" s="94"/>
      <c r="BB296" s="94"/>
      <c r="BC296" s="94"/>
      <c r="BD296" s="94"/>
      <c r="BE296" s="94"/>
      <c r="BF296" s="94"/>
      <c r="BG296" s="94"/>
      <c r="BH296" s="93"/>
      <c r="BI296" s="93"/>
      <c r="BJ296" s="93"/>
      <c r="BK296" s="93"/>
      <c r="BL296" s="93"/>
      <c r="BM296" s="93"/>
      <c r="BN296" s="93"/>
      <c r="BO296" s="93"/>
      <c r="BP296" s="93"/>
      <c r="BQ296" s="93"/>
      <c r="BR296" s="93"/>
      <c r="BS296" s="93"/>
      <c r="BT296" s="93"/>
    </row>
    <row r="297" spans="3:72">
      <c r="C297" s="93"/>
      <c r="D297" s="93"/>
      <c r="E297" s="93"/>
      <c r="F297" s="93"/>
      <c r="G297" s="93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/>
      <c r="AX297" s="94"/>
      <c r="AY297" s="94"/>
      <c r="AZ297" s="94"/>
      <c r="BA297" s="94"/>
      <c r="BB297" s="94"/>
      <c r="BC297" s="94"/>
      <c r="BD297" s="94"/>
      <c r="BE297" s="94"/>
      <c r="BF297" s="94"/>
      <c r="BG297" s="94"/>
      <c r="BH297" s="93"/>
      <c r="BI297" s="93"/>
      <c r="BJ297" s="93"/>
      <c r="BK297" s="93"/>
      <c r="BL297" s="93"/>
      <c r="BM297" s="93"/>
      <c r="BN297" s="93"/>
      <c r="BO297" s="93"/>
      <c r="BP297" s="93"/>
      <c r="BQ297" s="93"/>
      <c r="BR297" s="93"/>
      <c r="BS297" s="93"/>
      <c r="BT297" s="93"/>
    </row>
    <row r="298" spans="3:72">
      <c r="C298" s="93"/>
      <c r="D298" s="93"/>
      <c r="E298" s="93"/>
      <c r="F298" s="93"/>
      <c r="G298" s="93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94"/>
      <c r="AX298" s="94"/>
      <c r="AY298" s="94"/>
      <c r="AZ298" s="94"/>
      <c r="BA298" s="94"/>
      <c r="BB298" s="94"/>
      <c r="BC298" s="94"/>
      <c r="BD298" s="94"/>
      <c r="BE298" s="94"/>
      <c r="BF298" s="94"/>
      <c r="BG298" s="94"/>
      <c r="BH298" s="93"/>
      <c r="BI298" s="93"/>
      <c r="BJ298" s="93"/>
      <c r="BK298" s="93"/>
      <c r="BL298" s="93"/>
      <c r="BM298" s="93"/>
      <c r="BN298" s="93"/>
      <c r="BO298" s="93"/>
      <c r="BP298" s="93"/>
      <c r="BQ298" s="93"/>
      <c r="BR298" s="93"/>
      <c r="BS298" s="93"/>
      <c r="BT298" s="93"/>
    </row>
    <row r="299" spans="3:72">
      <c r="C299" s="93"/>
      <c r="D299" s="93"/>
      <c r="E299" s="93"/>
      <c r="F299" s="93"/>
      <c r="G299" s="93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/>
      <c r="AX299" s="94"/>
      <c r="AY299" s="94"/>
      <c r="AZ299" s="94"/>
      <c r="BA299" s="94"/>
      <c r="BB299" s="94"/>
      <c r="BC299" s="94"/>
      <c r="BD299" s="94"/>
      <c r="BE299" s="94"/>
      <c r="BF299" s="94"/>
      <c r="BG299" s="94"/>
      <c r="BH299" s="93"/>
      <c r="BI299" s="93"/>
      <c r="BJ299" s="93"/>
      <c r="BK299" s="93"/>
      <c r="BL299" s="93"/>
      <c r="BM299" s="93"/>
      <c r="BN299" s="93"/>
      <c r="BO299" s="93"/>
      <c r="BP299" s="93"/>
      <c r="BQ299" s="93"/>
      <c r="BR299" s="93"/>
      <c r="BS299" s="93"/>
      <c r="BT299" s="93"/>
    </row>
    <row r="300" spans="3:72">
      <c r="C300" s="93"/>
      <c r="D300" s="93"/>
      <c r="E300" s="93"/>
      <c r="F300" s="93"/>
      <c r="G300" s="93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  <c r="AQ300" s="94"/>
      <c r="AR300" s="94"/>
      <c r="AS300" s="94"/>
      <c r="AT300" s="94"/>
      <c r="AU300" s="94"/>
      <c r="AV300" s="94"/>
      <c r="AW300" s="94"/>
      <c r="AX300" s="94"/>
      <c r="AY300" s="94"/>
      <c r="AZ300" s="94"/>
      <c r="BA300" s="94"/>
      <c r="BB300" s="94"/>
      <c r="BC300" s="94"/>
      <c r="BD300" s="94"/>
      <c r="BE300" s="94"/>
      <c r="BF300" s="94"/>
      <c r="BG300" s="94"/>
      <c r="BH300" s="93"/>
      <c r="BI300" s="93"/>
      <c r="BJ300" s="93"/>
      <c r="BK300" s="93"/>
      <c r="BL300" s="93"/>
      <c r="BM300" s="93"/>
      <c r="BN300" s="93"/>
      <c r="BO300" s="93"/>
      <c r="BP300" s="93"/>
      <c r="BQ300" s="93"/>
      <c r="BR300" s="93"/>
      <c r="BS300" s="93"/>
      <c r="BT300" s="93"/>
    </row>
    <row r="301" spans="3:72">
      <c r="C301" s="93"/>
      <c r="D301" s="93"/>
      <c r="E301" s="93"/>
      <c r="F301" s="93"/>
      <c r="G301" s="93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/>
      <c r="AX301" s="94"/>
      <c r="AY301" s="94"/>
      <c r="AZ301" s="94"/>
      <c r="BA301" s="94"/>
      <c r="BB301" s="94"/>
      <c r="BC301" s="94"/>
      <c r="BD301" s="94"/>
      <c r="BE301" s="94"/>
      <c r="BF301" s="94"/>
      <c r="BG301" s="94"/>
      <c r="BH301" s="93"/>
      <c r="BI301" s="93"/>
      <c r="BJ301" s="93"/>
      <c r="BK301" s="93"/>
      <c r="BL301" s="93"/>
      <c r="BM301" s="93"/>
      <c r="BN301" s="93"/>
      <c r="BO301" s="93"/>
      <c r="BP301" s="93"/>
      <c r="BQ301" s="93"/>
      <c r="BR301" s="93"/>
      <c r="BS301" s="93"/>
      <c r="BT301" s="93"/>
    </row>
    <row r="302" spans="3:72">
      <c r="C302" s="93"/>
      <c r="D302" s="93"/>
      <c r="E302" s="93"/>
      <c r="F302" s="93"/>
      <c r="G302" s="93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  <c r="AS302" s="94"/>
      <c r="AT302" s="94"/>
      <c r="AU302" s="94"/>
      <c r="AV302" s="94"/>
      <c r="AW302" s="94"/>
      <c r="AX302" s="94"/>
      <c r="AY302" s="94"/>
      <c r="AZ302" s="94"/>
      <c r="BA302" s="94"/>
      <c r="BB302" s="94"/>
      <c r="BC302" s="94"/>
      <c r="BD302" s="94"/>
      <c r="BE302" s="94"/>
      <c r="BF302" s="94"/>
      <c r="BG302" s="94"/>
      <c r="BH302" s="93"/>
      <c r="BI302" s="93"/>
      <c r="BJ302" s="93"/>
      <c r="BK302" s="93"/>
      <c r="BL302" s="93"/>
      <c r="BM302" s="93"/>
      <c r="BN302" s="93"/>
      <c r="BO302" s="93"/>
      <c r="BP302" s="93"/>
      <c r="BQ302" s="93"/>
      <c r="BR302" s="93"/>
      <c r="BS302" s="93"/>
      <c r="BT302" s="93"/>
    </row>
    <row r="303" spans="3:72">
      <c r="C303" s="93"/>
      <c r="D303" s="93"/>
      <c r="E303" s="93"/>
      <c r="F303" s="93"/>
      <c r="G303" s="93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/>
      <c r="AX303" s="94"/>
      <c r="AY303" s="94"/>
      <c r="AZ303" s="94"/>
      <c r="BA303" s="94"/>
      <c r="BB303" s="94"/>
      <c r="BC303" s="94"/>
      <c r="BD303" s="94"/>
      <c r="BE303" s="94"/>
      <c r="BF303" s="94"/>
      <c r="BG303" s="94"/>
      <c r="BH303" s="93"/>
      <c r="BI303" s="93"/>
      <c r="BJ303" s="93"/>
      <c r="BK303" s="93"/>
      <c r="BL303" s="93"/>
      <c r="BM303" s="93"/>
      <c r="BN303" s="93"/>
      <c r="BO303" s="93"/>
      <c r="BP303" s="93"/>
      <c r="BQ303" s="93"/>
      <c r="BR303" s="93"/>
      <c r="BS303" s="93"/>
      <c r="BT303" s="93"/>
    </row>
    <row r="304" spans="3:72">
      <c r="C304" s="93"/>
      <c r="D304" s="93"/>
      <c r="E304" s="93"/>
      <c r="F304" s="93"/>
      <c r="G304" s="93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4"/>
      <c r="BA304" s="94"/>
      <c r="BB304" s="94"/>
      <c r="BC304" s="94"/>
      <c r="BD304" s="94"/>
      <c r="BE304" s="94"/>
      <c r="BF304" s="94"/>
      <c r="BG304" s="94"/>
      <c r="BH304" s="93"/>
      <c r="BI304" s="93"/>
      <c r="BJ304" s="93"/>
      <c r="BK304" s="93"/>
      <c r="BL304" s="93"/>
      <c r="BM304" s="93"/>
      <c r="BN304" s="93"/>
      <c r="BO304" s="93"/>
      <c r="BP304" s="93"/>
      <c r="BQ304" s="93"/>
      <c r="BR304" s="93"/>
      <c r="BS304" s="93"/>
      <c r="BT304" s="93"/>
    </row>
    <row r="305" spans="3:72">
      <c r="C305" s="93"/>
      <c r="D305" s="93"/>
      <c r="E305" s="93"/>
      <c r="F305" s="93"/>
      <c r="G305" s="93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/>
      <c r="AT305" s="94"/>
      <c r="AU305" s="94"/>
      <c r="AV305" s="94"/>
      <c r="AW305" s="94"/>
      <c r="AX305" s="94"/>
      <c r="AY305" s="94"/>
      <c r="AZ305" s="94"/>
      <c r="BA305" s="94"/>
      <c r="BB305" s="94"/>
      <c r="BC305" s="94"/>
      <c r="BD305" s="94"/>
      <c r="BE305" s="94"/>
      <c r="BF305" s="94"/>
      <c r="BG305" s="94"/>
      <c r="BH305" s="93"/>
      <c r="BI305" s="93"/>
      <c r="BJ305" s="93"/>
      <c r="BK305" s="93"/>
      <c r="BL305" s="93"/>
      <c r="BM305" s="93"/>
      <c r="BN305" s="93"/>
      <c r="BO305" s="93"/>
      <c r="BP305" s="93"/>
      <c r="BQ305" s="93"/>
      <c r="BR305" s="93"/>
      <c r="BS305" s="93"/>
      <c r="BT305" s="93"/>
    </row>
    <row r="306" spans="3:72">
      <c r="C306" s="93"/>
      <c r="D306" s="93"/>
      <c r="E306" s="93"/>
      <c r="F306" s="93"/>
      <c r="G306" s="93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4"/>
      <c r="BA306" s="94"/>
      <c r="BB306" s="94"/>
      <c r="BC306" s="94"/>
      <c r="BD306" s="94"/>
      <c r="BE306" s="94"/>
      <c r="BF306" s="94"/>
      <c r="BG306" s="94"/>
      <c r="BH306" s="93"/>
      <c r="BI306" s="93"/>
      <c r="BJ306" s="93"/>
      <c r="BK306" s="93"/>
      <c r="BL306" s="93"/>
      <c r="BM306" s="93"/>
      <c r="BN306" s="93"/>
      <c r="BO306" s="93"/>
      <c r="BP306" s="93"/>
      <c r="BQ306" s="93"/>
      <c r="BR306" s="93"/>
      <c r="BS306" s="93"/>
      <c r="BT306" s="93"/>
    </row>
    <row r="307" spans="3:72">
      <c r="C307" s="93"/>
      <c r="D307" s="93"/>
      <c r="E307" s="93"/>
      <c r="F307" s="93"/>
      <c r="G307" s="93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/>
      <c r="AT307" s="94"/>
      <c r="AU307" s="94"/>
      <c r="AV307" s="94"/>
      <c r="AW307" s="94"/>
      <c r="AX307" s="94"/>
      <c r="AY307" s="94"/>
      <c r="AZ307" s="94"/>
      <c r="BA307" s="94"/>
      <c r="BB307" s="94"/>
      <c r="BC307" s="94"/>
      <c r="BD307" s="94"/>
      <c r="BE307" s="94"/>
      <c r="BF307" s="94"/>
      <c r="BG307" s="94"/>
      <c r="BH307" s="93"/>
      <c r="BI307" s="93"/>
      <c r="BJ307" s="93"/>
      <c r="BK307" s="93"/>
      <c r="BL307" s="93"/>
      <c r="BM307" s="93"/>
      <c r="BN307" s="93"/>
      <c r="BO307" s="93"/>
      <c r="BP307" s="93"/>
      <c r="BQ307" s="93"/>
      <c r="BR307" s="93"/>
      <c r="BS307" s="93"/>
      <c r="BT307" s="93"/>
    </row>
    <row r="308" spans="3:72">
      <c r="C308" s="93"/>
      <c r="D308" s="93"/>
      <c r="E308" s="93"/>
      <c r="F308" s="93"/>
      <c r="G308" s="93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  <c r="AS308" s="94"/>
      <c r="AT308" s="94"/>
      <c r="AU308" s="94"/>
      <c r="AV308" s="94"/>
      <c r="AW308" s="94"/>
      <c r="AX308" s="94"/>
      <c r="AY308" s="94"/>
      <c r="AZ308" s="94"/>
      <c r="BA308" s="94"/>
      <c r="BB308" s="94"/>
      <c r="BC308" s="94"/>
      <c r="BD308" s="94"/>
      <c r="BE308" s="94"/>
      <c r="BF308" s="94"/>
      <c r="BG308" s="94"/>
      <c r="BH308" s="93"/>
      <c r="BI308" s="93"/>
      <c r="BJ308" s="93"/>
      <c r="BK308" s="93"/>
      <c r="BL308" s="93"/>
      <c r="BM308" s="93"/>
      <c r="BN308" s="93"/>
      <c r="BO308" s="93"/>
      <c r="BP308" s="93"/>
      <c r="BQ308" s="93"/>
      <c r="BR308" s="93"/>
      <c r="BS308" s="93"/>
      <c r="BT308" s="93"/>
    </row>
    <row r="309" spans="3:72">
      <c r="C309" s="93"/>
      <c r="D309" s="93"/>
      <c r="E309" s="93"/>
      <c r="F309" s="93"/>
      <c r="G309" s="93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/>
      <c r="AX309" s="94"/>
      <c r="AY309" s="94"/>
      <c r="AZ309" s="94"/>
      <c r="BA309" s="94"/>
      <c r="BB309" s="94"/>
      <c r="BC309" s="94"/>
      <c r="BD309" s="94"/>
      <c r="BE309" s="94"/>
      <c r="BF309" s="94"/>
      <c r="BG309" s="94"/>
      <c r="BH309" s="93"/>
      <c r="BI309" s="93"/>
      <c r="BJ309" s="93"/>
      <c r="BK309" s="93"/>
      <c r="BL309" s="93"/>
      <c r="BM309" s="93"/>
      <c r="BN309" s="93"/>
      <c r="BO309" s="93"/>
      <c r="BP309" s="93"/>
      <c r="BQ309" s="93"/>
      <c r="BR309" s="93"/>
      <c r="BS309" s="93"/>
      <c r="BT309" s="93"/>
    </row>
    <row r="310" spans="3:72">
      <c r="C310" s="93"/>
      <c r="D310" s="93"/>
      <c r="E310" s="93"/>
      <c r="F310" s="93"/>
      <c r="G310" s="93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  <c r="AS310" s="94"/>
      <c r="AT310" s="94"/>
      <c r="AU310" s="94"/>
      <c r="AV310" s="94"/>
      <c r="AW310" s="94"/>
      <c r="AX310" s="94"/>
      <c r="AY310" s="94"/>
      <c r="AZ310" s="94"/>
      <c r="BA310" s="94"/>
      <c r="BB310" s="94"/>
      <c r="BC310" s="94"/>
      <c r="BD310" s="94"/>
      <c r="BE310" s="94"/>
      <c r="BF310" s="94"/>
      <c r="BG310" s="94"/>
      <c r="BH310" s="93"/>
      <c r="BI310" s="93"/>
      <c r="BJ310" s="93"/>
      <c r="BK310" s="93"/>
      <c r="BL310" s="93"/>
      <c r="BM310" s="93"/>
      <c r="BN310" s="93"/>
      <c r="BO310" s="93"/>
      <c r="BP310" s="93"/>
      <c r="BQ310" s="93"/>
      <c r="BR310" s="93"/>
      <c r="BS310" s="93"/>
      <c r="BT310" s="93"/>
    </row>
    <row r="311" spans="3:72">
      <c r="C311" s="93"/>
      <c r="D311" s="93"/>
      <c r="E311" s="93"/>
      <c r="F311" s="93"/>
      <c r="G311" s="93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  <c r="AS311" s="94"/>
      <c r="AT311" s="94"/>
      <c r="AU311" s="94"/>
      <c r="AV311" s="94"/>
      <c r="AW311" s="94"/>
      <c r="AX311" s="94"/>
      <c r="AY311" s="94"/>
      <c r="AZ311" s="94"/>
      <c r="BA311" s="94"/>
      <c r="BB311" s="94"/>
      <c r="BC311" s="94"/>
      <c r="BD311" s="94"/>
      <c r="BE311" s="94"/>
      <c r="BF311" s="94"/>
      <c r="BG311" s="94"/>
      <c r="BH311" s="93"/>
      <c r="BI311" s="93"/>
      <c r="BJ311" s="93"/>
      <c r="BK311" s="93"/>
      <c r="BL311" s="93"/>
      <c r="BM311" s="93"/>
      <c r="BN311" s="93"/>
      <c r="BO311" s="93"/>
      <c r="BP311" s="93"/>
      <c r="BQ311" s="93"/>
      <c r="BR311" s="93"/>
      <c r="BS311" s="93"/>
      <c r="BT311" s="93"/>
    </row>
    <row r="312" spans="3:72">
      <c r="C312" s="93"/>
      <c r="D312" s="93"/>
      <c r="E312" s="93"/>
      <c r="F312" s="93"/>
      <c r="G312" s="93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4"/>
      <c r="BA312" s="94"/>
      <c r="BB312" s="94"/>
      <c r="BC312" s="94"/>
      <c r="BD312" s="94"/>
      <c r="BE312" s="94"/>
      <c r="BF312" s="94"/>
      <c r="BG312" s="94"/>
      <c r="BH312" s="93"/>
      <c r="BI312" s="93"/>
      <c r="BJ312" s="93"/>
      <c r="BK312" s="93"/>
      <c r="BL312" s="93"/>
      <c r="BM312" s="93"/>
      <c r="BN312" s="93"/>
      <c r="BO312" s="93"/>
      <c r="BP312" s="93"/>
      <c r="BQ312" s="93"/>
      <c r="BR312" s="93"/>
      <c r="BS312" s="93"/>
      <c r="BT312" s="93"/>
    </row>
    <row r="313" spans="3:72">
      <c r="C313" s="93"/>
      <c r="D313" s="93"/>
      <c r="E313" s="93"/>
      <c r="F313" s="93"/>
      <c r="G313" s="93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4"/>
      <c r="BA313" s="94"/>
      <c r="BB313" s="94"/>
      <c r="BC313" s="94"/>
      <c r="BD313" s="94"/>
      <c r="BE313" s="94"/>
      <c r="BF313" s="94"/>
      <c r="BG313" s="94"/>
      <c r="BH313" s="93"/>
      <c r="BI313" s="93"/>
      <c r="BJ313" s="93"/>
      <c r="BK313" s="93"/>
      <c r="BL313" s="93"/>
      <c r="BM313" s="93"/>
      <c r="BN313" s="93"/>
      <c r="BO313" s="93"/>
      <c r="BP313" s="93"/>
      <c r="BQ313" s="93"/>
      <c r="BR313" s="93"/>
      <c r="BS313" s="93"/>
      <c r="BT313" s="93"/>
    </row>
    <row r="314" spans="3:72">
      <c r="C314" s="93"/>
      <c r="D314" s="93"/>
      <c r="E314" s="93"/>
      <c r="F314" s="93"/>
      <c r="G314" s="93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4"/>
      <c r="BA314" s="94"/>
      <c r="BB314" s="94"/>
      <c r="BC314" s="94"/>
      <c r="BD314" s="94"/>
      <c r="BE314" s="94"/>
      <c r="BF314" s="94"/>
      <c r="BG314" s="94"/>
      <c r="BH314" s="93"/>
      <c r="BI314" s="93"/>
      <c r="BJ314" s="93"/>
      <c r="BK314" s="93"/>
      <c r="BL314" s="93"/>
      <c r="BM314" s="93"/>
      <c r="BN314" s="93"/>
      <c r="BO314" s="93"/>
      <c r="BP314" s="93"/>
      <c r="BQ314" s="93"/>
      <c r="BR314" s="93"/>
      <c r="BS314" s="93"/>
      <c r="BT314" s="93"/>
    </row>
    <row r="315" spans="3:72">
      <c r="C315" s="93"/>
      <c r="D315" s="93"/>
      <c r="E315" s="93"/>
      <c r="F315" s="93"/>
      <c r="G315" s="93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4"/>
      <c r="BA315" s="94"/>
      <c r="BB315" s="94"/>
      <c r="BC315" s="94"/>
      <c r="BD315" s="94"/>
      <c r="BE315" s="94"/>
      <c r="BF315" s="94"/>
      <c r="BG315" s="94"/>
      <c r="BH315" s="93"/>
      <c r="BI315" s="93"/>
      <c r="BJ315" s="93"/>
      <c r="BK315" s="93"/>
      <c r="BL315" s="93"/>
      <c r="BM315" s="93"/>
      <c r="BN315" s="93"/>
      <c r="BO315" s="93"/>
      <c r="BP315" s="93"/>
      <c r="BQ315" s="93"/>
      <c r="BR315" s="93"/>
      <c r="BS315" s="93"/>
      <c r="BT315" s="93"/>
    </row>
    <row r="316" spans="3:72">
      <c r="C316" s="93"/>
      <c r="D316" s="93"/>
      <c r="E316" s="93"/>
      <c r="F316" s="93"/>
      <c r="G316" s="93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4"/>
      <c r="BA316" s="94"/>
      <c r="BB316" s="94"/>
      <c r="BC316" s="94"/>
      <c r="BD316" s="94"/>
      <c r="BE316" s="94"/>
      <c r="BF316" s="94"/>
      <c r="BG316" s="94"/>
      <c r="BH316" s="93"/>
      <c r="BI316" s="93"/>
      <c r="BJ316" s="93"/>
      <c r="BK316" s="93"/>
      <c r="BL316" s="93"/>
      <c r="BM316" s="93"/>
      <c r="BN316" s="93"/>
      <c r="BO316" s="93"/>
      <c r="BP316" s="93"/>
      <c r="BQ316" s="93"/>
      <c r="BR316" s="93"/>
      <c r="BS316" s="93"/>
      <c r="BT316" s="93"/>
    </row>
    <row r="317" spans="3:72">
      <c r="C317" s="93"/>
      <c r="D317" s="93"/>
      <c r="E317" s="93"/>
      <c r="F317" s="93"/>
      <c r="G317" s="93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/>
      <c r="AT317" s="94"/>
      <c r="AU317" s="94"/>
      <c r="AV317" s="94"/>
      <c r="AW317" s="94"/>
      <c r="AX317" s="94"/>
      <c r="AY317" s="94"/>
      <c r="AZ317" s="94"/>
      <c r="BA317" s="94"/>
      <c r="BB317" s="94"/>
      <c r="BC317" s="94"/>
      <c r="BD317" s="94"/>
      <c r="BE317" s="94"/>
      <c r="BF317" s="94"/>
      <c r="BG317" s="94"/>
      <c r="BH317" s="93"/>
      <c r="BI317" s="93"/>
      <c r="BJ317" s="93"/>
      <c r="BK317" s="93"/>
      <c r="BL317" s="93"/>
      <c r="BM317" s="93"/>
      <c r="BN317" s="93"/>
      <c r="BO317" s="93"/>
      <c r="BP317" s="93"/>
      <c r="BQ317" s="93"/>
      <c r="BR317" s="93"/>
      <c r="BS317" s="93"/>
      <c r="BT317" s="93"/>
    </row>
    <row r="318" spans="3:72">
      <c r="C318" s="93"/>
      <c r="D318" s="93"/>
      <c r="E318" s="93"/>
      <c r="F318" s="93"/>
      <c r="G318" s="93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  <c r="AS318" s="94"/>
      <c r="AT318" s="94"/>
      <c r="AU318" s="94"/>
      <c r="AV318" s="94"/>
      <c r="AW318" s="94"/>
      <c r="AX318" s="94"/>
      <c r="AY318" s="94"/>
      <c r="AZ318" s="94"/>
      <c r="BA318" s="94"/>
      <c r="BB318" s="94"/>
      <c r="BC318" s="94"/>
      <c r="BD318" s="94"/>
      <c r="BE318" s="94"/>
      <c r="BF318" s="94"/>
      <c r="BG318" s="94"/>
      <c r="BH318" s="93"/>
      <c r="BI318" s="93"/>
      <c r="BJ318" s="93"/>
      <c r="BK318" s="93"/>
      <c r="BL318" s="93"/>
      <c r="BM318" s="93"/>
      <c r="BN318" s="93"/>
      <c r="BO318" s="93"/>
      <c r="BP318" s="93"/>
      <c r="BQ318" s="93"/>
      <c r="BR318" s="93"/>
      <c r="BS318" s="93"/>
      <c r="BT318" s="93"/>
    </row>
    <row r="319" spans="3:72">
      <c r="C319" s="93"/>
      <c r="D319" s="93"/>
      <c r="E319" s="93"/>
      <c r="F319" s="93"/>
      <c r="G319" s="93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/>
      <c r="AX319" s="94"/>
      <c r="AY319" s="94"/>
      <c r="AZ319" s="94"/>
      <c r="BA319" s="94"/>
      <c r="BB319" s="94"/>
      <c r="BC319" s="94"/>
      <c r="BD319" s="94"/>
      <c r="BE319" s="94"/>
      <c r="BF319" s="94"/>
      <c r="BG319" s="94"/>
      <c r="BH319" s="93"/>
      <c r="BI319" s="93"/>
      <c r="BJ319" s="93"/>
      <c r="BK319" s="93"/>
      <c r="BL319" s="93"/>
      <c r="BM319" s="93"/>
      <c r="BN319" s="93"/>
      <c r="BO319" s="93"/>
      <c r="BP319" s="93"/>
      <c r="BQ319" s="93"/>
      <c r="BR319" s="93"/>
      <c r="BS319" s="93"/>
      <c r="BT319" s="93"/>
    </row>
    <row r="320" spans="3:72">
      <c r="C320" s="93"/>
      <c r="D320" s="93"/>
      <c r="E320" s="93"/>
      <c r="F320" s="93"/>
      <c r="G320" s="93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  <c r="AS320" s="94"/>
      <c r="AT320" s="94"/>
      <c r="AU320" s="94"/>
      <c r="AV320" s="94"/>
      <c r="AW320" s="94"/>
      <c r="AX320" s="94"/>
      <c r="AY320" s="94"/>
      <c r="AZ320" s="94"/>
      <c r="BA320" s="94"/>
      <c r="BB320" s="94"/>
      <c r="BC320" s="94"/>
      <c r="BD320" s="94"/>
      <c r="BE320" s="94"/>
      <c r="BF320" s="94"/>
      <c r="BG320" s="94"/>
      <c r="BH320" s="93"/>
      <c r="BI320" s="93"/>
      <c r="BJ320" s="93"/>
      <c r="BK320" s="93"/>
      <c r="BL320" s="93"/>
      <c r="BM320" s="93"/>
      <c r="BN320" s="93"/>
      <c r="BO320" s="93"/>
      <c r="BP320" s="93"/>
      <c r="BQ320" s="93"/>
      <c r="BR320" s="93"/>
      <c r="BS320" s="93"/>
      <c r="BT320" s="93"/>
    </row>
    <row r="321" spans="3:72">
      <c r="C321" s="93"/>
      <c r="D321" s="93"/>
      <c r="E321" s="93"/>
      <c r="F321" s="93"/>
      <c r="G321" s="93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/>
      <c r="AX321" s="94"/>
      <c r="AY321" s="94"/>
      <c r="AZ321" s="94"/>
      <c r="BA321" s="94"/>
      <c r="BB321" s="94"/>
      <c r="BC321" s="94"/>
      <c r="BD321" s="94"/>
      <c r="BE321" s="94"/>
      <c r="BF321" s="94"/>
      <c r="BG321" s="94"/>
      <c r="BH321" s="93"/>
      <c r="BI321" s="93"/>
      <c r="BJ321" s="93"/>
      <c r="BK321" s="93"/>
      <c r="BL321" s="93"/>
      <c r="BM321" s="93"/>
      <c r="BN321" s="93"/>
      <c r="BO321" s="93"/>
      <c r="BP321" s="93"/>
      <c r="BQ321" s="93"/>
      <c r="BR321" s="93"/>
      <c r="BS321" s="93"/>
      <c r="BT321" s="93"/>
    </row>
    <row r="322" spans="3:72">
      <c r="C322" s="93"/>
      <c r="D322" s="93"/>
      <c r="E322" s="93"/>
      <c r="F322" s="93"/>
      <c r="G322" s="93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  <c r="AS322" s="94"/>
      <c r="AT322" s="94"/>
      <c r="AU322" s="94"/>
      <c r="AV322" s="94"/>
      <c r="AW322" s="94"/>
      <c r="AX322" s="94"/>
      <c r="AY322" s="94"/>
      <c r="AZ322" s="94"/>
      <c r="BA322" s="94"/>
      <c r="BB322" s="94"/>
      <c r="BC322" s="94"/>
      <c r="BD322" s="94"/>
      <c r="BE322" s="94"/>
      <c r="BF322" s="94"/>
      <c r="BG322" s="94"/>
      <c r="BH322" s="93"/>
      <c r="BI322" s="93"/>
      <c r="BJ322" s="93"/>
      <c r="BK322" s="93"/>
      <c r="BL322" s="93"/>
      <c r="BM322" s="93"/>
      <c r="BN322" s="93"/>
      <c r="BO322" s="93"/>
      <c r="BP322" s="93"/>
      <c r="BQ322" s="93"/>
      <c r="BR322" s="93"/>
      <c r="BS322" s="93"/>
      <c r="BT322" s="93"/>
    </row>
    <row r="323" spans="3:72">
      <c r="C323" s="93"/>
      <c r="D323" s="93"/>
      <c r="E323" s="93"/>
      <c r="F323" s="93"/>
      <c r="G323" s="93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  <c r="AS323" s="94"/>
      <c r="AT323" s="94"/>
      <c r="AU323" s="94"/>
      <c r="AV323" s="94"/>
      <c r="AW323" s="94"/>
      <c r="AX323" s="94"/>
      <c r="AY323" s="94"/>
      <c r="AZ323" s="94"/>
      <c r="BA323" s="94"/>
      <c r="BB323" s="94"/>
      <c r="BC323" s="94"/>
      <c r="BD323" s="94"/>
      <c r="BE323" s="94"/>
      <c r="BF323" s="94"/>
      <c r="BG323" s="94"/>
      <c r="BH323" s="93"/>
      <c r="BI323" s="93"/>
      <c r="BJ323" s="93"/>
      <c r="BK323" s="93"/>
      <c r="BL323" s="93"/>
      <c r="BM323" s="93"/>
      <c r="BN323" s="93"/>
      <c r="BO323" s="93"/>
      <c r="BP323" s="93"/>
      <c r="BQ323" s="93"/>
      <c r="BR323" s="93"/>
      <c r="BS323" s="93"/>
      <c r="BT323" s="93"/>
    </row>
    <row r="324" spans="3:72">
      <c r="C324" s="93"/>
      <c r="D324" s="93"/>
      <c r="E324" s="93"/>
      <c r="F324" s="93"/>
      <c r="G324" s="93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  <c r="AS324" s="94"/>
      <c r="AT324" s="94"/>
      <c r="AU324" s="94"/>
      <c r="AV324" s="94"/>
      <c r="AW324" s="94"/>
      <c r="AX324" s="94"/>
      <c r="AY324" s="94"/>
      <c r="AZ324" s="94"/>
      <c r="BA324" s="94"/>
      <c r="BB324" s="94"/>
      <c r="BC324" s="94"/>
      <c r="BD324" s="94"/>
      <c r="BE324" s="94"/>
      <c r="BF324" s="94"/>
      <c r="BG324" s="94"/>
      <c r="BH324" s="93"/>
      <c r="BI324" s="93"/>
      <c r="BJ324" s="93"/>
      <c r="BK324" s="93"/>
      <c r="BL324" s="93"/>
      <c r="BM324" s="93"/>
      <c r="BN324" s="93"/>
      <c r="BO324" s="93"/>
      <c r="BP324" s="93"/>
      <c r="BQ324" s="93"/>
      <c r="BR324" s="93"/>
      <c r="BS324" s="93"/>
      <c r="BT324" s="93"/>
    </row>
    <row r="325" spans="3:72">
      <c r="C325" s="93"/>
      <c r="D325" s="93"/>
      <c r="E325" s="93"/>
      <c r="F325" s="93"/>
      <c r="G325" s="93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/>
      <c r="AT325" s="94"/>
      <c r="AU325" s="94"/>
      <c r="AV325" s="94"/>
      <c r="AW325" s="94"/>
      <c r="AX325" s="94"/>
      <c r="AY325" s="94"/>
      <c r="AZ325" s="94"/>
      <c r="BA325" s="94"/>
      <c r="BB325" s="94"/>
      <c r="BC325" s="94"/>
      <c r="BD325" s="94"/>
      <c r="BE325" s="94"/>
      <c r="BF325" s="94"/>
      <c r="BG325" s="94"/>
      <c r="BH325" s="93"/>
      <c r="BI325" s="93"/>
      <c r="BJ325" s="93"/>
      <c r="BK325" s="93"/>
      <c r="BL325" s="93"/>
      <c r="BM325" s="93"/>
      <c r="BN325" s="93"/>
      <c r="BO325" s="93"/>
      <c r="BP325" s="93"/>
      <c r="BQ325" s="93"/>
      <c r="BR325" s="93"/>
      <c r="BS325" s="93"/>
      <c r="BT325" s="93"/>
    </row>
    <row r="326" spans="3:72">
      <c r="C326" s="93"/>
      <c r="D326" s="93"/>
      <c r="E326" s="93"/>
      <c r="F326" s="93"/>
      <c r="G326" s="93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  <c r="AS326" s="94"/>
      <c r="AT326" s="94"/>
      <c r="AU326" s="94"/>
      <c r="AV326" s="94"/>
      <c r="AW326" s="94"/>
      <c r="AX326" s="94"/>
      <c r="AY326" s="94"/>
      <c r="AZ326" s="94"/>
      <c r="BA326" s="94"/>
      <c r="BB326" s="94"/>
      <c r="BC326" s="94"/>
      <c r="BD326" s="94"/>
      <c r="BE326" s="94"/>
      <c r="BF326" s="94"/>
      <c r="BG326" s="94"/>
      <c r="BH326" s="93"/>
      <c r="BI326" s="93"/>
      <c r="BJ326" s="93"/>
      <c r="BK326" s="93"/>
      <c r="BL326" s="93"/>
      <c r="BM326" s="93"/>
      <c r="BN326" s="93"/>
      <c r="BO326" s="93"/>
      <c r="BP326" s="93"/>
      <c r="BQ326" s="93"/>
      <c r="BR326" s="93"/>
      <c r="BS326" s="93"/>
      <c r="BT326" s="93"/>
    </row>
    <row r="327" spans="3:72">
      <c r="C327" s="93"/>
      <c r="D327" s="93"/>
      <c r="E327" s="93"/>
      <c r="F327" s="93"/>
      <c r="G327" s="93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/>
      <c r="AX327" s="94"/>
      <c r="AY327" s="94"/>
      <c r="AZ327" s="94"/>
      <c r="BA327" s="94"/>
      <c r="BB327" s="94"/>
      <c r="BC327" s="94"/>
      <c r="BD327" s="94"/>
      <c r="BE327" s="94"/>
      <c r="BF327" s="94"/>
      <c r="BG327" s="94"/>
      <c r="BH327" s="93"/>
      <c r="BI327" s="93"/>
      <c r="BJ327" s="93"/>
      <c r="BK327" s="93"/>
      <c r="BL327" s="93"/>
      <c r="BM327" s="93"/>
      <c r="BN327" s="93"/>
      <c r="BO327" s="93"/>
      <c r="BP327" s="93"/>
      <c r="BQ327" s="93"/>
      <c r="BR327" s="93"/>
      <c r="BS327" s="93"/>
      <c r="BT327" s="93"/>
    </row>
    <row r="328" spans="3:72">
      <c r="C328" s="93"/>
      <c r="D328" s="93"/>
      <c r="E328" s="93"/>
      <c r="F328" s="93"/>
      <c r="G328" s="93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  <c r="AS328" s="94"/>
      <c r="AT328" s="94"/>
      <c r="AU328" s="94"/>
      <c r="AV328" s="94"/>
      <c r="AW328" s="94"/>
      <c r="AX328" s="94"/>
      <c r="AY328" s="94"/>
      <c r="AZ328" s="94"/>
      <c r="BA328" s="94"/>
      <c r="BB328" s="94"/>
      <c r="BC328" s="94"/>
      <c r="BD328" s="94"/>
      <c r="BE328" s="94"/>
      <c r="BF328" s="94"/>
      <c r="BG328" s="94"/>
      <c r="BH328" s="93"/>
      <c r="BI328" s="93"/>
      <c r="BJ328" s="93"/>
      <c r="BK328" s="93"/>
      <c r="BL328" s="93"/>
      <c r="BM328" s="93"/>
      <c r="BN328" s="93"/>
      <c r="BO328" s="93"/>
      <c r="BP328" s="93"/>
      <c r="BQ328" s="93"/>
      <c r="BR328" s="93"/>
      <c r="BS328" s="93"/>
      <c r="BT328" s="93"/>
    </row>
    <row r="329" spans="3:72">
      <c r="C329" s="93"/>
      <c r="D329" s="93"/>
      <c r="E329" s="93"/>
      <c r="F329" s="93"/>
      <c r="G329" s="93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/>
      <c r="AT329" s="94"/>
      <c r="AU329" s="94"/>
      <c r="AV329" s="94"/>
      <c r="AW329" s="94"/>
      <c r="AX329" s="94"/>
      <c r="AY329" s="94"/>
      <c r="AZ329" s="94"/>
      <c r="BA329" s="94"/>
      <c r="BB329" s="94"/>
      <c r="BC329" s="94"/>
      <c r="BD329" s="94"/>
      <c r="BE329" s="94"/>
      <c r="BF329" s="94"/>
      <c r="BG329" s="94"/>
      <c r="BH329" s="93"/>
      <c r="BI329" s="93"/>
      <c r="BJ329" s="93"/>
      <c r="BK329" s="93"/>
      <c r="BL329" s="93"/>
      <c r="BM329" s="93"/>
      <c r="BN329" s="93"/>
      <c r="BO329" s="93"/>
      <c r="BP329" s="93"/>
      <c r="BQ329" s="93"/>
      <c r="BR329" s="93"/>
      <c r="BS329" s="93"/>
      <c r="BT329" s="93"/>
    </row>
    <row r="330" spans="3:72">
      <c r="C330" s="93"/>
      <c r="D330" s="93"/>
      <c r="E330" s="93"/>
      <c r="F330" s="93"/>
      <c r="G330" s="93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  <c r="AS330" s="94"/>
      <c r="AT330" s="94"/>
      <c r="AU330" s="94"/>
      <c r="AV330" s="94"/>
      <c r="AW330" s="94"/>
      <c r="AX330" s="94"/>
      <c r="AY330" s="94"/>
      <c r="AZ330" s="94"/>
      <c r="BA330" s="94"/>
      <c r="BB330" s="94"/>
      <c r="BC330" s="94"/>
      <c r="BD330" s="94"/>
      <c r="BE330" s="94"/>
      <c r="BF330" s="94"/>
      <c r="BG330" s="94"/>
      <c r="BH330" s="93"/>
      <c r="BI330" s="93"/>
      <c r="BJ330" s="93"/>
      <c r="BK330" s="93"/>
      <c r="BL330" s="93"/>
      <c r="BM330" s="93"/>
      <c r="BN330" s="93"/>
      <c r="BO330" s="93"/>
      <c r="BP330" s="93"/>
      <c r="BQ330" s="93"/>
      <c r="BR330" s="93"/>
      <c r="BS330" s="93"/>
      <c r="BT330" s="93"/>
    </row>
    <row r="331" spans="3:72">
      <c r="C331" s="93"/>
      <c r="D331" s="93"/>
      <c r="E331" s="93"/>
      <c r="F331" s="93"/>
      <c r="G331" s="93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/>
      <c r="AT331" s="94"/>
      <c r="AU331" s="94"/>
      <c r="AV331" s="94"/>
      <c r="AW331" s="94"/>
      <c r="AX331" s="94"/>
      <c r="AY331" s="94"/>
      <c r="AZ331" s="94"/>
      <c r="BA331" s="94"/>
      <c r="BB331" s="94"/>
      <c r="BC331" s="94"/>
      <c r="BD331" s="94"/>
      <c r="BE331" s="94"/>
      <c r="BF331" s="94"/>
      <c r="BG331" s="94"/>
      <c r="BH331" s="93"/>
      <c r="BI331" s="93"/>
      <c r="BJ331" s="93"/>
      <c r="BK331" s="93"/>
      <c r="BL331" s="93"/>
      <c r="BM331" s="93"/>
      <c r="BN331" s="93"/>
      <c r="BO331" s="93"/>
      <c r="BP331" s="93"/>
      <c r="BQ331" s="93"/>
      <c r="BR331" s="93"/>
      <c r="BS331" s="93"/>
      <c r="BT331" s="93"/>
    </row>
    <row r="332" spans="3:72">
      <c r="C332" s="93"/>
      <c r="D332" s="93"/>
      <c r="E332" s="93"/>
      <c r="F332" s="93"/>
      <c r="G332" s="93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  <c r="AS332" s="94"/>
      <c r="AT332" s="94"/>
      <c r="AU332" s="94"/>
      <c r="AV332" s="94"/>
      <c r="AW332" s="94"/>
      <c r="AX332" s="94"/>
      <c r="AY332" s="94"/>
      <c r="AZ332" s="94"/>
      <c r="BA332" s="94"/>
      <c r="BB332" s="94"/>
      <c r="BC332" s="94"/>
      <c r="BD332" s="94"/>
      <c r="BE332" s="94"/>
      <c r="BF332" s="94"/>
      <c r="BG332" s="94"/>
      <c r="BH332" s="93"/>
      <c r="BI332" s="93"/>
      <c r="BJ332" s="93"/>
      <c r="BK332" s="93"/>
      <c r="BL332" s="93"/>
      <c r="BM332" s="93"/>
      <c r="BN332" s="93"/>
      <c r="BO332" s="93"/>
      <c r="BP332" s="93"/>
      <c r="BQ332" s="93"/>
      <c r="BR332" s="93"/>
      <c r="BS332" s="93"/>
      <c r="BT332" s="93"/>
    </row>
    <row r="333" spans="3:72">
      <c r="C333" s="93"/>
      <c r="D333" s="93"/>
      <c r="E333" s="93"/>
      <c r="F333" s="93"/>
      <c r="G333" s="93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/>
      <c r="AX333" s="94"/>
      <c r="AY333" s="94"/>
      <c r="AZ333" s="94"/>
      <c r="BA333" s="94"/>
      <c r="BB333" s="94"/>
      <c r="BC333" s="94"/>
      <c r="BD333" s="94"/>
      <c r="BE333" s="94"/>
      <c r="BF333" s="94"/>
      <c r="BG333" s="94"/>
      <c r="BH333" s="93"/>
      <c r="BI333" s="93"/>
      <c r="BJ333" s="93"/>
      <c r="BK333" s="93"/>
      <c r="BL333" s="93"/>
      <c r="BM333" s="93"/>
      <c r="BN333" s="93"/>
      <c r="BO333" s="93"/>
      <c r="BP333" s="93"/>
      <c r="BQ333" s="93"/>
      <c r="BR333" s="93"/>
      <c r="BS333" s="93"/>
      <c r="BT333" s="93"/>
    </row>
    <row r="334" spans="3:72">
      <c r="C334" s="93"/>
      <c r="D334" s="93"/>
      <c r="E334" s="93"/>
      <c r="F334" s="93"/>
      <c r="G334" s="93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4"/>
      <c r="BA334" s="94"/>
      <c r="BB334" s="94"/>
      <c r="BC334" s="94"/>
      <c r="BD334" s="94"/>
      <c r="BE334" s="94"/>
      <c r="BF334" s="94"/>
      <c r="BG334" s="94"/>
      <c r="BH334" s="93"/>
      <c r="BI334" s="93"/>
      <c r="BJ334" s="93"/>
      <c r="BK334" s="93"/>
      <c r="BL334" s="93"/>
      <c r="BM334" s="93"/>
      <c r="BN334" s="93"/>
      <c r="BO334" s="93"/>
      <c r="BP334" s="93"/>
      <c r="BQ334" s="93"/>
      <c r="BR334" s="93"/>
      <c r="BS334" s="93"/>
      <c r="BT334" s="93"/>
    </row>
    <row r="335" spans="3:72">
      <c r="C335" s="93"/>
      <c r="D335" s="93"/>
      <c r="E335" s="93"/>
      <c r="F335" s="93"/>
      <c r="G335" s="93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4"/>
      <c r="AZ335" s="94"/>
      <c r="BA335" s="94"/>
      <c r="BB335" s="94"/>
      <c r="BC335" s="94"/>
      <c r="BD335" s="94"/>
      <c r="BE335" s="94"/>
      <c r="BF335" s="94"/>
      <c r="BG335" s="94"/>
      <c r="BH335" s="93"/>
      <c r="BI335" s="93"/>
      <c r="BJ335" s="93"/>
      <c r="BK335" s="93"/>
      <c r="BL335" s="93"/>
      <c r="BM335" s="93"/>
      <c r="BN335" s="93"/>
      <c r="BO335" s="93"/>
      <c r="BP335" s="93"/>
      <c r="BQ335" s="93"/>
      <c r="BR335" s="93"/>
      <c r="BS335" s="93"/>
      <c r="BT335" s="93"/>
    </row>
    <row r="336" spans="3:72">
      <c r="C336" s="93"/>
      <c r="D336" s="93"/>
      <c r="E336" s="93"/>
      <c r="F336" s="93"/>
      <c r="G336" s="93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4"/>
      <c r="AZ336" s="94"/>
      <c r="BA336" s="94"/>
      <c r="BB336" s="94"/>
      <c r="BC336" s="94"/>
      <c r="BD336" s="94"/>
      <c r="BE336" s="94"/>
      <c r="BF336" s="94"/>
      <c r="BG336" s="94"/>
      <c r="BH336" s="93"/>
      <c r="BI336" s="93"/>
      <c r="BJ336" s="93"/>
      <c r="BK336" s="93"/>
      <c r="BL336" s="93"/>
      <c r="BM336" s="93"/>
      <c r="BN336" s="93"/>
      <c r="BO336" s="93"/>
      <c r="BP336" s="93"/>
      <c r="BQ336" s="93"/>
      <c r="BR336" s="93"/>
      <c r="BS336" s="93"/>
      <c r="BT336" s="93"/>
    </row>
    <row r="337" spans="3:72">
      <c r="C337" s="93"/>
      <c r="D337" s="93"/>
      <c r="E337" s="93"/>
      <c r="F337" s="93"/>
      <c r="G337" s="93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4"/>
      <c r="AZ337" s="94"/>
      <c r="BA337" s="94"/>
      <c r="BB337" s="94"/>
      <c r="BC337" s="94"/>
      <c r="BD337" s="94"/>
      <c r="BE337" s="94"/>
      <c r="BF337" s="94"/>
      <c r="BG337" s="94"/>
      <c r="BH337" s="93"/>
      <c r="BI337" s="93"/>
      <c r="BJ337" s="93"/>
      <c r="BK337" s="93"/>
      <c r="BL337" s="93"/>
      <c r="BM337" s="93"/>
      <c r="BN337" s="93"/>
      <c r="BO337" s="93"/>
      <c r="BP337" s="93"/>
      <c r="BQ337" s="93"/>
      <c r="BR337" s="93"/>
      <c r="BS337" s="93"/>
      <c r="BT337" s="93"/>
    </row>
    <row r="338" spans="3:72">
      <c r="C338" s="93"/>
      <c r="D338" s="93"/>
      <c r="E338" s="93"/>
      <c r="F338" s="93"/>
      <c r="G338" s="93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4"/>
      <c r="AZ338" s="94"/>
      <c r="BA338" s="94"/>
      <c r="BB338" s="94"/>
      <c r="BC338" s="94"/>
      <c r="BD338" s="94"/>
      <c r="BE338" s="94"/>
      <c r="BF338" s="94"/>
      <c r="BG338" s="94"/>
      <c r="BH338" s="93"/>
      <c r="BI338" s="93"/>
      <c r="BJ338" s="93"/>
      <c r="BK338" s="93"/>
      <c r="BL338" s="93"/>
      <c r="BM338" s="93"/>
      <c r="BN338" s="93"/>
      <c r="BO338" s="93"/>
      <c r="BP338" s="93"/>
      <c r="BQ338" s="93"/>
      <c r="BR338" s="93"/>
      <c r="BS338" s="93"/>
      <c r="BT338" s="93"/>
    </row>
    <row r="339" spans="3:72">
      <c r="C339" s="93"/>
      <c r="D339" s="93"/>
      <c r="E339" s="93"/>
      <c r="F339" s="93"/>
      <c r="G339" s="93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4"/>
      <c r="AZ339" s="94"/>
      <c r="BA339" s="94"/>
      <c r="BB339" s="94"/>
      <c r="BC339" s="94"/>
      <c r="BD339" s="94"/>
      <c r="BE339" s="94"/>
      <c r="BF339" s="94"/>
      <c r="BG339" s="94"/>
      <c r="BH339" s="93"/>
      <c r="BI339" s="93"/>
      <c r="BJ339" s="93"/>
      <c r="BK339" s="93"/>
      <c r="BL339" s="93"/>
      <c r="BM339" s="93"/>
      <c r="BN339" s="93"/>
      <c r="BO339" s="93"/>
      <c r="BP339" s="93"/>
      <c r="BQ339" s="93"/>
      <c r="BR339" s="93"/>
      <c r="BS339" s="93"/>
      <c r="BT339" s="93"/>
    </row>
    <row r="340" spans="3:72">
      <c r="C340" s="93"/>
      <c r="D340" s="93"/>
      <c r="E340" s="93"/>
      <c r="F340" s="93"/>
      <c r="G340" s="93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  <c r="AS340" s="94"/>
      <c r="AT340" s="94"/>
      <c r="AU340" s="94"/>
      <c r="AV340" s="94"/>
      <c r="AW340" s="94"/>
      <c r="AX340" s="94"/>
      <c r="AY340" s="94"/>
      <c r="AZ340" s="94"/>
      <c r="BA340" s="94"/>
      <c r="BB340" s="94"/>
      <c r="BC340" s="94"/>
      <c r="BD340" s="94"/>
      <c r="BE340" s="94"/>
      <c r="BF340" s="94"/>
      <c r="BG340" s="94"/>
      <c r="BH340" s="93"/>
      <c r="BI340" s="93"/>
      <c r="BJ340" s="93"/>
      <c r="BK340" s="93"/>
      <c r="BL340" s="93"/>
      <c r="BM340" s="93"/>
      <c r="BN340" s="93"/>
      <c r="BO340" s="93"/>
      <c r="BP340" s="93"/>
      <c r="BQ340" s="93"/>
      <c r="BR340" s="93"/>
      <c r="BS340" s="93"/>
      <c r="BT340" s="93"/>
    </row>
    <row r="341" spans="3:72">
      <c r="C341" s="93"/>
      <c r="D341" s="93"/>
      <c r="E341" s="93"/>
      <c r="F341" s="93"/>
      <c r="G341" s="93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/>
      <c r="AT341" s="94"/>
      <c r="AU341" s="94"/>
      <c r="AV341" s="94"/>
      <c r="AW341" s="94"/>
      <c r="AX341" s="94"/>
      <c r="AY341" s="94"/>
      <c r="AZ341" s="94"/>
      <c r="BA341" s="94"/>
      <c r="BB341" s="94"/>
      <c r="BC341" s="94"/>
      <c r="BD341" s="94"/>
      <c r="BE341" s="94"/>
      <c r="BF341" s="94"/>
      <c r="BG341" s="94"/>
      <c r="BH341" s="93"/>
      <c r="BI341" s="93"/>
      <c r="BJ341" s="93"/>
      <c r="BK341" s="93"/>
      <c r="BL341" s="93"/>
      <c r="BM341" s="93"/>
      <c r="BN341" s="93"/>
      <c r="BO341" s="93"/>
      <c r="BP341" s="93"/>
      <c r="BQ341" s="93"/>
      <c r="BR341" s="93"/>
      <c r="BS341" s="93"/>
      <c r="BT341" s="93"/>
    </row>
    <row r="342" spans="3:72">
      <c r="C342" s="93"/>
      <c r="D342" s="93"/>
      <c r="E342" s="93"/>
      <c r="F342" s="93"/>
      <c r="G342" s="93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  <c r="AS342" s="94"/>
      <c r="AT342" s="94"/>
      <c r="AU342" s="94"/>
      <c r="AV342" s="94"/>
      <c r="AW342" s="94"/>
      <c r="AX342" s="94"/>
      <c r="AY342" s="94"/>
      <c r="AZ342" s="94"/>
      <c r="BA342" s="94"/>
      <c r="BB342" s="94"/>
      <c r="BC342" s="94"/>
      <c r="BD342" s="94"/>
      <c r="BE342" s="94"/>
      <c r="BF342" s="94"/>
      <c r="BG342" s="94"/>
      <c r="BH342" s="93"/>
      <c r="BI342" s="93"/>
      <c r="BJ342" s="93"/>
      <c r="BK342" s="93"/>
      <c r="BL342" s="93"/>
      <c r="BM342" s="93"/>
      <c r="BN342" s="93"/>
      <c r="BO342" s="93"/>
      <c r="BP342" s="93"/>
      <c r="BQ342" s="93"/>
      <c r="BR342" s="93"/>
      <c r="BS342" s="93"/>
      <c r="BT342" s="93"/>
    </row>
    <row r="343" spans="3:72">
      <c r="C343" s="93"/>
      <c r="D343" s="93"/>
      <c r="E343" s="93"/>
      <c r="F343" s="93"/>
      <c r="G343" s="93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/>
      <c r="AT343" s="94"/>
      <c r="AU343" s="94"/>
      <c r="AV343" s="94"/>
      <c r="AW343" s="94"/>
      <c r="AX343" s="94"/>
      <c r="AY343" s="94"/>
      <c r="AZ343" s="94"/>
      <c r="BA343" s="94"/>
      <c r="BB343" s="94"/>
      <c r="BC343" s="94"/>
      <c r="BD343" s="94"/>
      <c r="BE343" s="94"/>
      <c r="BF343" s="94"/>
      <c r="BG343" s="94"/>
      <c r="BH343" s="93"/>
      <c r="BI343" s="93"/>
      <c r="BJ343" s="93"/>
      <c r="BK343" s="93"/>
      <c r="BL343" s="93"/>
      <c r="BM343" s="93"/>
      <c r="BN343" s="93"/>
      <c r="BO343" s="93"/>
      <c r="BP343" s="93"/>
      <c r="BQ343" s="93"/>
      <c r="BR343" s="93"/>
      <c r="BS343" s="93"/>
      <c r="BT343" s="93"/>
    </row>
    <row r="344" spans="3:72">
      <c r="C344" s="93"/>
      <c r="D344" s="93"/>
      <c r="E344" s="93"/>
      <c r="F344" s="93"/>
      <c r="G344" s="93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  <c r="AS344" s="94"/>
      <c r="AT344" s="94"/>
      <c r="AU344" s="94"/>
      <c r="AV344" s="94"/>
      <c r="AW344" s="94"/>
      <c r="AX344" s="94"/>
      <c r="AY344" s="94"/>
      <c r="AZ344" s="94"/>
      <c r="BA344" s="94"/>
      <c r="BB344" s="94"/>
      <c r="BC344" s="94"/>
      <c r="BD344" s="94"/>
      <c r="BE344" s="94"/>
      <c r="BF344" s="94"/>
      <c r="BG344" s="94"/>
      <c r="BH344" s="93"/>
      <c r="BI344" s="93"/>
      <c r="BJ344" s="93"/>
      <c r="BK344" s="93"/>
      <c r="BL344" s="93"/>
      <c r="BM344" s="93"/>
      <c r="BN344" s="93"/>
      <c r="BO344" s="93"/>
      <c r="BP344" s="93"/>
      <c r="BQ344" s="93"/>
      <c r="BR344" s="93"/>
      <c r="BS344" s="93"/>
      <c r="BT344" s="93"/>
    </row>
    <row r="345" spans="3:72">
      <c r="C345" s="93"/>
      <c r="D345" s="93"/>
      <c r="E345" s="93"/>
      <c r="F345" s="93"/>
      <c r="G345" s="93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/>
      <c r="AY345" s="94"/>
      <c r="AZ345" s="94"/>
      <c r="BA345" s="94"/>
      <c r="BB345" s="94"/>
      <c r="BC345" s="94"/>
      <c r="BD345" s="94"/>
      <c r="BE345" s="94"/>
      <c r="BF345" s="94"/>
      <c r="BG345" s="94"/>
      <c r="BH345" s="93"/>
      <c r="BI345" s="93"/>
      <c r="BJ345" s="93"/>
      <c r="BK345" s="93"/>
      <c r="BL345" s="93"/>
      <c r="BM345" s="93"/>
      <c r="BN345" s="93"/>
      <c r="BO345" s="93"/>
      <c r="BP345" s="93"/>
      <c r="BQ345" s="93"/>
      <c r="BR345" s="93"/>
      <c r="BS345" s="93"/>
      <c r="BT345" s="93"/>
    </row>
    <row r="346" spans="3:72">
      <c r="C346" s="93"/>
      <c r="D346" s="93"/>
      <c r="E346" s="93"/>
      <c r="F346" s="93"/>
      <c r="G346" s="93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  <c r="AS346" s="94"/>
      <c r="AT346" s="94"/>
      <c r="AU346" s="94"/>
      <c r="AV346" s="94"/>
      <c r="AW346" s="94"/>
      <c r="AX346" s="94"/>
      <c r="AY346" s="94"/>
      <c r="AZ346" s="94"/>
      <c r="BA346" s="94"/>
      <c r="BB346" s="94"/>
      <c r="BC346" s="94"/>
      <c r="BD346" s="94"/>
      <c r="BE346" s="94"/>
      <c r="BF346" s="94"/>
      <c r="BG346" s="94"/>
      <c r="BH346" s="93"/>
      <c r="BI346" s="93"/>
      <c r="BJ346" s="93"/>
      <c r="BK346" s="93"/>
      <c r="BL346" s="93"/>
      <c r="BM346" s="93"/>
      <c r="BN346" s="93"/>
      <c r="BO346" s="93"/>
      <c r="BP346" s="93"/>
      <c r="BQ346" s="93"/>
      <c r="BR346" s="93"/>
      <c r="BS346" s="93"/>
      <c r="BT346" s="93"/>
    </row>
    <row r="347" spans="3:72">
      <c r="C347" s="93"/>
      <c r="D347" s="93"/>
      <c r="E347" s="93"/>
      <c r="F347" s="93"/>
      <c r="G347" s="93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/>
      <c r="AX347" s="94"/>
      <c r="AY347" s="94"/>
      <c r="AZ347" s="94"/>
      <c r="BA347" s="94"/>
      <c r="BB347" s="94"/>
      <c r="BC347" s="94"/>
      <c r="BD347" s="94"/>
      <c r="BE347" s="94"/>
      <c r="BF347" s="94"/>
      <c r="BG347" s="94"/>
      <c r="BH347" s="93"/>
      <c r="BI347" s="93"/>
      <c r="BJ347" s="93"/>
      <c r="BK347" s="93"/>
      <c r="BL347" s="93"/>
      <c r="BM347" s="93"/>
      <c r="BN347" s="93"/>
      <c r="BO347" s="93"/>
      <c r="BP347" s="93"/>
      <c r="BQ347" s="93"/>
      <c r="BR347" s="93"/>
      <c r="BS347" s="93"/>
      <c r="BT347" s="93"/>
    </row>
    <row r="348" spans="3:72">
      <c r="C348" s="93"/>
      <c r="D348" s="93"/>
      <c r="E348" s="93"/>
      <c r="F348" s="93"/>
      <c r="G348" s="93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94"/>
      <c r="AX348" s="94"/>
      <c r="AY348" s="94"/>
      <c r="AZ348" s="94"/>
      <c r="BA348" s="94"/>
      <c r="BB348" s="94"/>
      <c r="BC348" s="94"/>
      <c r="BD348" s="94"/>
      <c r="BE348" s="94"/>
      <c r="BF348" s="94"/>
      <c r="BG348" s="94"/>
      <c r="BH348" s="93"/>
      <c r="BI348" s="93"/>
      <c r="BJ348" s="93"/>
      <c r="BK348" s="93"/>
      <c r="BL348" s="93"/>
      <c r="BM348" s="93"/>
      <c r="BN348" s="93"/>
      <c r="BO348" s="93"/>
      <c r="BP348" s="93"/>
      <c r="BQ348" s="93"/>
      <c r="BR348" s="93"/>
      <c r="BS348" s="93"/>
      <c r="BT348" s="93"/>
    </row>
    <row r="349" spans="3:72">
      <c r="C349" s="93"/>
      <c r="D349" s="93"/>
      <c r="E349" s="93"/>
      <c r="F349" s="93"/>
      <c r="G349" s="93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/>
      <c r="AX349" s="94"/>
      <c r="AY349" s="94"/>
      <c r="AZ349" s="94"/>
      <c r="BA349" s="94"/>
      <c r="BB349" s="94"/>
      <c r="BC349" s="94"/>
      <c r="BD349" s="94"/>
      <c r="BE349" s="94"/>
      <c r="BF349" s="94"/>
      <c r="BG349" s="94"/>
      <c r="BH349" s="93"/>
      <c r="BI349" s="93"/>
      <c r="BJ349" s="93"/>
      <c r="BK349" s="93"/>
      <c r="BL349" s="93"/>
      <c r="BM349" s="93"/>
      <c r="BN349" s="93"/>
      <c r="BO349" s="93"/>
      <c r="BP349" s="93"/>
      <c r="BQ349" s="93"/>
      <c r="BR349" s="93"/>
      <c r="BS349" s="93"/>
      <c r="BT349" s="93"/>
    </row>
    <row r="350" spans="3:72">
      <c r="C350" s="93"/>
      <c r="D350" s="93"/>
      <c r="E350" s="93"/>
      <c r="F350" s="93"/>
      <c r="G350" s="93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4"/>
      <c r="AZ350" s="94"/>
      <c r="BA350" s="94"/>
      <c r="BB350" s="94"/>
      <c r="BC350" s="94"/>
      <c r="BD350" s="94"/>
      <c r="BE350" s="94"/>
      <c r="BF350" s="94"/>
      <c r="BG350" s="94"/>
      <c r="BH350" s="93"/>
      <c r="BI350" s="93"/>
      <c r="BJ350" s="93"/>
      <c r="BK350" s="93"/>
      <c r="BL350" s="93"/>
      <c r="BM350" s="93"/>
      <c r="BN350" s="93"/>
      <c r="BO350" s="93"/>
      <c r="BP350" s="93"/>
      <c r="BQ350" s="93"/>
      <c r="BR350" s="93"/>
      <c r="BS350" s="93"/>
      <c r="BT350" s="93"/>
    </row>
    <row r="351" spans="3:72">
      <c r="C351" s="93"/>
      <c r="D351" s="93"/>
      <c r="E351" s="93"/>
      <c r="F351" s="93"/>
      <c r="G351" s="93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4"/>
      <c r="BA351" s="94"/>
      <c r="BB351" s="94"/>
      <c r="BC351" s="94"/>
      <c r="BD351" s="94"/>
      <c r="BE351" s="94"/>
      <c r="BF351" s="94"/>
      <c r="BG351" s="94"/>
      <c r="BH351" s="93"/>
      <c r="BI351" s="93"/>
      <c r="BJ351" s="93"/>
      <c r="BK351" s="93"/>
      <c r="BL351" s="93"/>
      <c r="BM351" s="93"/>
      <c r="BN351" s="93"/>
      <c r="BO351" s="93"/>
      <c r="BP351" s="93"/>
      <c r="BQ351" s="93"/>
      <c r="BR351" s="93"/>
      <c r="BS351" s="93"/>
      <c r="BT351" s="93"/>
    </row>
    <row r="352" spans="3:72">
      <c r="C352" s="93"/>
      <c r="D352" s="93"/>
      <c r="E352" s="93"/>
      <c r="F352" s="93"/>
      <c r="G352" s="93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4"/>
      <c r="AZ352" s="94"/>
      <c r="BA352" s="94"/>
      <c r="BB352" s="94"/>
      <c r="BC352" s="94"/>
      <c r="BD352" s="94"/>
      <c r="BE352" s="94"/>
      <c r="BF352" s="94"/>
      <c r="BG352" s="94"/>
      <c r="BH352" s="93"/>
      <c r="BI352" s="93"/>
      <c r="BJ352" s="93"/>
      <c r="BK352" s="93"/>
      <c r="BL352" s="93"/>
      <c r="BM352" s="93"/>
      <c r="BN352" s="93"/>
      <c r="BO352" s="93"/>
      <c r="BP352" s="93"/>
      <c r="BQ352" s="93"/>
      <c r="BR352" s="93"/>
      <c r="BS352" s="93"/>
      <c r="BT352" s="93"/>
    </row>
    <row r="353" spans="3:72">
      <c r="C353" s="93"/>
      <c r="D353" s="93"/>
      <c r="E353" s="93"/>
      <c r="F353" s="93"/>
      <c r="G353" s="93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4"/>
      <c r="BA353" s="94"/>
      <c r="BB353" s="94"/>
      <c r="BC353" s="94"/>
      <c r="BD353" s="94"/>
      <c r="BE353" s="94"/>
      <c r="BF353" s="94"/>
      <c r="BG353" s="94"/>
      <c r="BH353" s="93"/>
      <c r="BI353" s="93"/>
      <c r="BJ353" s="93"/>
      <c r="BK353" s="93"/>
      <c r="BL353" s="93"/>
      <c r="BM353" s="93"/>
      <c r="BN353" s="93"/>
      <c r="BO353" s="93"/>
      <c r="BP353" s="93"/>
      <c r="BQ353" s="93"/>
      <c r="BR353" s="93"/>
      <c r="BS353" s="93"/>
      <c r="BT353" s="93"/>
    </row>
    <row r="354" spans="3:72">
      <c r="C354" s="93"/>
      <c r="D354" s="93"/>
      <c r="E354" s="93"/>
      <c r="F354" s="93"/>
      <c r="G354" s="93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4"/>
      <c r="AZ354" s="94"/>
      <c r="BA354" s="94"/>
      <c r="BB354" s="94"/>
      <c r="BC354" s="94"/>
      <c r="BD354" s="94"/>
      <c r="BE354" s="94"/>
      <c r="BF354" s="94"/>
      <c r="BG354" s="94"/>
      <c r="BH354" s="93"/>
      <c r="BI354" s="93"/>
      <c r="BJ354" s="93"/>
      <c r="BK354" s="93"/>
      <c r="BL354" s="93"/>
      <c r="BM354" s="93"/>
      <c r="BN354" s="93"/>
      <c r="BO354" s="93"/>
      <c r="BP354" s="93"/>
      <c r="BQ354" s="93"/>
      <c r="BR354" s="93"/>
      <c r="BS354" s="93"/>
      <c r="BT354" s="93"/>
    </row>
    <row r="355" spans="3:72">
      <c r="C355" s="93"/>
      <c r="D355" s="93"/>
      <c r="E355" s="93"/>
      <c r="F355" s="93"/>
      <c r="G355" s="93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4"/>
      <c r="BE355" s="94"/>
      <c r="BF355" s="94"/>
      <c r="BG355" s="94"/>
      <c r="BH355" s="93"/>
      <c r="BI355" s="93"/>
      <c r="BJ355" s="93"/>
      <c r="BK355" s="93"/>
      <c r="BL355" s="93"/>
      <c r="BM355" s="93"/>
      <c r="BN355" s="93"/>
      <c r="BO355" s="93"/>
      <c r="BP355" s="93"/>
      <c r="BQ355" s="93"/>
      <c r="BR355" s="93"/>
      <c r="BS355" s="93"/>
      <c r="BT355" s="93"/>
    </row>
    <row r="356" spans="3:72">
      <c r="C356" s="93"/>
      <c r="D356" s="93"/>
      <c r="E356" s="93"/>
      <c r="F356" s="93"/>
      <c r="G356" s="93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4"/>
      <c r="AZ356" s="94"/>
      <c r="BA356" s="94"/>
      <c r="BB356" s="94"/>
      <c r="BC356" s="94"/>
      <c r="BD356" s="94"/>
      <c r="BE356" s="94"/>
      <c r="BF356" s="94"/>
      <c r="BG356" s="94"/>
      <c r="BH356" s="93"/>
      <c r="BI356" s="93"/>
      <c r="BJ356" s="93"/>
      <c r="BK356" s="93"/>
      <c r="BL356" s="93"/>
      <c r="BM356" s="93"/>
      <c r="BN356" s="93"/>
      <c r="BO356" s="93"/>
      <c r="BP356" s="93"/>
      <c r="BQ356" s="93"/>
      <c r="BR356" s="93"/>
      <c r="BS356" s="93"/>
      <c r="BT356" s="93"/>
    </row>
    <row r="357" spans="3:72">
      <c r="C357" s="93"/>
      <c r="D357" s="93"/>
      <c r="E357" s="93"/>
      <c r="F357" s="93"/>
      <c r="G357" s="93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4"/>
      <c r="BA357" s="94"/>
      <c r="BB357" s="94"/>
      <c r="BC357" s="94"/>
      <c r="BD357" s="94"/>
      <c r="BE357" s="94"/>
      <c r="BF357" s="94"/>
      <c r="BG357" s="94"/>
      <c r="BH357" s="93"/>
      <c r="BI357" s="93"/>
      <c r="BJ357" s="93"/>
      <c r="BK357" s="93"/>
      <c r="BL357" s="93"/>
      <c r="BM357" s="93"/>
      <c r="BN357" s="93"/>
      <c r="BO357" s="93"/>
      <c r="BP357" s="93"/>
      <c r="BQ357" s="93"/>
      <c r="BR357" s="93"/>
      <c r="BS357" s="93"/>
      <c r="BT357" s="93"/>
    </row>
    <row r="358" spans="3:72">
      <c r="C358" s="93"/>
      <c r="D358" s="93"/>
      <c r="E358" s="93"/>
      <c r="F358" s="93"/>
      <c r="G358" s="93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4"/>
      <c r="AZ358" s="94"/>
      <c r="BA358" s="94"/>
      <c r="BB358" s="94"/>
      <c r="BC358" s="94"/>
      <c r="BD358" s="94"/>
      <c r="BE358" s="94"/>
      <c r="BF358" s="94"/>
      <c r="BG358" s="94"/>
      <c r="BH358" s="93"/>
      <c r="BI358" s="93"/>
      <c r="BJ358" s="93"/>
      <c r="BK358" s="93"/>
      <c r="BL358" s="93"/>
      <c r="BM358" s="93"/>
      <c r="BN358" s="93"/>
      <c r="BO358" s="93"/>
      <c r="BP358" s="93"/>
      <c r="BQ358" s="93"/>
      <c r="BR358" s="93"/>
      <c r="BS358" s="93"/>
      <c r="BT358" s="93"/>
    </row>
    <row r="359" spans="3:72">
      <c r="C359" s="93"/>
      <c r="D359" s="93"/>
      <c r="E359" s="93"/>
      <c r="F359" s="93"/>
      <c r="G359" s="93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4"/>
      <c r="BA359" s="94"/>
      <c r="BB359" s="94"/>
      <c r="BC359" s="94"/>
      <c r="BD359" s="94"/>
      <c r="BE359" s="94"/>
      <c r="BF359" s="94"/>
      <c r="BG359" s="94"/>
      <c r="BH359" s="93"/>
      <c r="BI359" s="93"/>
      <c r="BJ359" s="93"/>
      <c r="BK359" s="93"/>
      <c r="BL359" s="93"/>
      <c r="BM359" s="93"/>
      <c r="BN359" s="93"/>
      <c r="BO359" s="93"/>
      <c r="BP359" s="93"/>
      <c r="BQ359" s="93"/>
      <c r="BR359" s="93"/>
      <c r="BS359" s="93"/>
      <c r="BT359" s="93"/>
    </row>
    <row r="360" spans="3:72">
      <c r="C360" s="93"/>
      <c r="D360" s="93"/>
      <c r="E360" s="93"/>
      <c r="F360" s="93"/>
      <c r="G360" s="93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4"/>
      <c r="BA360" s="94"/>
      <c r="BB360" s="94"/>
      <c r="BC360" s="94"/>
      <c r="BD360" s="94"/>
      <c r="BE360" s="94"/>
      <c r="BF360" s="94"/>
      <c r="BG360" s="94"/>
      <c r="BH360" s="93"/>
      <c r="BI360" s="93"/>
      <c r="BJ360" s="93"/>
      <c r="BK360" s="93"/>
      <c r="BL360" s="93"/>
      <c r="BM360" s="93"/>
      <c r="BN360" s="93"/>
      <c r="BO360" s="93"/>
      <c r="BP360" s="93"/>
      <c r="BQ360" s="93"/>
      <c r="BR360" s="93"/>
      <c r="BS360" s="93"/>
      <c r="BT360" s="93"/>
    </row>
    <row r="361" spans="3:72">
      <c r="C361" s="93"/>
      <c r="D361" s="93"/>
      <c r="E361" s="93"/>
      <c r="F361" s="93"/>
      <c r="G361" s="93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4"/>
      <c r="AZ361" s="94"/>
      <c r="BA361" s="94"/>
      <c r="BB361" s="94"/>
      <c r="BC361" s="94"/>
      <c r="BD361" s="94"/>
      <c r="BE361" s="94"/>
      <c r="BF361" s="94"/>
      <c r="BG361" s="94"/>
      <c r="BH361" s="93"/>
      <c r="BI361" s="93"/>
      <c r="BJ361" s="93"/>
      <c r="BK361" s="93"/>
      <c r="BL361" s="93"/>
      <c r="BM361" s="93"/>
      <c r="BN361" s="93"/>
      <c r="BO361" s="93"/>
      <c r="BP361" s="93"/>
      <c r="BQ361" s="93"/>
      <c r="BR361" s="93"/>
      <c r="BS361" s="93"/>
      <c r="BT361" s="93"/>
    </row>
    <row r="362" spans="3:72">
      <c r="C362" s="93"/>
      <c r="D362" s="93"/>
      <c r="E362" s="93"/>
      <c r="F362" s="93"/>
      <c r="G362" s="93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  <c r="AW362" s="94"/>
      <c r="AX362" s="94"/>
      <c r="AY362" s="94"/>
      <c r="AZ362" s="94"/>
      <c r="BA362" s="94"/>
      <c r="BB362" s="94"/>
      <c r="BC362" s="94"/>
      <c r="BD362" s="94"/>
      <c r="BE362" s="94"/>
      <c r="BF362" s="94"/>
      <c r="BG362" s="94"/>
      <c r="BH362" s="93"/>
      <c r="BI362" s="93"/>
      <c r="BJ362" s="93"/>
      <c r="BK362" s="93"/>
      <c r="BL362" s="93"/>
      <c r="BM362" s="93"/>
      <c r="BN362" s="93"/>
      <c r="BO362" s="93"/>
      <c r="BP362" s="93"/>
      <c r="BQ362" s="93"/>
      <c r="BR362" s="93"/>
      <c r="BS362" s="93"/>
      <c r="BT362" s="93"/>
    </row>
    <row r="363" spans="3:72">
      <c r="C363" s="93"/>
      <c r="D363" s="93"/>
      <c r="E363" s="93"/>
      <c r="F363" s="93"/>
      <c r="G363" s="93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4"/>
      <c r="BA363" s="94"/>
      <c r="BB363" s="94"/>
      <c r="BC363" s="94"/>
      <c r="BD363" s="94"/>
      <c r="BE363" s="94"/>
      <c r="BF363" s="94"/>
      <c r="BG363" s="94"/>
      <c r="BH363" s="93"/>
      <c r="BI363" s="93"/>
      <c r="BJ363" s="93"/>
      <c r="BK363" s="93"/>
      <c r="BL363" s="93"/>
      <c r="BM363" s="93"/>
      <c r="BN363" s="93"/>
      <c r="BO363" s="93"/>
      <c r="BP363" s="93"/>
      <c r="BQ363" s="93"/>
      <c r="BR363" s="93"/>
      <c r="BS363" s="93"/>
      <c r="BT363" s="93"/>
    </row>
    <row r="364" spans="3:72">
      <c r="C364" s="93"/>
      <c r="D364" s="93"/>
      <c r="E364" s="93"/>
      <c r="F364" s="93"/>
      <c r="G364" s="93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4"/>
      <c r="BA364" s="94"/>
      <c r="BB364" s="94"/>
      <c r="BC364" s="94"/>
      <c r="BD364" s="94"/>
      <c r="BE364" s="94"/>
      <c r="BF364" s="94"/>
      <c r="BG364" s="94"/>
      <c r="BH364" s="93"/>
      <c r="BI364" s="93"/>
      <c r="BJ364" s="93"/>
      <c r="BK364" s="93"/>
      <c r="BL364" s="93"/>
      <c r="BM364" s="93"/>
      <c r="BN364" s="93"/>
      <c r="BO364" s="93"/>
      <c r="BP364" s="93"/>
      <c r="BQ364" s="93"/>
      <c r="BR364" s="93"/>
      <c r="BS364" s="93"/>
      <c r="BT364" s="93"/>
    </row>
    <row r="365" spans="3:72">
      <c r="C365" s="93"/>
      <c r="D365" s="93"/>
      <c r="E365" s="93"/>
      <c r="F365" s="93"/>
      <c r="G365" s="93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  <c r="AS365" s="94"/>
      <c r="AT365" s="94"/>
      <c r="AU365" s="94"/>
      <c r="AV365" s="94"/>
      <c r="AW365" s="94"/>
      <c r="AX365" s="94"/>
      <c r="AY365" s="94"/>
      <c r="AZ365" s="94"/>
      <c r="BA365" s="94"/>
      <c r="BB365" s="94"/>
      <c r="BC365" s="94"/>
      <c r="BD365" s="94"/>
      <c r="BE365" s="94"/>
      <c r="BF365" s="94"/>
      <c r="BG365" s="94"/>
      <c r="BH365" s="93"/>
      <c r="BI365" s="93"/>
      <c r="BJ365" s="93"/>
      <c r="BK365" s="93"/>
      <c r="BL365" s="93"/>
      <c r="BM365" s="93"/>
      <c r="BN365" s="93"/>
      <c r="BO365" s="93"/>
      <c r="BP365" s="93"/>
      <c r="BQ365" s="93"/>
      <c r="BR365" s="93"/>
      <c r="BS365" s="93"/>
      <c r="BT365" s="93"/>
    </row>
    <row r="366" spans="3:72">
      <c r="C366" s="93"/>
      <c r="D366" s="93"/>
      <c r="E366" s="93"/>
      <c r="F366" s="93"/>
      <c r="G366" s="93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4"/>
      <c r="BA366" s="94"/>
      <c r="BB366" s="94"/>
      <c r="BC366" s="94"/>
      <c r="BD366" s="94"/>
      <c r="BE366" s="94"/>
      <c r="BF366" s="94"/>
      <c r="BG366" s="94"/>
      <c r="BH366" s="93"/>
      <c r="BI366" s="93"/>
      <c r="BJ366" s="93"/>
      <c r="BK366" s="93"/>
      <c r="BL366" s="93"/>
      <c r="BM366" s="93"/>
      <c r="BN366" s="93"/>
      <c r="BO366" s="93"/>
      <c r="BP366" s="93"/>
      <c r="BQ366" s="93"/>
      <c r="BR366" s="93"/>
      <c r="BS366" s="93"/>
      <c r="BT366" s="93"/>
    </row>
    <row r="367" spans="3:72">
      <c r="C367" s="93"/>
      <c r="D367" s="93"/>
      <c r="E367" s="93"/>
      <c r="F367" s="93"/>
      <c r="G367" s="93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4"/>
      <c r="AZ367" s="94"/>
      <c r="BA367" s="94"/>
      <c r="BB367" s="94"/>
      <c r="BC367" s="94"/>
      <c r="BD367" s="94"/>
      <c r="BE367" s="94"/>
      <c r="BF367" s="94"/>
      <c r="BG367" s="94"/>
      <c r="BH367" s="93"/>
      <c r="BI367" s="93"/>
      <c r="BJ367" s="93"/>
      <c r="BK367" s="93"/>
      <c r="BL367" s="93"/>
      <c r="BM367" s="93"/>
      <c r="BN367" s="93"/>
      <c r="BO367" s="93"/>
      <c r="BP367" s="93"/>
      <c r="BQ367" s="93"/>
      <c r="BR367" s="93"/>
      <c r="BS367" s="93"/>
      <c r="BT367" s="93"/>
    </row>
    <row r="368" spans="3:72">
      <c r="C368" s="93"/>
      <c r="D368" s="93"/>
      <c r="E368" s="93"/>
      <c r="F368" s="93"/>
      <c r="G368" s="93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  <c r="BD368" s="94"/>
      <c r="BE368" s="94"/>
      <c r="BF368" s="94"/>
      <c r="BG368" s="94"/>
      <c r="BH368" s="93"/>
      <c r="BI368" s="93"/>
      <c r="BJ368" s="93"/>
      <c r="BK368" s="93"/>
      <c r="BL368" s="93"/>
      <c r="BM368" s="93"/>
      <c r="BN368" s="93"/>
      <c r="BO368" s="93"/>
      <c r="BP368" s="93"/>
      <c r="BQ368" s="93"/>
      <c r="BR368" s="93"/>
      <c r="BS368" s="93"/>
      <c r="BT368" s="93"/>
    </row>
    <row r="369" spans="3:72">
      <c r="C369" s="93"/>
      <c r="D369" s="93"/>
      <c r="E369" s="93"/>
      <c r="F369" s="93"/>
      <c r="G369" s="93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  <c r="BD369" s="94"/>
      <c r="BE369" s="94"/>
      <c r="BF369" s="94"/>
      <c r="BG369" s="94"/>
      <c r="BH369" s="93"/>
      <c r="BI369" s="93"/>
      <c r="BJ369" s="93"/>
      <c r="BK369" s="93"/>
      <c r="BL369" s="93"/>
      <c r="BM369" s="93"/>
      <c r="BN369" s="93"/>
      <c r="BO369" s="93"/>
      <c r="BP369" s="93"/>
      <c r="BQ369" s="93"/>
      <c r="BR369" s="93"/>
      <c r="BS369" s="93"/>
      <c r="BT369" s="93"/>
    </row>
    <row r="370" spans="3:72">
      <c r="C370" s="93"/>
      <c r="D370" s="93"/>
      <c r="E370" s="93"/>
      <c r="F370" s="93"/>
      <c r="G370" s="93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4"/>
      <c r="BA370" s="94"/>
      <c r="BB370" s="94"/>
      <c r="BC370" s="94"/>
      <c r="BD370" s="94"/>
      <c r="BE370" s="94"/>
      <c r="BF370" s="94"/>
      <c r="BG370" s="94"/>
      <c r="BH370" s="93"/>
      <c r="BI370" s="93"/>
      <c r="BJ370" s="93"/>
      <c r="BK370" s="93"/>
      <c r="BL370" s="93"/>
      <c r="BM370" s="93"/>
      <c r="BN370" s="93"/>
      <c r="BO370" s="93"/>
      <c r="BP370" s="93"/>
      <c r="BQ370" s="93"/>
      <c r="BR370" s="93"/>
      <c r="BS370" s="93"/>
      <c r="BT370" s="93"/>
    </row>
    <row r="371" spans="3:72">
      <c r="C371" s="93"/>
      <c r="D371" s="93"/>
      <c r="E371" s="93"/>
      <c r="F371" s="93"/>
      <c r="G371" s="93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  <c r="BD371" s="94"/>
      <c r="BE371" s="94"/>
      <c r="BF371" s="94"/>
      <c r="BG371" s="94"/>
      <c r="BH371" s="93"/>
      <c r="BI371" s="93"/>
      <c r="BJ371" s="93"/>
      <c r="BK371" s="93"/>
      <c r="BL371" s="93"/>
      <c r="BM371" s="93"/>
      <c r="BN371" s="93"/>
      <c r="BO371" s="93"/>
      <c r="BP371" s="93"/>
      <c r="BQ371" s="93"/>
      <c r="BR371" s="93"/>
      <c r="BS371" s="93"/>
      <c r="BT371" s="93"/>
    </row>
    <row r="372" spans="3:72">
      <c r="C372" s="93"/>
      <c r="D372" s="93"/>
      <c r="E372" s="93"/>
      <c r="F372" s="93"/>
      <c r="G372" s="93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4"/>
      <c r="BA372" s="94"/>
      <c r="BB372" s="94"/>
      <c r="BC372" s="94"/>
      <c r="BD372" s="94"/>
      <c r="BE372" s="94"/>
      <c r="BF372" s="94"/>
      <c r="BG372" s="94"/>
      <c r="BH372" s="93"/>
      <c r="BI372" s="93"/>
      <c r="BJ372" s="93"/>
      <c r="BK372" s="93"/>
      <c r="BL372" s="93"/>
      <c r="BM372" s="93"/>
      <c r="BN372" s="93"/>
      <c r="BO372" s="93"/>
      <c r="BP372" s="93"/>
      <c r="BQ372" s="93"/>
      <c r="BR372" s="93"/>
      <c r="BS372" s="93"/>
      <c r="BT372" s="93"/>
    </row>
    <row r="373" spans="3:72">
      <c r="C373" s="93"/>
      <c r="D373" s="93"/>
      <c r="E373" s="93"/>
      <c r="F373" s="93"/>
      <c r="G373" s="93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  <c r="BD373" s="94"/>
      <c r="BE373" s="94"/>
      <c r="BF373" s="94"/>
      <c r="BG373" s="94"/>
      <c r="BH373" s="93"/>
      <c r="BI373" s="93"/>
      <c r="BJ373" s="93"/>
      <c r="BK373" s="93"/>
      <c r="BL373" s="93"/>
      <c r="BM373" s="93"/>
      <c r="BN373" s="93"/>
      <c r="BO373" s="93"/>
      <c r="BP373" s="93"/>
      <c r="BQ373" s="93"/>
      <c r="BR373" s="93"/>
      <c r="BS373" s="93"/>
      <c r="BT373" s="93"/>
    </row>
    <row r="374" spans="3:72">
      <c r="C374" s="93"/>
      <c r="D374" s="93"/>
      <c r="E374" s="93"/>
      <c r="F374" s="93"/>
      <c r="G374" s="93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4"/>
      <c r="BA374" s="94"/>
      <c r="BB374" s="94"/>
      <c r="BC374" s="94"/>
      <c r="BD374" s="94"/>
      <c r="BE374" s="94"/>
      <c r="BF374" s="94"/>
      <c r="BG374" s="94"/>
      <c r="BH374" s="93"/>
      <c r="BI374" s="93"/>
      <c r="BJ374" s="93"/>
      <c r="BK374" s="93"/>
      <c r="BL374" s="93"/>
      <c r="BM374" s="93"/>
      <c r="BN374" s="93"/>
      <c r="BO374" s="93"/>
      <c r="BP374" s="93"/>
      <c r="BQ374" s="93"/>
      <c r="BR374" s="93"/>
      <c r="BS374" s="93"/>
      <c r="BT374" s="93"/>
    </row>
    <row r="375" spans="3:72">
      <c r="C375" s="93"/>
      <c r="D375" s="93"/>
      <c r="E375" s="93"/>
      <c r="F375" s="93"/>
      <c r="G375" s="93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4"/>
      <c r="BE375" s="94"/>
      <c r="BF375" s="94"/>
      <c r="BG375" s="94"/>
      <c r="BH375" s="93"/>
      <c r="BI375" s="93"/>
      <c r="BJ375" s="93"/>
      <c r="BK375" s="93"/>
      <c r="BL375" s="93"/>
      <c r="BM375" s="93"/>
      <c r="BN375" s="93"/>
      <c r="BO375" s="93"/>
      <c r="BP375" s="93"/>
      <c r="BQ375" s="93"/>
      <c r="BR375" s="93"/>
      <c r="BS375" s="93"/>
      <c r="BT375" s="93"/>
    </row>
    <row r="376" spans="3:72">
      <c r="C376" s="93"/>
      <c r="D376" s="93"/>
      <c r="E376" s="93"/>
      <c r="F376" s="93"/>
      <c r="G376" s="93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4"/>
      <c r="BA376" s="94"/>
      <c r="BB376" s="94"/>
      <c r="BC376" s="94"/>
      <c r="BD376" s="94"/>
      <c r="BE376" s="94"/>
      <c r="BF376" s="94"/>
      <c r="BG376" s="94"/>
      <c r="BH376" s="93"/>
      <c r="BI376" s="93"/>
      <c r="BJ376" s="93"/>
      <c r="BK376" s="93"/>
      <c r="BL376" s="93"/>
      <c r="BM376" s="93"/>
      <c r="BN376" s="93"/>
      <c r="BO376" s="93"/>
      <c r="BP376" s="93"/>
      <c r="BQ376" s="93"/>
      <c r="BR376" s="93"/>
      <c r="BS376" s="93"/>
      <c r="BT376" s="93"/>
    </row>
    <row r="377" spans="3:72">
      <c r="C377" s="93"/>
      <c r="D377" s="93"/>
      <c r="E377" s="93"/>
      <c r="F377" s="93"/>
      <c r="G377" s="93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4"/>
      <c r="BA377" s="94"/>
      <c r="BB377" s="94"/>
      <c r="BC377" s="94"/>
      <c r="BD377" s="94"/>
      <c r="BE377" s="94"/>
      <c r="BF377" s="94"/>
      <c r="BG377" s="94"/>
      <c r="BH377" s="93"/>
      <c r="BI377" s="93"/>
      <c r="BJ377" s="93"/>
      <c r="BK377" s="93"/>
      <c r="BL377" s="93"/>
      <c r="BM377" s="93"/>
      <c r="BN377" s="93"/>
      <c r="BO377" s="93"/>
      <c r="BP377" s="93"/>
      <c r="BQ377" s="93"/>
      <c r="BR377" s="93"/>
      <c r="BS377" s="93"/>
      <c r="BT377" s="93"/>
    </row>
    <row r="378" spans="3:72">
      <c r="C378" s="93"/>
      <c r="D378" s="93"/>
      <c r="E378" s="93"/>
      <c r="F378" s="93"/>
      <c r="G378" s="93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4"/>
      <c r="BA378" s="94"/>
      <c r="BB378" s="94"/>
      <c r="BC378" s="94"/>
      <c r="BD378" s="94"/>
      <c r="BE378" s="94"/>
      <c r="BF378" s="94"/>
      <c r="BG378" s="94"/>
      <c r="BH378" s="93"/>
      <c r="BI378" s="93"/>
      <c r="BJ378" s="93"/>
      <c r="BK378" s="93"/>
      <c r="BL378" s="93"/>
      <c r="BM378" s="93"/>
      <c r="BN378" s="93"/>
      <c r="BO378" s="93"/>
      <c r="BP378" s="93"/>
      <c r="BQ378" s="93"/>
      <c r="BR378" s="93"/>
      <c r="BS378" s="93"/>
      <c r="BT378" s="93"/>
    </row>
    <row r="379" spans="3:72">
      <c r="C379" s="93"/>
      <c r="D379" s="93"/>
      <c r="E379" s="93"/>
      <c r="F379" s="93"/>
      <c r="G379" s="93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4"/>
      <c r="BA379" s="94"/>
      <c r="BB379" s="94"/>
      <c r="BC379" s="94"/>
      <c r="BD379" s="94"/>
      <c r="BE379" s="94"/>
      <c r="BF379" s="94"/>
      <c r="BG379" s="94"/>
      <c r="BH379" s="93"/>
      <c r="BI379" s="93"/>
      <c r="BJ379" s="93"/>
      <c r="BK379" s="93"/>
      <c r="BL379" s="93"/>
      <c r="BM379" s="93"/>
      <c r="BN379" s="93"/>
      <c r="BO379" s="93"/>
      <c r="BP379" s="93"/>
      <c r="BQ379" s="93"/>
      <c r="BR379" s="93"/>
      <c r="BS379" s="93"/>
      <c r="BT379" s="93"/>
    </row>
    <row r="380" spans="3:72">
      <c r="C380" s="93"/>
      <c r="D380" s="93"/>
      <c r="E380" s="93"/>
      <c r="F380" s="93"/>
      <c r="G380" s="93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4"/>
      <c r="BA380" s="94"/>
      <c r="BB380" s="94"/>
      <c r="BC380" s="94"/>
      <c r="BD380" s="94"/>
      <c r="BE380" s="94"/>
      <c r="BF380" s="94"/>
      <c r="BG380" s="94"/>
      <c r="BH380" s="93"/>
      <c r="BI380" s="93"/>
      <c r="BJ380" s="93"/>
      <c r="BK380" s="93"/>
      <c r="BL380" s="93"/>
      <c r="BM380" s="93"/>
      <c r="BN380" s="93"/>
      <c r="BO380" s="93"/>
      <c r="BP380" s="93"/>
      <c r="BQ380" s="93"/>
      <c r="BR380" s="93"/>
      <c r="BS380" s="93"/>
      <c r="BT380" s="93"/>
    </row>
    <row r="381" spans="3:72">
      <c r="C381" s="93"/>
      <c r="D381" s="93"/>
      <c r="E381" s="93"/>
      <c r="F381" s="93"/>
      <c r="G381" s="93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4"/>
      <c r="BA381" s="94"/>
      <c r="BB381" s="94"/>
      <c r="BC381" s="94"/>
      <c r="BD381" s="94"/>
      <c r="BE381" s="94"/>
      <c r="BF381" s="94"/>
      <c r="BG381" s="94"/>
      <c r="BH381" s="93"/>
      <c r="BI381" s="93"/>
      <c r="BJ381" s="93"/>
      <c r="BK381" s="93"/>
      <c r="BL381" s="93"/>
      <c r="BM381" s="93"/>
      <c r="BN381" s="93"/>
      <c r="BO381" s="93"/>
      <c r="BP381" s="93"/>
      <c r="BQ381" s="93"/>
      <c r="BR381" s="93"/>
      <c r="BS381" s="93"/>
      <c r="BT381" s="93"/>
    </row>
    <row r="382" spans="3:72">
      <c r="C382" s="93"/>
      <c r="D382" s="93"/>
      <c r="E382" s="93"/>
      <c r="F382" s="93"/>
      <c r="G382" s="93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4"/>
      <c r="BA382" s="94"/>
      <c r="BB382" s="94"/>
      <c r="BC382" s="94"/>
      <c r="BD382" s="94"/>
      <c r="BE382" s="94"/>
      <c r="BF382" s="94"/>
      <c r="BG382" s="94"/>
      <c r="BH382" s="93"/>
      <c r="BI382" s="93"/>
      <c r="BJ382" s="93"/>
      <c r="BK382" s="93"/>
      <c r="BL382" s="93"/>
      <c r="BM382" s="93"/>
      <c r="BN382" s="93"/>
      <c r="BO382" s="93"/>
      <c r="BP382" s="93"/>
      <c r="BQ382" s="93"/>
      <c r="BR382" s="93"/>
      <c r="BS382" s="93"/>
      <c r="BT382" s="93"/>
    </row>
    <row r="383" spans="3:72">
      <c r="C383" s="93"/>
      <c r="D383" s="93"/>
      <c r="E383" s="93"/>
      <c r="F383" s="93"/>
      <c r="G383" s="93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4"/>
      <c r="BA383" s="94"/>
      <c r="BB383" s="94"/>
      <c r="BC383" s="94"/>
      <c r="BD383" s="94"/>
      <c r="BE383" s="94"/>
      <c r="BF383" s="94"/>
      <c r="BG383" s="94"/>
      <c r="BH383" s="93"/>
      <c r="BI383" s="93"/>
      <c r="BJ383" s="93"/>
      <c r="BK383" s="93"/>
      <c r="BL383" s="93"/>
      <c r="BM383" s="93"/>
      <c r="BN383" s="93"/>
      <c r="BO383" s="93"/>
      <c r="BP383" s="93"/>
      <c r="BQ383" s="93"/>
      <c r="BR383" s="93"/>
      <c r="BS383" s="93"/>
      <c r="BT383" s="93"/>
    </row>
    <row r="384" spans="3:72">
      <c r="C384" s="93"/>
      <c r="D384" s="93"/>
      <c r="E384" s="93"/>
      <c r="F384" s="93"/>
      <c r="G384" s="93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4"/>
      <c r="BA384" s="94"/>
      <c r="BB384" s="94"/>
      <c r="BC384" s="94"/>
      <c r="BD384" s="94"/>
      <c r="BE384" s="94"/>
      <c r="BF384" s="94"/>
      <c r="BG384" s="94"/>
      <c r="BH384" s="93"/>
      <c r="BI384" s="93"/>
      <c r="BJ384" s="93"/>
      <c r="BK384" s="93"/>
      <c r="BL384" s="93"/>
      <c r="BM384" s="93"/>
      <c r="BN384" s="93"/>
      <c r="BO384" s="93"/>
      <c r="BP384" s="93"/>
      <c r="BQ384" s="93"/>
      <c r="BR384" s="93"/>
      <c r="BS384" s="93"/>
      <c r="BT384" s="93"/>
    </row>
    <row r="385" spans="3:72">
      <c r="C385" s="93"/>
      <c r="D385" s="93"/>
      <c r="E385" s="93"/>
      <c r="F385" s="93"/>
      <c r="G385" s="93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4"/>
      <c r="BA385" s="94"/>
      <c r="BB385" s="94"/>
      <c r="BC385" s="94"/>
      <c r="BD385" s="94"/>
      <c r="BE385" s="94"/>
      <c r="BF385" s="94"/>
      <c r="BG385" s="94"/>
      <c r="BH385" s="93"/>
      <c r="BI385" s="93"/>
      <c r="BJ385" s="93"/>
      <c r="BK385" s="93"/>
      <c r="BL385" s="93"/>
      <c r="BM385" s="93"/>
      <c r="BN385" s="93"/>
      <c r="BO385" s="93"/>
      <c r="BP385" s="93"/>
      <c r="BQ385" s="93"/>
      <c r="BR385" s="93"/>
      <c r="BS385" s="93"/>
      <c r="BT385" s="93"/>
    </row>
    <row r="386" spans="3:72">
      <c r="C386" s="93"/>
      <c r="D386" s="93"/>
      <c r="E386" s="93"/>
      <c r="F386" s="93"/>
      <c r="G386" s="93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4"/>
      <c r="BA386" s="94"/>
      <c r="BB386" s="94"/>
      <c r="BC386" s="94"/>
      <c r="BD386" s="94"/>
      <c r="BE386" s="94"/>
      <c r="BF386" s="94"/>
      <c r="BG386" s="94"/>
      <c r="BH386" s="93"/>
      <c r="BI386" s="93"/>
      <c r="BJ386" s="93"/>
      <c r="BK386" s="93"/>
      <c r="BL386" s="93"/>
      <c r="BM386" s="93"/>
      <c r="BN386" s="93"/>
      <c r="BO386" s="93"/>
      <c r="BP386" s="93"/>
      <c r="BQ386" s="93"/>
      <c r="BR386" s="93"/>
      <c r="BS386" s="93"/>
      <c r="BT386" s="93"/>
    </row>
    <row r="387" spans="3:72">
      <c r="C387" s="93"/>
      <c r="D387" s="93"/>
      <c r="E387" s="93"/>
      <c r="F387" s="93"/>
      <c r="G387" s="93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  <c r="BD387" s="94"/>
      <c r="BE387" s="94"/>
      <c r="BF387" s="94"/>
      <c r="BG387" s="94"/>
      <c r="BH387" s="93"/>
      <c r="BI387" s="93"/>
      <c r="BJ387" s="93"/>
      <c r="BK387" s="93"/>
      <c r="BL387" s="93"/>
      <c r="BM387" s="93"/>
      <c r="BN387" s="93"/>
      <c r="BO387" s="93"/>
      <c r="BP387" s="93"/>
      <c r="BQ387" s="93"/>
      <c r="BR387" s="93"/>
      <c r="BS387" s="93"/>
      <c r="BT387" s="93"/>
    </row>
    <row r="388" spans="3:72">
      <c r="C388" s="93"/>
      <c r="D388" s="93"/>
      <c r="E388" s="93"/>
      <c r="F388" s="93"/>
      <c r="G388" s="93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4"/>
      <c r="BA388" s="94"/>
      <c r="BB388" s="94"/>
      <c r="BC388" s="94"/>
      <c r="BD388" s="94"/>
      <c r="BE388" s="94"/>
      <c r="BF388" s="94"/>
      <c r="BG388" s="94"/>
      <c r="BH388" s="93"/>
      <c r="BI388" s="93"/>
      <c r="BJ388" s="93"/>
      <c r="BK388" s="93"/>
      <c r="BL388" s="93"/>
      <c r="BM388" s="93"/>
      <c r="BN388" s="93"/>
      <c r="BO388" s="93"/>
      <c r="BP388" s="93"/>
      <c r="BQ388" s="93"/>
      <c r="BR388" s="93"/>
      <c r="BS388" s="93"/>
      <c r="BT388" s="93"/>
    </row>
    <row r="389" spans="3:72">
      <c r="C389" s="93"/>
      <c r="D389" s="93"/>
      <c r="E389" s="93"/>
      <c r="F389" s="93"/>
      <c r="G389" s="93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4"/>
      <c r="BA389" s="94"/>
      <c r="BB389" s="94"/>
      <c r="BC389" s="94"/>
      <c r="BD389" s="94"/>
      <c r="BE389" s="94"/>
      <c r="BF389" s="94"/>
      <c r="BG389" s="94"/>
      <c r="BH389" s="93"/>
      <c r="BI389" s="93"/>
      <c r="BJ389" s="93"/>
      <c r="BK389" s="93"/>
      <c r="BL389" s="93"/>
      <c r="BM389" s="93"/>
      <c r="BN389" s="93"/>
      <c r="BO389" s="93"/>
      <c r="BP389" s="93"/>
      <c r="BQ389" s="93"/>
      <c r="BR389" s="93"/>
      <c r="BS389" s="93"/>
      <c r="BT389" s="93"/>
    </row>
    <row r="390" spans="3:72">
      <c r="C390" s="93"/>
      <c r="D390" s="93"/>
      <c r="E390" s="93"/>
      <c r="F390" s="93"/>
      <c r="G390" s="93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4"/>
      <c r="BA390" s="94"/>
      <c r="BB390" s="94"/>
      <c r="BC390" s="94"/>
      <c r="BD390" s="94"/>
      <c r="BE390" s="94"/>
      <c r="BF390" s="94"/>
      <c r="BG390" s="94"/>
      <c r="BH390" s="93"/>
      <c r="BI390" s="93"/>
      <c r="BJ390" s="93"/>
      <c r="BK390" s="93"/>
      <c r="BL390" s="93"/>
      <c r="BM390" s="93"/>
      <c r="BN390" s="93"/>
      <c r="BO390" s="93"/>
      <c r="BP390" s="93"/>
      <c r="BQ390" s="93"/>
      <c r="BR390" s="93"/>
      <c r="BS390" s="93"/>
      <c r="BT390" s="93"/>
    </row>
    <row r="391" spans="3:72">
      <c r="C391" s="93"/>
      <c r="D391" s="93"/>
      <c r="E391" s="93"/>
      <c r="F391" s="93"/>
      <c r="G391" s="93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  <c r="BD391" s="94"/>
      <c r="BE391" s="94"/>
      <c r="BF391" s="94"/>
      <c r="BG391" s="94"/>
      <c r="BH391" s="93"/>
      <c r="BI391" s="93"/>
      <c r="BJ391" s="93"/>
      <c r="BK391" s="93"/>
      <c r="BL391" s="93"/>
      <c r="BM391" s="93"/>
      <c r="BN391" s="93"/>
      <c r="BO391" s="93"/>
      <c r="BP391" s="93"/>
      <c r="BQ391" s="93"/>
      <c r="BR391" s="93"/>
      <c r="BS391" s="93"/>
      <c r="BT391" s="93"/>
    </row>
    <row r="392" spans="3:72">
      <c r="C392" s="93"/>
      <c r="D392" s="93"/>
      <c r="E392" s="93"/>
      <c r="F392" s="93"/>
      <c r="G392" s="93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  <c r="BD392" s="94"/>
      <c r="BE392" s="94"/>
      <c r="BF392" s="94"/>
      <c r="BG392" s="94"/>
      <c r="BH392" s="93"/>
      <c r="BI392" s="93"/>
      <c r="BJ392" s="93"/>
      <c r="BK392" s="93"/>
      <c r="BL392" s="93"/>
      <c r="BM392" s="93"/>
      <c r="BN392" s="93"/>
      <c r="BO392" s="93"/>
      <c r="BP392" s="93"/>
      <c r="BQ392" s="93"/>
      <c r="BR392" s="93"/>
      <c r="BS392" s="93"/>
      <c r="BT392" s="93"/>
    </row>
    <row r="393" spans="3:72">
      <c r="C393" s="93"/>
      <c r="D393" s="93"/>
      <c r="E393" s="93"/>
      <c r="F393" s="93"/>
      <c r="G393" s="93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4"/>
      <c r="BA393" s="94"/>
      <c r="BB393" s="94"/>
      <c r="BC393" s="94"/>
      <c r="BD393" s="94"/>
      <c r="BE393" s="94"/>
      <c r="BF393" s="94"/>
      <c r="BG393" s="94"/>
      <c r="BH393" s="93"/>
      <c r="BI393" s="93"/>
      <c r="BJ393" s="93"/>
      <c r="BK393" s="93"/>
      <c r="BL393" s="93"/>
      <c r="BM393" s="93"/>
      <c r="BN393" s="93"/>
      <c r="BO393" s="93"/>
      <c r="BP393" s="93"/>
      <c r="BQ393" s="93"/>
      <c r="BR393" s="93"/>
      <c r="BS393" s="93"/>
      <c r="BT393" s="93"/>
    </row>
    <row r="394" spans="3:72">
      <c r="C394" s="93"/>
      <c r="D394" s="93"/>
      <c r="E394" s="93"/>
      <c r="F394" s="93"/>
      <c r="G394" s="93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4"/>
      <c r="BA394" s="94"/>
      <c r="BB394" s="94"/>
      <c r="BC394" s="94"/>
      <c r="BD394" s="94"/>
      <c r="BE394" s="94"/>
      <c r="BF394" s="94"/>
      <c r="BG394" s="94"/>
      <c r="BH394" s="93"/>
      <c r="BI394" s="93"/>
      <c r="BJ394" s="93"/>
      <c r="BK394" s="93"/>
      <c r="BL394" s="93"/>
      <c r="BM394" s="93"/>
      <c r="BN394" s="93"/>
      <c r="BO394" s="93"/>
      <c r="BP394" s="93"/>
      <c r="BQ394" s="93"/>
      <c r="BR394" s="93"/>
      <c r="BS394" s="93"/>
      <c r="BT394" s="93"/>
    </row>
    <row r="395" spans="3:72">
      <c r="C395" s="93"/>
      <c r="D395" s="93"/>
      <c r="E395" s="93"/>
      <c r="F395" s="93"/>
      <c r="G395" s="93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  <c r="BD395" s="94"/>
      <c r="BE395" s="94"/>
      <c r="BF395" s="94"/>
      <c r="BG395" s="94"/>
      <c r="BH395" s="93"/>
      <c r="BI395" s="93"/>
      <c r="BJ395" s="93"/>
      <c r="BK395" s="93"/>
      <c r="BL395" s="93"/>
      <c r="BM395" s="93"/>
      <c r="BN395" s="93"/>
      <c r="BO395" s="93"/>
      <c r="BP395" s="93"/>
      <c r="BQ395" s="93"/>
      <c r="BR395" s="93"/>
      <c r="BS395" s="93"/>
      <c r="BT395" s="93"/>
    </row>
    <row r="396" spans="3:72">
      <c r="C396" s="93"/>
      <c r="D396" s="93"/>
      <c r="E396" s="93"/>
      <c r="F396" s="93"/>
      <c r="G396" s="93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4"/>
      <c r="BA396" s="94"/>
      <c r="BB396" s="94"/>
      <c r="BC396" s="94"/>
      <c r="BD396" s="94"/>
      <c r="BE396" s="94"/>
      <c r="BF396" s="94"/>
      <c r="BG396" s="94"/>
      <c r="BH396" s="93"/>
      <c r="BI396" s="93"/>
      <c r="BJ396" s="93"/>
      <c r="BK396" s="93"/>
      <c r="BL396" s="93"/>
      <c r="BM396" s="93"/>
      <c r="BN396" s="93"/>
      <c r="BO396" s="93"/>
      <c r="BP396" s="93"/>
      <c r="BQ396" s="93"/>
      <c r="BR396" s="93"/>
      <c r="BS396" s="93"/>
      <c r="BT396" s="93"/>
    </row>
  </sheetData>
  <sheetProtection algorithmName="SHA-512" hashValue="1/u2zHSnv9S5p9Y1bqnD8Lwxl3ISnb4mbZIUsUJN79cMZ2GzN+nYHqgvYdaEs8NRldRCT4JGQV8ykNmfK7EkCg==" saltValue="PoqpyGW4ADvcUCdUWVgCRA==" spinCount="100000" sheet="1" formatCells="0" formatColumns="0" sort="0" autoFilter="0"/>
  <autoFilter ref="B16:BT103" xr:uid="{00000000-0009-0000-0000-000004000000}">
    <filterColumn colId="4">
      <filters>
        <filter val="10:30 AM"/>
        <filter val="11:00 AM"/>
        <filter val="2:00 PM"/>
        <filter val="8:30 AM"/>
      </filters>
    </filterColumn>
    <sortState xmlns:xlrd2="http://schemas.microsoft.com/office/spreadsheetml/2017/richdata2" ref="B17:BT103">
      <sortCondition ref="F16:F103"/>
    </sortState>
  </autoFilter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1057" priority="226" stopIfTrue="1" operator="equal">
      <formula>$T$3</formula>
    </cfRule>
    <cfRule type="containsBlanks" dxfId="1056" priority="227" stopIfTrue="1">
      <formula>LEN(TRIM(H6))=0</formula>
    </cfRule>
    <cfRule type="cellIs" dxfId="1055" priority="219" stopIfTrue="1" operator="equal">
      <formula>$AA$3</formula>
    </cfRule>
    <cfRule type="cellIs" dxfId="1054" priority="216" stopIfTrue="1" operator="equal">
      <formula>$AD$3</formula>
    </cfRule>
    <cfRule type="cellIs" dxfId="1053" priority="217" stopIfTrue="1" operator="equal">
      <formula>$AB$3</formula>
    </cfRule>
    <cfRule type="cellIs" dxfId="1052" priority="218" stopIfTrue="1" operator="equal">
      <formula>$AC$3</formula>
    </cfRule>
    <cfRule type="cellIs" dxfId="1051" priority="220" stopIfTrue="1" operator="equal">
      <formula>$Z$3</formula>
    </cfRule>
    <cfRule type="cellIs" dxfId="1050" priority="221" stopIfTrue="1" operator="equal">
      <formula>$Y$3</formula>
    </cfRule>
    <cfRule type="cellIs" dxfId="1049" priority="222" stopIfTrue="1" operator="equal">
      <formula>$X$3</formula>
    </cfRule>
    <cfRule type="cellIs" dxfId="1048" priority="223" stopIfTrue="1" operator="equal">
      <formula>$W$3</formula>
    </cfRule>
    <cfRule type="cellIs" dxfId="1047" priority="224" stopIfTrue="1" operator="equal">
      <formula>$V$3</formula>
    </cfRule>
    <cfRule type="cellIs" dxfId="1046" priority="225" stopIfTrue="1" operator="equal">
      <formula>$U$3</formula>
    </cfRule>
  </conditionalFormatting>
  <conditionalFormatting sqref="H13:BS13">
    <cfRule type="cellIs" dxfId="1045" priority="151" operator="equal">
      <formula>"FFR"</formula>
    </cfRule>
    <cfRule type="cellIs" dxfId="1044" priority="152" operator="equal">
      <formula>"F"</formula>
    </cfRule>
    <cfRule type="cellIs" dxfId="1043" priority="153" operator="equal">
      <formula>"PEN"</formula>
    </cfRule>
    <cfRule type="cellIs" dxfId="1042" priority="154" operator="equal">
      <formula>"TW"</formula>
    </cfRule>
    <cfRule type="cellIs" dxfId="1041" priority="155" operator="equal">
      <formula>"AD"</formula>
    </cfRule>
    <cfRule type="cellIs" dxfId="1040" priority="156" operator="equal">
      <formula>"SY"</formula>
    </cfRule>
    <cfRule type="cellIs" dxfId="1039" priority="157" operator="equal">
      <formula>"CSYS"</formula>
    </cfRule>
    <cfRule type="cellIs" dxfId="1038" priority="158" operator="equal">
      <formula>"HHR"</formula>
    </cfRule>
    <cfRule type="cellIs" dxfId="1037" priority="159" operator="equal">
      <formula>"HH"</formula>
    </cfRule>
    <cfRule type="cellIs" dxfId="1036" priority="160" operator="equal">
      <formula>"STAFF"</formula>
    </cfRule>
    <cfRule type="cellIs" dxfId="1035" priority="161" operator="equal">
      <formula>"LINW"</formula>
    </cfRule>
    <cfRule type="cellIs" dxfId="1034" priority="162" operator="equal">
      <formula>"MINW"</formula>
    </cfRule>
    <cfRule type="cellIs" dxfId="1033" priority="163" operator="equal">
      <formula>"ACC"</formula>
    </cfRule>
    <cfRule type="cellIs" dxfId="1032" priority="164" operator="equal">
      <formula>"H"</formula>
    </cfRule>
    <cfRule type="cellIs" dxfId="1031" priority="165" operator="equal">
      <formula>"ASM"</formula>
    </cfRule>
    <cfRule type="cellIs" dxfId="1030" priority="166" operator="equal">
      <formula>"SM"</formula>
    </cfRule>
    <cfRule type="cellIs" dxfId="1029" priority="146" operator="equal">
      <formula>"TEA"</formula>
    </cfRule>
    <cfRule type="cellIs" dxfId="1028" priority="168" operator="equal">
      <formula>"H3"</formula>
    </cfRule>
    <cfRule type="cellIs" dxfId="1027" priority="169" operator="equal">
      <formula>"H2"</formula>
    </cfRule>
    <cfRule type="cellIs" dxfId="1026" priority="170" operator="equal">
      <formula>"H1"</formula>
    </cfRule>
    <cfRule type="cellIs" dxfId="1025" priority="139" operator="equal">
      <formula>"R6"</formula>
    </cfRule>
    <cfRule type="cellIs" dxfId="1024" priority="140" operator="equal">
      <formula>"R5"</formula>
    </cfRule>
    <cfRule type="cellIs" dxfId="1023" priority="141" operator="equal">
      <formula>"R4"</formula>
    </cfRule>
    <cfRule type="cellIs" dxfId="1022" priority="142" operator="equal">
      <formula>"R3"</formula>
    </cfRule>
    <cfRule type="cellIs" dxfId="1021" priority="143" operator="equal">
      <formula>"R2"</formula>
    </cfRule>
    <cfRule type="cellIs" dxfId="1020" priority="167" operator="equal">
      <formula>"EMB"</formula>
    </cfRule>
    <cfRule type="cellIs" dxfId="1019" priority="144" operator="equal">
      <formula>"R1"</formula>
    </cfRule>
    <cfRule type="cellIs" dxfId="1018" priority="145" operator="equal">
      <formula>"R"</formula>
    </cfRule>
    <cfRule type="cellIs" dxfId="1017" priority="147" operator="equal">
      <formula>"BIN"</formula>
    </cfRule>
    <cfRule type="cellIs" dxfId="1016" priority="148" operator="equal">
      <formula>"KIDS"</formula>
    </cfRule>
    <cfRule type="cellIs" dxfId="1015" priority="149" operator="equal">
      <formula>"CR"</formula>
    </cfRule>
    <cfRule type="cellIs" dxfId="1014" priority="150" operator="equal">
      <formula>"FB"</formula>
    </cfRule>
  </conditionalFormatting>
  <conditionalFormatting sqref="H15:BS15">
    <cfRule type="containsBlanks" dxfId="1013" priority="215" stopIfTrue="1">
      <formula>LEN(TRIM(H15))=0</formula>
    </cfRule>
    <cfRule type="cellIs" dxfId="1012" priority="205" stopIfTrue="1" operator="equal">
      <formula>$AB$3</formula>
    </cfRule>
    <cfRule type="cellIs" dxfId="1011" priority="206" stopIfTrue="1" operator="equal">
      <formula>$AC$3</formula>
    </cfRule>
    <cfRule type="cellIs" dxfId="1010" priority="207" stopIfTrue="1" operator="equal">
      <formula>$AA$3</formula>
    </cfRule>
    <cfRule type="cellIs" dxfId="1009" priority="208" stopIfTrue="1" operator="equal">
      <formula>$Z$3</formula>
    </cfRule>
    <cfRule type="cellIs" dxfId="1008" priority="209" stopIfTrue="1" operator="equal">
      <formula>$Y$3</formula>
    </cfRule>
    <cfRule type="cellIs" dxfId="1007" priority="210" stopIfTrue="1" operator="equal">
      <formula>$X$3</formula>
    </cfRule>
    <cfRule type="cellIs" dxfId="1006" priority="211" stopIfTrue="1" operator="equal">
      <formula>$W$3</formula>
    </cfRule>
    <cfRule type="cellIs" dxfId="1005" priority="204" stopIfTrue="1" operator="equal">
      <formula>$AD$3</formula>
    </cfRule>
    <cfRule type="cellIs" dxfId="1004" priority="213" stopIfTrue="1" operator="equal">
      <formula>$U$3</formula>
    </cfRule>
    <cfRule type="cellIs" dxfId="1003" priority="214" stopIfTrue="1" operator="equal">
      <formula>$T$3</formula>
    </cfRule>
    <cfRule type="cellIs" dxfId="1002" priority="212" stopIfTrue="1" operator="equal">
      <formula>$V$3</formula>
    </cfRule>
  </conditionalFormatting>
  <conditionalFormatting sqref="H7:BT12">
    <cfRule type="cellIs" dxfId="1001" priority="262" operator="equal">
      <formula>"LINW"</formula>
    </cfRule>
    <cfRule type="cellIs" dxfId="1000" priority="263" operator="equal">
      <formula>"MINW"</formula>
    </cfRule>
    <cfRule type="cellIs" dxfId="999" priority="264" operator="equal">
      <formula>"ACC"</formula>
    </cfRule>
    <cfRule type="cellIs" dxfId="998" priority="265" operator="equal">
      <formula>"H"</formula>
    </cfRule>
    <cfRule type="cellIs" dxfId="997" priority="266" operator="equal">
      <formula>"ASM"</formula>
    </cfRule>
    <cfRule type="cellIs" dxfId="996" priority="267" operator="equal">
      <formula>"SM"</formula>
    </cfRule>
    <cfRule type="cellIs" dxfId="995" priority="268" operator="equal">
      <formula>"EMB"</formula>
    </cfRule>
    <cfRule type="cellIs" dxfId="994" priority="269" operator="equal">
      <formula>"H3"</formula>
    </cfRule>
    <cfRule type="cellIs" dxfId="993" priority="270" operator="equal">
      <formula>"H2"</formula>
    </cfRule>
    <cfRule type="cellIs" dxfId="992" priority="271" operator="equal">
      <formula>"H1"</formula>
    </cfRule>
    <cfRule type="cellIs" dxfId="991" priority="253" operator="equal">
      <formula>"F"</formula>
    </cfRule>
    <cfRule type="cellIs" dxfId="990" priority="240" operator="equal">
      <formula>"R6"</formula>
    </cfRule>
    <cfRule type="cellIs" dxfId="989" priority="241" operator="equal">
      <formula>"R5"</formula>
    </cfRule>
    <cfRule type="cellIs" dxfId="988" priority="242" operator="equal">
      <formula>"R4"</formula>
    </cfRule>
    <cfRule type="cellIs" dxfId="987" priority="243" operator="equal">
      <formula>"R3"</formula>
    </cfRule>
    <cfRule type="cellIs" dxfId="986" priority="244" operator="equal">
      <formula>"R2"</formula>
    </cfRule>
    <cfRule type="cellIs" dxfId="985" priority="245" operator="equal">
      <formula>"R1"</formula>
    </cfRule>
    <cfRule type="cellIs" dxfId="984" priority="246" operator="equal">
      <formula>"R"</formula>
    </cfRule>
    <cfRule type="cellIs" dxfId="983" priority="247" operator="equal">
      <formula>"TEA"</formula>
    </cfRule>
    <cfRule type="cellIs" dxfId="982" priority="248" operator="equal">
      <formula>"BIN"</formula>
    </cfRule>
    <cfRule type="cellIs" dxfId="981" priority="249" operator="equal">
      <formula>"KIDS"</formula>
    </cfRule>
    <cfRule type="cellIs" dxfId="980" priority="250" operator="equal">
      <formula>"CR"</formula>
    </cfRule>
    <cfRule type="cellIs" dxfId="979" priority="251" operator="equal">
      <formula>"FB"</formula>
    </cfRule>
    <cfRule type="cellIs" dxfId="978" priority="252" operator="equal">
      <formula>"FFR"</formula>
    </cfRule>
    <cfRule type="cellIs" dxfId="977" priority="254" operator="equal">
      <formula>"PEN"</formula>
    </cfRule>
    <cfRule type="cellIs" dxfId="976" priority="255" operator="equal">
      <formula>"TW"</formula>
    </cfRule>
    <cfRule type="cellIs" dxfId="975" priority="256" operator="equal">
      <formula>"AD"</formula>
    </cfRule>
    <cfRule type="cellIs" dxfId="974" priority="257" operator="equal">
      <formula>"SY"</formula>
    </cfRule>
    <cfRule type="cellIs" dxfId="973" priority="258" operator="equal">
      <formula>"CSYS"</formula>
    </cfRule>
    <cfRule type="cellIs" dxfId="972" priority="259" operator="equal">
      <formula>"HHR"</formula>
    </cfRule>
    <cfRule type="cellIs" dxfId="971" priority="260" operator="equal">
      <formula>"HH"</formula>
    </cfRule>
    <cfRule type="cellIs" dxfId="970" priority="261" operator="equal">
      <formula>"STAFF"</formula>
    </cfRule>
  </conditionalFormatting>
  <conditionalFormatting sqref="H17:BT21 H24:BT31 H22:M23 H34:BT42 H32:M33 H44:BT48 H43:M43 H49:M49 H61:BT63 H60:W60 H65:BT66 H64:W64 Y64:AE64 H68:BT68 H67:W67 H50:W50 BD50:BT50 H51:BT52 AB32:AE32 AF49:BT49 AE33:AH33 Y49:AA50 AI60:AK60 AI64:AM64 H54:BT54 H53:W53 AM53:AR53 H56:BT58 H55:W55 H59:AB59 AM59:AT59 AB22:AE22 AJ22:BT22 AP23:BT23 AL32:BT32 AZ64:BT64 H70:BT103 H69:AI69 AZ69:BT69 O23:X23 O32:U32 O22:Q22 V22:X22 AC60:AE60 V33:X33 AT33:BT33 AB55:AH55 AF23:AI23 AT43:BT43 AJ43:AN43 AV60:BT60 AZ53:BT53 AM50:AY50 AZ59:BT59 AO69:AR69 AN67:AS67 AM55:BT55 AU67:BT67 AB53:AE53 O33:Q33 O43:U43">
    <cfRule type="cellIs" dxfId="969" priority="232" stopIfTrue="1" operator="equal">
      <formula>$Z$3</formula>
    </cfRule>
    <cfRule type="cellIs" dxfId="968" priority="228" stopIfTrue="1" operator="equal">
      <formula>$AD$3</formula>
    </cfRule>
    <cfRule type="cellIs" dxfId="967" priority="229" stopIfTrue="1" operator="equal">
      <formula>$AB$3</formula>
    </cfRule>
    <cfRule type="cellIs" dxfId="966" priority="230" stopIfTrue="1" operator="equal">
      <formula>$AC$3</formula>
    </cfRule>
    <cfRule type="cellIs" dxfId="965" priority="231" stopIfTrue="1" operator="equal">
      <formula>$AA$3</formula>
    </cfRule>
    <cfRule type="containsBlanks" dxfId="964" priority="239" stopIfTrue="1">
      <formula>LEN(TRIM(H17))=0</formula>
    </cfRule>
    <cfRule type="cellIs" dxfId="963" priority="233" stopIfTrue="1" operator="equal">
      <formula>$Y$3</formula>
    </cfRule>
    <cfRule type="cellIs" dxfId="962" priority="234" stopIfTrue="1" operator="equal">
      <formula>$X$3</formula>
    </cfRule>
    <cfRule type="cellIs" dxfId="961" priority="235" stopIfTrue="1" operator="equal">
      <formula>$W$3</formula>
    </cfRule>
    <cfRule type="cellIs" dxfId="960" priority="236" stopIfTrue="1" operator="equal">
      <formula>$V$3</formula>
    </cfRule>
    <cfRule type="cellIs" dxfId="959" priority="238" stopIfTrue="1" operator="equal">
      <formula>$T$3</formula>
    </cfRule>
    <cfRule type="cellIs" dxfId="958" priority="237" stopIfTrue="1" operator="equal">
      <formula>$U$3</formula>
    </cfRule>
  </conditionalFormatting>
  <conditionalFormatting sqref="T3:AW3">
    <cfRule type="containsBlanks" dxfId="957" priority="203" stopIfTrue="1">
      <formula>LEN(TRIM(T3))=0</formula>
    </cfRule>
  </conditionalFormatting>
  <conditionalFormatting sqref="BT5:BT6 H16:BJ16">
    <cfRule type="cellIs" dxfId="956" priority="345" operator="equal">
      <formula>"R6"</formula>
    </cfRule>
    <cfRule type="cellIs" dxfId="955" priority="346" operator="equal">
      <formula>"R5"</formula>
    </cfRule>
    <cfRule type="cellIs" dxfId="954" priority="347" operator="equal">
      <formula>"R4"</formula>
    </cfRule>
    <cfRule type="cellIs" dxfId="953" priority="348" operator="equal">
      <formula>"R3"</formula>
    </cfRule>
    <cfRule type="cellIs" dxfId="952" priority="349" operator="equal">
      <formula>"R2"</formula>
    </cfRule>
    <cfRule type="cellIs" dxfId="951" priority="350" operator="equal">
      <formula>"R1"</formula>
    </cfRule>
    <cfRule type="cellIs" dxfId="950" priority="351" operator="equal">
      <formula>"R"</formula>
    </cfRule>
    <cfRule type="cellIs" dxfId="949" priority="352" operator="equal">
      <formula>"TEA"</formula>
    </cfRule>
    <cfRule type="cellIs" dxfId="948" priority="353" operator="equal">
      <formula>"BIN"</formula>
    </cfRule>
    <cfRule type="cellIs" dxfId="947" priority="354" operator="equal">
      <formula>"KIDS"</formula>
    </cfRule>
    <cfRule type="cellIs" dxfId="946" priority="355" operator="equal">
      <formula>"CR"</formula>
    </cfRule>
    <cfRule type="cellIs" dxfId="945" priority="356" operator="equal">
      <formula>"FB"</formula>
    </cfRule>
    <cfRule type="cellIs" dxfId="944" priority="357" operator="equal">
      <formula>"FFR"</formula>
    </cfRule>
    <cfRule type="cellIs" dxfId="943" priority="358" operator="equal">
      <formula>"F"</formula>
    </cfRule>
    <cfRule type="cellIs" dxfId="942" priority="359" operator="equal">
      <formula>"PEN"</formula>
    </cfRule>
    <cfRule type="cellIs" dxfId="941" priority="360" operator="equal">
      <formula>"TW"</formula>
    </cfRule>
    <cfRule type="cellIs" dxfId="940" priority="361" operator="equal">
      <formula>"AD"</formula>
    </cfRule>
    <cfRule type="cellIs" dxfId="939" priority="362" operator="equal">
      <formula>"SY"</formula>
    </cfRule>
    <cfRule type="cellIs" dxfId="938" priority="363" operator="equal">
      <formula>"CSYS"</formula>
    </cfRule>
    <cfRule type="cellIs" dxfId="937" priority="364" operator="equal">
      <formula>"HHR"</formula>
    </cfRule>
    <cfRule type="cellIs" dxfId="936" priority="365" operator="equal">
      <formula>"HH"</formula>
    </cfRule>
    <cfRule type="cellIs" dxfId="935" priority="366" operator="equal">
      <formula>"STAFF"</formula>
    </cfRule>
    <cfRule type="cellIs" dxfId="934" priority="367" operator="equal">
      <formula>"LINW"</formula>
    </cfRule>
    <cfRule type="cellIs" dxfId="933" priority="368" operator="equal">
      <formula>"MINW"</formula>
    </cfRule>
    <cfRule type="cellIs" dxfId="932" priority="369" operator="equal">
      <formula>"ACC"</formula>
    </cfRule>
    <cfRule type="cellIs" dxfId="931" priority="370" operator="equal">
      <formula>"H"</formula>
    </cfRule>
    <cfRule type="cellIs" dxfId="930" priority="371" operator="equal">
      <formula>"ASM"</formula>
    </cfRule>
    <cfRule type="cellIs" dxfId="929" priority="372" operator="equal">
      <formula>"SM"</formula>
    </cfRule>
    <cfRule type="cellIs" dxfId="928" priority="373" operator="equal">
      <formula>"EMB"</formula>
    </cfRule>
    <cfRule type="cellIs" dxfId="927" priority="374" operator="equal">
      <formula>"H3"</formula>
    </cfRule>
    <cfRule type="cellIs" dxfId="926" priority="375" operator="equal">
      <formula>"H2"</formula>
    </cfRule>
    <cfRule type="cellIs" dxfId="925" priority="376" operator="equal">
      <formula>"H1"</formula>
    </cfRule>
  </conditionalFormatting>
  <conditionalFormatting sqref="N49 N43 N32:N33 N22:N23">
    <cfRule type="containsBlanks" dxfId="924" priority="138" stopIfTrue="1">
      <formula>LEN(TRIM(N22))=0</formula>
    </cfRule>
  </conditionalFormatting>
  <conditionalFormatting sqref="X67 X64 X60">
    <cfRule type="containsBlanks" dxfId="923" priority="137" stopIfTrue="1">
      <formula>LEN(TRIM(X60))=0</formula>
    </cfRule>
  </conditionalFormatting>
  <conditionalFormatting sqref="X50">
    <cfRule type="containsBlanks" dxfId="922" priority="136" stopIfTrue="1">
      <formula>LEN(TRIM(X50))=0</formula>
    </cfRule>
  </conditionalFormatting>
  <conditionalFormatting sqref="O49:Q49">
    <cfRule type="containsBlanks" dxfId="921" priority="135" stopIfTrue="1">
      <formula>LEN(TRIM(O49))=0</formula>
    </cfRule>
  </conditionalFormatting>
  <conditionalFormatting sqref="AZ50:BC50">
    <cfRule type="containsBlanks" dxfId="920" priority="134" stopIfTrue="1">
      <formula>LEN(TRIM(AZ50))=0</formula>
    </cfRule>
  </conditionalFormatting>
  <conditionalFormatting sqref="Y32:AA32 Y22:AA23">
    <cfRule type="containsBlanks" dxfId="919" priority="133" stopIfTrue="1">
      <formula>LEN(TRIM(Y22))=0</formula>
    </cfRule>
  </conditionalFormatting>
  <conditionalFormatting sqref="AB49:AD49 AB43:AD43 AB33:AD33">
    <cfRule type="containsBlanks" dxfId="918" priority="132" stopIfTrue="1">
      <formula>LEN(TRIM(AB33))=0</formula>
    </cfRule>
  </conditionalFormatting>
  <conditionalFormatting sqref="Y33:AA33">
    <cfRule type="cellIs" dxfId="917" priority="120" stopIfTrue="1" operator="equal">
      <formula>$AD$3</formula>
    </cfRule>
    <cfRule type="cellIs" dxfId="916" priority="121" stopIfTrue="1" operator="equal">
      <formula>$AB$3</formula>
    </cfRule>
    <cfRule type="cellIs" dxfId="915" priority="122" stopIfTrue="1" operator="equal">
      <formula>$AC$3</formula>
    </cfRule>
    <cfRule type="cellIs" dxfId="914" priority="123" stopIfTrue="1" operator="equal">
      <formula>$AA$3</formula>
    </cfRule>
    <cfRule type="cellIs" dxfId="913" priority="124" stopIfTrue="1" operator="equal">
      <formula>$Z$3</formula>
    </cfRule>
    <cfRule type="cellIs" dxfId="912" priority="125" stopIfTrue="1" operator="equal">
      <formula>$Y$3</formula>
    </cfRule>
    <cfRule type="cellIs" dxfId="911" priority="126" stopIfTrue="1" operator="equal">
      <formula>$X$3</formula>
    </cfRule>
    <cfRule type="cellIs" dxfId="910" priority="127" stopIfTrue="1" operator="equal">
      <formula>$W$3</formula>
    </cfRule>
    <cfRule type="cellIs" dxfId="909" priority="128" stopIfTrue="1" operator="equal">
      <formula>$V$3</formula>
    </cfRule>
    <cfRule type="cellIs" dxfId="908" priority="129" stopIfTrue="1" operator="equal">
      <formula>$U$3</formula>
    </cfRule>
    <cfRule type="cellIs" dxfId="907" priority="130" stopIfTrue="1" operator="equal">
      <formula>$T$3</formula>
    </cfRule>
    <cfRule type="containsBlanks" dxfId="906" priority="131" stopIfTrue="1">
      <formula>LEN(TRIM(Y33))=0</formula>
    </cfRule>
  </conditionalFormatting>
  <conditionalFormatting sqref="AE49">
    <cfRule type="containsBlanks" dxfId="905" priority="119" stopIfTrue="1">
      <formula>LEN(TRIM(AE49))=0</formula>
    </cfRule>
  </conditionalFormatting>
  <conditionalFormatting sqref="AF67:AH67 AF64:AH64 AF60:AH60">
    <cfRule type="containsBlanks" dxfId="904" priority="118" stopIfTrue="1">
      <formula>LEN(TRIM(AF60))=0</formula>
    </cfRule>
  </conditionalFormatting>
  <conditionalFormatting sqref="AI59:AK59 AI55:AK55 AI53:AK53 AI50:AK50">
    <cfRule type="containsBlanks" dxfId="903" priority="117" stopIfTrue="1">
      <formula>LEN(TRIM(AI50))=0</formula>
    </cfRule>
  </conditionalFormatting>
  <conditionalFormatting sqref="AL59 AL55 AL53 AL50">
    <cfRule type="containsBlanks" dxfId="902" priority="116" stopIfTrue="1">
      <formula>LEN(TRIM(AL50))=0</formula>
    </cfRule>
  </conditionalFormatting>
  <conditionalFormatting sqref="AI22">
    <cfRule type="containsBlanks" dxfId="901" priority="115" stopIfTrue="1">
      <formula>LEN(TRIM(AI22))=0</formula>
    </cfRule>
  </conditionalFormatting>
  <conditionalFormatting sqref="AJ23">
    <cfRule type="containsBlanks" dxfId="900" priority="114" stopIfTrue="1">
      <formula>LEN(TRIM(AJ23))=0</formula>
    </cfRule>
  </conditionalFormatting>
  <conditionalFormatting sqref="AK32">
    <cfRule type="containsBlanks" dxfId="899" priority="113" stopIfTrue="1">
      <formula>LEN(TRIM(AK32))=0</formula>
    </cfRule>
  </conditionalFormatting>
  <conditionalFormatting sqref="AS64">
    <cfRule type="containsBlanks" dxfId="898" priority="109" stopIfTrue="1">
      <formula>LEN(TRIM(AS64))=0</formula>
    </cfRule>
  </conditionalFormatting>
  <conditionalFormatting sqref="AT67">
    <cfRule type="containsBlanks" dxfId="897" priority="108" stopIfTrue="1">
      <formula>LEN(TRIM(AT67))=0</formula>
    </cfRule>
  </conditionalFormatting>
  <conditionalFormatting sqref="R22:U22">
    <cfRule type="containsBlanks" dxfId="896" priority="106" stopIfTrue="1">
      <formula>LEN(TRIM(R22))=0</formula>
    </cfRule>
  </conditionalFormatting>
  <conditionalFormatting sqref="V43:Y43">
    <cfRule type="containsBlanks" dxfId="895" priority="105" stopIfTrue="1">
      <formula>LEN(TRIM(V43))=0</formula>
    </cfRule>
  </conditionalFormatting>
  <conditionalFormatting sqref="Z43:AA43">
    <cfRule type="containsBlanks" dxfId="894" priority="104" stopIfTrue="1">
      <formula>LEN(TRIM(Z43))=0</formula>
    </cfRule>
  </conditionalFormatting>
  <conditionalFormatting sqref="Y60:AA60">
    <cfRule type="containsBlanks" dxfId="893" priority="103" stopIfTrue="1">
      <formula>LEN(TRIM(Y60))=0</formula>
    </cfRule>
  </conditionalFormatting>
  <conditionalFormatting sqref="AC59:AF59">
    <cfRule type="containsBlanks" dxfId="892" priority="102" stopIfTrue="1">
      <formula>LEN(TRIM(AC59))=0</formula>
    </cfRule>
  </conditionalFormatting>
  <conditionalFormatting sqref="AC50:AE50">
    <cfRule type="containsBlanks" dxfId="891" priority="101" stopIfTrue="1">
      <formula>LEN(TRIM(AC50))=0</formula>
    </cfRule>
  </conditionalFormatting>
  <conditionalFormatting sqref="AB50">
    <cfRule type="containsBlanks" dxfId="890" priority="100" stopIfTrue="1">
      <formula>LEN(TRIM(AB50))=0</formula>
    </cfRule>
  </conditionalFormatting>
  <conditionalFormatting sqref="AF50:AH50">
    <cfRule type="cellIs" dxfId="889" priority="88" stopIfTrue="1" operator="equal">
      <formula>$AD$3</formula>
    </cfRule>
    <cfRule type="cellIs" dxfId="888" priority="89" stopIfTrue="1" operator="equal">
      <formula>$AB$3</formula>
    </cfRule>
    <cfRule type="cellIs" dxfId="887" priority="90" stopIfTrue="1" operator="equal">
      <formula>$AC$3</formula>
    </cfRule>
    <cfRule type="cellIs" dxfId="886" priority="91" stopIfTrue="1" operator="equal">
      <formula>$AA$3</formula>
    </cfRule>
    <cfRule type="cellIs" dxfId="885" priority="92" stopIfTrue="1" operator="equal">
      <formula>$Z$3</formula>
    </cfRule>
    <cfRule type="cellIs" dxfId="884" priority="93" stopIfTrue="1" operator="equal">
      <formula>$Y$3</formula>
    </cfRule>
    <cfRule type="cellIs" dxfId="883" priority="94" stopIfTrue="1" operator="equal">
      <formula>$X$3</formula>
    </cfRule>
    <cfRule type="cellIs" dxfId="882" priority="95" stopIfTrue="1" operator="equal">
      <formula>$W$3</formula>
    </cfRule>
    <cfRule type="cellIs" dxfId="881" priority="96" stopIfTrue="1" operator="equal">
      <formula>$V$3</formula>
    </cfRule>
    <cfRule type="cellIs" dxfId="880" priority="97" stopIfTrue="1" operator="equal">
      <formula>$U$3</formula>
    </cfRule>
    <cfRule type="cellIs" dxfId="879" priority="98" stopIfTrue="1" operator="equal">
      <formula>$T$3</formula>
    </cfRule>
    <cfRule type="containsBlanks" dxfId="878" priority="99" stopIfTrue="1">
      <formula>LEN(TRIM(AF50))=0</formula>
    </cfRule>
  </conditionalFormatting>
  <conditionalFormatting sqref="AB60">
    <cfRule type="containsBlanks" dxfId="877" priority="87" stopIfTrue="1">
      <formula>LEN(TRIM(AB60))=0</formula>
    </cfRule>
  </conditionalFormatting>
  <conditionalFormatting sqref="AG59:AH59">
    <cfRule type="cellIs" dxfId="876" priority="75" stopIfTrue="1" operator="equal">
      <formula>$AD$3</formula>
    </cfRule>
    <cfRule type="cellIs" dxfId="875" priority="76" stopIfTrue="1" operator="equal">
      <formula>$AB$3</formula>
    </cfRule>
    <cfRule type="cellIs" dxfId="874" priority="77" stopIfTrue="1" operator="equal">
      <formula>$AC$3</formula>
    </cfRule>
    <cfRule type="cellIs" dxfId="873" priority="78" stopIfTrue="1" operator="equal">
      <formula>$AA$3</formula>
    </cfRule>
    <cfRule type="cellIs" dxfId="872" priority="79" stopIfTrue="1" operator="equal">
      <formula>$Z$3</formula>
    </cfRule>
    <cfRule type="cellIs" dxfId="871" priority="80" stopIfTrue="1" operator="equal">
      <formula>$Y$3</formula>
    </cfRule>
    <cfRule type="cellIs" dxfId="870" priority="81" stopIfTrue="1" operator="equal">
      <formula>$X$3</formula>
    </cfRule>
    <cfRule type="cellIs" dxfId="869" priority="82" stopIfTrue="1" operator="equal">
      <formula>$W$3</formula>
    </cfRule>
    <cfRule type="cellIs" dxfId="868" priority="83" stopIfTrue="1" operator="equal">
      <formula>$V$3</formula>
    </cfRule>
    <cfRule type="cellIs" dxfId="867" priority="84" stopIfTrue="1" operator="equal">
      <formula>$U$3</formula>
    </cfRule>
    <cfRule type="cellIs" dxfId="866" priority="85" stopIfTrue="1" operator="equal">
      <formula>$T$3</formula>
    </cfRule>
    <cfRule type="containsBlanks" dxfId="865" priority="86" stopIfTrue="1">
      <formula>LEN(TRIM(AG59))=0</formula>
    </cfRule>
  </conditionalFormatting>
  <conditionalFormatting sqref="AF32:AI32">
    <cfRule type="containsBlanks" dxfId="864" priority="73" stopIfTrue="1">
      <formula>LEN(TRIM(AF32))=0</formula>
    </cfRule>
  </conditionalFormatting>
  <conditionalFormatting sqref="AJ32">
    <cfRule type="containsBlanks" dxfId="863" priority="72" stopIfTrue="1">
      <formula>LEN(TRIM(AJ32))=0</formula>
    </cfRule>
  </conditionalFormatting>
  <conditionalFormatting sqref="AI67:AM67">
    <cfRule type="containsBlanks" dxfId="862" priority="71" stopIfTrue="1">
      <formula>LEN(TRIM(AI67))=0</formula>
    </cfRule>
  </conditionalFormatting>
  <conditionalFormatting sqref="AK23:AO23">
    <cfRule type="containsBlanks" dxfId="861" priority="70" stopIfTrue="1">
      <formula>LEN(TRIM(AK23))=0</formula>
    </cfRule>
  </conditionalFormatting>
  <conditionalFormatting sqref="AN64:AR64">
    <cfRule type="containsBlanks" dxfId="860" priority="69" stopIfTrue="1">
      <formula>LEN(TRIM(AN64))=0</formula>
    </cfRule>
  </conditionalFormatting>
  <conditionalFormatting sqref="AP60:AS60">
    <cfRule type="containsBlanks" dxfId="859" priority="68" stopIfTrue="1">
      <formula>LEN(TRIM(AP60))=0</formula>
    </cfRule>
  </conditionalFormatting>
  <conditionalFormatting sqref="AT60">
    <cfRule type="containsBlanks" dxfId="858" priority="67" stopIfTrue="1">
      <formula>LEN(TRIM(AT60))=0</formula>
    </cfRule>
  </conditionalFormatting>
  <conditionalFormatting sqref="AU60">
    <cfRule type="containsBlanks" dxfId="857" priority="66" stopIfTrue="1">
      <formula>LEN(TRIM(AU60))=0</formula>
    </cfRule>
  </conditionalFormatting>
  <conditionalFormatting sqref="R33:U33">
    <cfRule type="containsBlanks" dxfId="856" priority="62" stopIfTrue="1">
      <formula>LEN(TRIM(R33))=0</formula>
    </cfRule>
  </conditionalFormatting>
  <conditionalFormatting sqref="V32:X32">
    <cfRule type="containsBlanks" dxfId="855" priority="61" stopIfTrue="1">
      <formula>LEN(TRIM(V32))=0</formula>
    </cfRule>
  </conditionalFormatting>
  <conditionalFormatting sqref="Y67:AB67">
    <cfRule type="containsBlanks" dxfId="854" priority="60" stopIfTrue="1">
      <formula>LEN(TRIM(Y67))=0</formula>
    </cfRule>
  </conditionalFormatting>
  <conditionalFormatting sqref="AC67:AD67">
    <cfRule type="containsBlanks" dxfId="853" priority="59" stopIfTrue="1">
      <formula>LEN(TRIM(AC67))=0</formula>
    </cfRule>
  </conditionalFormatting>
  <conditionalFormatting sqref="AE67">
    <cfRule type="cellIs" dxfId="852" priority="47" stopIfTrue="1" operator="equal">
      <formula>$AD$3</formula>
    </cfRule>
    <cfRule type="cellIs" dxfId="851" priority="48" stopIfTrue="1" operator="equal">
      <formula>$AB$3</formula>
    </cfRule>
    <cfRule type="cellIs" dxfId="850" priority="49" stopIfTrue="1" operator="equal">
      <formula>$AC$3</formula>
    </cfRule>
    <cfRule type="cellIs" dxfId="849" priority="50" stopIfTrue="1" operator="equal">
      <formula>$AA$3</formula>
    </cfRule>
    <cfRule type="cellIs" dxfId="848" priority="51" stopIfTrue="1" operator="equal">
      <formula>$Z$3</formula>
    </cfRule>
    <cfRule type="cellIs" dxfId="847" priority="52" stopIfTrue="1" operator="equal">
      <formula>$Y$3</formula>
    </cfRule>
    <cfRule type="cellIs" dxfId="846" priority="53" stopIfTrue="1" operator="equal">
      <formula>$X$3</formula>
    </cfRule>
    <cfRule type="cellIs" dxfId="845" priority="54" stopIfTrue="1" operator="equal">
      <formula>$W$3</formula>
    </cfRule>
    <cfRule type="cellIs" dxfId="844" priority="55" stopIfTrue="1" operator="equal">
      <formula>$V$3</formula>
    </cfRule>
    <cfRule type="cellIs" dxfId="843" priority="56" stopIfTrue="1" operator="equal">
      <formula>$U$3</formula>
    </cfRule>
    <cfRule type="cellIs" dxfId="842" priority="57" stopIfTrue="1" operator="equal">
      <formula>$T$3</formula>
    </cfRule>
    <cfRule type="containsBlanks" dxfId="841" priority="58" stopIfTrue="1">
      <formula>LEN(TRIM(AE67))=0</formula>
    </cfRule>
  </conditionalFormatting>
  <conditionalFormatting sqref="AE43:AI43">
    <cfRule type="containsBlanks" dxfId="840" priority="46" stopIfTrue="1">
      <formula>LEN(TRIM(AE43))=0</formula>
    </cfRule>
  </conditionalFormatting>
  <conditionalFormatting sqref="AJ69:AN69">
    <cfRule type="containsBlanks" dxfId="839" priority="45" stopIfTrue="1">
      <formula>LEN(TRIM(AJ69))=0</formula>
    </cfRule>
  </conditionalFormatting>
  <conditionalFormatting sqref="AO33:AS33">
    <cfRule type="containsBlanks" dxfId="838" priority="44" stopIfTrue="1">
      <formula>LEN(TRIM(AO33))=0</formula>
    </cfRule>
  </conditionalFormatting>
  <conditionalFormatting sqref="AT64:AY64">
    <cfRule type="containsBlanks" dxfId="837" priority="43" stopIfTrue="1">
      <formula>LEN(TRIM(AT64))=0</formula>
    </cfRule>
  </conditionalFormatting>
  <conditionalFormatting sqref="R49:W49">
    <cfRule type="containsBlanks" dxfId="836" priority="42" stopIfTrue="1">
      <formula>LEN(TRIM(R49))=0</formula>
    </cfRule>
  </conditionalFormatting>
  <conditionalFormatting sqref="X55:AA55">
    <cfRule type="containsBlanks" dxfId="835" priority="40" stopIfTrue="1">
      <formula>LEN(TRIM(X55))=0</formula>
    </cfRule>
  </conditionalFormatting>
  <conditionalFormatting sqref="X49">
    <cfRule type="cellIs" dxfId="834" priority="28" stopIfTrue="1" operator="equal">
      <formula>$AD$3</formula>
    </cfRule>
    <cfRule type="cellIs" dxfId="833" priority="29" stopIfTrue="1" operator="equal">
      <formula>$AB$3</formula>
    </cfRule>
    <cfRule type="cellIs" dxfId="832" priority="30" stopIfTrue="1" operator="equal">
      <formula>$AC$3</formula>
    </cfRule>
    <cfRule type="cellIs" dxfId="831" priority="31" stopIfTrue="1" operator="equal">
      <formula>$AA$3</formula>
    </cfRule>
    <cfRule type="cellIs" dxfId="830" priority="32" stopIfTrue="1" operator="equal">
      <formula>$Z$3</formula>
    </cfRule>
    <cfRule type="cellIs" dxfId="829" priority="33" stopIfTrue="1" operator="equal">
      <formula>$Y$3</formula>
    </cfRule>
    <cfRule type="cellIs" dxfId="828" priority="34" stopIfTrue="1" operator="equal">
      <formula>$X$3</formula>
    </cfRule>
    <cfRule type="cellIs" dxfId="827" priority="35" stopIfTrue="1" operator="equal">
      <formula>$W$3</formula>
    </cfRule>
    <cfRule type="cellIs" dxfId="826" priority="36" stopIfTrue="1" operator="equal">
      <formula>$V$3</formula>
    </cfRule>
    <cfRule type="cellIs" dxfId="825" priority="37" stopIfTrue="1" operator="equal">
      <formula>$U$3</formula>
    </cfRule>
    <cfRule type="cellIs" dxfId="824" priority="38" stopIfTrue="1" operator="equal">
      <formula>$T$3</formula>
    </cfRule>
    <cfRule type="containsBlanks" dxfId="823" priority="39" stopIfTrue="1">
      <formula>LEN(TRIM(X49))=0</formula>
    </cfRule>
  </conditionalFormatting>
  <conditionalFormatting sqref="AB23:AE23">
    <cfRule type="containsBlanks" dxfId="822" priority="27" stopIfTrue="1">
      <formula>LEN(TRIM(AB23))=0</formula>
    </cfRule>
  </conditionalFormatting>
  <conditionalFormatting sqref="AF22:AH22">
    <cfRule type="containsBlanks" dxfId="821" priority="26" stopIfTrue="1">
      <formula>LEN(TRIM(AF22))=0</formula>
    </cfRule>
  </conditionalFormatting>
  <conditionalFormatting sqref="AF53:AH53">
    <cfRule type="containsBlanks" dxfId="820" priority="25" stopIfTrue="1">
      <formula>LEN(TRIM(AF53))=0</formula>
    </cfRule>
  </conditionalFormatting>
  <conditionalFormatting sqref="AI33:AL33">
    <cfRule type="containsBlanks" dxfId="819" priority="24" stopIfTrue="1">
      <formula>LEN(TRIM(AI33))=0</formula>
    </cfRule>
  </conditionalFormatting>
  <conditionalFormatting sqref="AM33">
    <cfRule type="containsBlanks" dxfId="818" priority="23" stopIfTrue="1">
      <formula>LEN(TRIM(AM33))=0</formula>
    </cfRule>
  </conditionalFormatting>
  <conditionalFormatting sqref="AL60:AO60">
    <cfRule type="containsBlanks" dxfId="817" priority="22" stopIfTrue="1">
      <formula>LEN(TRIM(AL60))=0</formula>
    </cfRule>
  </conditionalFormatting>
  <conditionalFormatting sqref="AP43:AS43">
    <cfRule type="containsBlanks" dxfId="816" priority="21" stopIfTrue="1">
      <formula>LEN(TRIM(AP43))=0</formula>
    </cfRule>
  </conditionalFormatting>
  <conditionalFormatting sqref="AO43">
    <cfRule type="containsBlanks" dxfId="815" priority="20" stopIfTrue="1">
      <formula>LEN(TRIM(AO43))=0</formula>
    </cfRule>
  </conditionalFormatting>
  <conditionalFormatting sqref="AS53:AY53">
    <cfRule type="containsBlanks" dxfId="814" priority="19" stopIfTrue="1">
      <formula>LEN(TRIM(AS53))=0</formula>
    </cfRule>
  </conditionalFormatting>
  <conditionalFormatting sqref="AU59:AY59">
    <cfRule type="containsBlanks" dxfId="813" priority="17" stopIfTrue="1">
      <formula>LEN(TRIM(AU59))=0</formula>
    </cfRule>
  </conditionalFormatting>
  <conditionalFormatting sqref="AT69:AY69">
    <cfRule type="containsBlanks" dxfId="812" priority="15" stopIfTrue="1">
      <formula>LEN(TRIM(AT69))=0</formula>
    </cfRule>
  </conditionalFormatting>
  <conditionalFormatting sqref="AS69">
    <cfRule type="containsBlanks" dxfId="811" priority="14" stopIfTrue="1">
      <formula>LEN(TRIM(AS69))=0</formula>
    </cfRule>
  </conditionalFormatting>
  <conditionalFormatting sqref="AN33">
    <cfRule type="cellIs" dxfId="810" priority="2" stopIfTrue="1" operator="equal">
      <formula>$AD$3</formula>
    </cfRule>
    <cfRule type="cellIs" dxfId="809" priority="3" stopIfTrue="1" operator="equal">
      <formula>$AB$3</formula>
    </cfRule>
    <cfRule type="cellIs" dxfId="808" priority="4" stopIfTrue="1" operator="equal">
      <formula>$AC$3</formula>
    </cfRule>
    <cfRule type="cellIs" dxfId="807" priority="5" stopIfTrue="1" operator="equal">
      <formula>$AA$3</formula>
    </cfRule>
    <cfRule type="cellIs" dxfId="806" priority="6" stopIfTrue="1" operator="equal">
      <formula>$Z$3</formula>
    </cfRule>
    <cfRule type="cellIs" dxfId="805" priority="7" stopIfTrue="1" operator="equal">
      <formula>$Y$3</formula>
    </cfRule>
    <cfRule type="cellIs" dxfId="804" priority="8" stopIfTrue="1" operator="equal">
      <formula>$X$3</formula>
    </cfRule>
    <cfRule type="cellIs" dxfId="803" priority="9" stopIfTrue="1" operator="equal">
      <formula>$W$3</formula>
    </cfRule>
    <cfRule type="cellIs" dxfId="802" priority="10" stopIfTrue="1" operator="equal">
      <formula>$V$3</formula>
    </cfRule>
    <cfRule type="cellIs" dxfId="801" priority="11" stopIfTrue="1" operator="equal">
      <formula>$U$3</formula>
    </cfRule>
    <cfRule type="cellIs" dxfId="800" priority="12" stopIfTrue="1" operator="equal">
      <formula>$T$3</formula>
    </cfRule>
    <cfRule type="containsBlanks" dxfId="799" priority="13" stopIfTrue="1">
      <formula>LEN(TRIM(AN33))=0</formula>
    </cfRule>
  </conditionalFormatting>
  <conditionalFormatting sqref="X53:AA53">
    <cfRule type="containsBlanks" dxfId="798" priority="1" stopIfTrue="1">
      <formula>LEN(TRIM(X53))=0</formula>
    </cfRule>
  </conditionalFormatting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B1:BU108"/>
  <sheetViews>
    <sheetView zoomScale="70" zoomScaleNormal="70" workbookViewId="0">
      <selection activeCell="BE1" sqref="BD1:BE1048576"/>
    </sheetView>
  </sheetViews>
  <sheetFormatPr defaultRowHeight="12.6" outlineLevelCol="1"/>
  <cols>
    <col min="1" max="1" width="1.5703125" customWidth="1"/>
    <col min="2" max="2" width="5" customWidth="1"/>
    <col min="3" max="3" width="17.42578125" bestFit="1" customWidth="1"/>
    <col min="4" max="4" width="11.140625" hidden="1" customWidth="1"/>
    <col min="5" max="5" width="6.140625" customWidth="1"/>
    <col min="6" max="7" width="8" customWidth="1"/>
    <col min="8" max="11" width="3.85546875" style="1" hidden="1" customWidth="1" outlineLevel="1"/>
    <col min="12" max="12" width="3.85546875" style="1" hidden="1" customWidth="1" collapsed="1"/>
    <col min="13" max="13" width="3.85546875" style="1" hidden="1" customWidth="1"/>
    <col min="14" max="55" width="3.85546875" style="1" customWidth="1"/>
    <col min="56" max="57" width="3.85546875" style="1" hidden="1" customWidth="1"/>
    <col min="58" max="59" width="3.85546875" style="1" hidden="1" customWidth="1" outlineLevel="1"/>
    <col min="60" max="71" width="3.85546875" hidden="1" customWidth="1" outlineLevel="1"/>
    <col min="72" max="72" width="4.85546875" hidden="1" customWidth="1" outlineLevel="1"/>
    <col min="73" max="73" width="8.85546875" collapsed="1"/>
  </cols>
  <sheetData>
    <row r="1" spans="2:72" ht="5.45" customHeight="1"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2:72">
      <c r="T2" s="138" t="s">
        <v>327</v>
      </c>
      <c r="U2" s="138"/>
      <c r="V2" s="138"/>
      <c r="W2" s="138"/>
      <c r="X2" s="138"/>
      <c r="Y2" s="138" t="s">
        <v>229</v>
      </c>
      <c r="Z2" s="138"/>
      <c r="AA2" s="138"/>
      <c r="AB2" s="138"/>
      <c r="AC2" s="138"/>
      <c r="AD2" s="47" t="s">
        <v>231</v>
      </c>
      <c r="AE2" s="138" t="s">
        <v>328</v>
      </c>
      <c r="AF2" s="138"/>
      <c r="AG2" s="138"/>
      <c r="AH2" s="138" t="s">
        <v>329</v>
      </c>
      <c r="AI2" s="138"/>
      <c r="AJ2" s="138"/>
      <c r="AK2" s="138"/>
      <c r="AL2" s="138" t="s">
        <v>330</v>
      </c>
      <c r="AM2" s="138"/>
      <c r="AN2" s="138" t="s">
        <v>248</v>
      </c>
      <c r="AO2" s="138"/>
      <c r="AP2" s="138"/>
      <c r="AQ2" s="138"/>
      <c r="AR2" s="138"/>
      <c r="AS2" s="138"/>
      <c r="AT2" s="138" t="s">
        <v>331</v>
      </c>
      <c r="AU2" s="138"/>
      <c r="AV2" s="138"/>
      <c r="AW2" s="138"/>
      <c r="AX2" s="2"/>
      <c r="AY2" s="2"/>
      <c r="AZ2" s="2"/>
      <c r="BA2" s="2"/>
      <c r="BB2" s="2"/>
    </row>
    <row r="3" spans="2:72">
      <c r="T3" s="16" t="s">
        <v>210</v>
      </c>
      <c r="U3" s="17" t="s">
        <v>212</v>
      </c>
      <c r="V3" s="18" t="s">
        <v>214</v>
      </c>
      <c r="W3" s="20" t="s">
        <v>216</v>
      </c>
      <c r="X3" s="19" t="s">
        <v>218</v>
      </c>
      <c r="Y3" s="11" t="s">
        <v>220</v>
      </c>
      <c r="Z3" s="12" t="s">
        <v>222</v>
      </c>
      <c r="AA3" s="14" t="s">
        <v>224</v>
      </c>
      <c r="AB3" s="15" t="s">
        <v>226</v>
      </c>
      <c r="AC3" s="13" t="s">
        <v>228</v>
      </c>
      <c r="AD3" s="42" t="s">
        <v>230</v>
      </c>
      <c r="AE3" s="46">
        <v>40</v>
      </c>
      <c r="AF3" s="46">
        <v>15</v>
      </c>
      <c r="AG3" s="46">
        <v>10</v>
      </c>
      <c r="AH3" s="40" t="s">
        <v>235</v>
      </c>
      <c r="AI3" s="41" t="s">
        <v>237</v>
      </c>
      <c r="AJ3" s="45" t="s">
        <v>239</v>
      </c>
      <c r="AK3" s="21" t="s">
        <v>241</v>
      </c>
      <c r="AL3" s="43" t="s">
        <v>243</v>
      </c>
      <c r="AM3" s="44" t="s">
        <v>245</v>
      </c>
      <c r="AN3" s="39" t="s">
        <v>247</v>
      </c>
      <c r="AO3" s="39" t="s">
        <v>249</v>
      </c>
      <c r="AP3" s="39" t="s">
        <v>251</v>
      </c>
      <c r="AQ3" s="39" t="s">
        <v>253</v>
      </c>
      <c r="AR3" s="39" t="s">
        <v>255</v>
      </c>
      <c r="AS3" s="39" t="s">
        <v>257</v>
      </c>
      <c r="AT3" s="10" t="s">
        <v>259</v>
      </c>
      <c r="AU3" s="10" t="s">
        <v>261</v>
      </c>
      <c r="AV3" s="10" t="s">
        <v>263</v>
      </c>
      <c r="AW3" s="10" t="s">
        <v>265</v>
      </c>
      <c r="AX3" s="2"/>
      <c r="AY3" s="2"/>
      <c r="AZ3" s="2"/>
      <c r="BA3" s="2"/>
      <c r="BB3" s="2"/>
    </row>
    <row r="4" spans="2:72" ht="6" customHeight="1"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2:72" ht="10.35" customHeight="1">
      <c r="C5" s="8" t="str">
        <f>Weekly!J2</f>
        <v xml:space="preserve"> Tue Nov 11</v>
      </c>
      <c r="H5" s="139">
        <v>7</v>
      </c>
      <c r="I5" s="140"/>
      <c r="J5" s="140"/>
      <c r="K5" s="141"/>
      <c r="L5" s="139">
        <v>8</v>
      </c>
      <c r="M5" s="140"/>
      <c r="N5" s="140"/>
      <c r="O5" s="141"/>
      <c r="P5" s="139">
        <v>9</v>
      </c>
      <c r="Q5" s="140"/>
      <c r="R5" s="140"/>
      <c r="S5" s="141"/>
      <c r="T5" s="139">
        <v>10</v>
      </c>
      <c r="U5" s="140"/>
      <c r="V5" s="140"/>
      <c r="W5" s="141"/>
      <c r="X5" s="139">
        <v>11</v>
      </c>
      <c r="Y5" s="140"/>
      <c r="Z5" s="140"/>
      <c r="AA5" s="141"/>
      <c r="AB5" s="139">
        <v>12</v>
      </c>
      <c r="AC5" s="140"/>
      <c r="AD5" s="140"/>
      <c r="AE5" s="141"/>
      <c r="AF5" s="139">
        <v>13</v>
      </c>
      <c r="AG5" s="140"/>
      <c r="AH5" s="140"/>
      <c r="AI5" s="141"/>
      <c r="AJ5" s="139">
        <v>14</v>
      </c>
      <c r="AK5" s="140"/>
      <c r="AL5" s="140"/>
      <c r="AM5" s="141"/>
      <c r="AN5" s="139">
        <v>15</v>
      </c>
      <c r="AO5" s="140"/>
      <c r="AP5" s="140"/>
      <c r="AQ5" s="141"/>
      <c r="AR5" s="139">
        <v>16</v>
      </c>
      <c r="AS5" s="140"/>
      <c r="AT5" s="140"/>
      <c r="AU5" s="141"/>
      <c r="AV5" s="139">
        <v>17</v>
      </c>
      <c r="AW5" s="140"/>
      <c r="AX5" s="140"/>
      <c r="AY5" s="141"/>
      <c r="AZ5" s="139">
        <v>18</v>
      </c>
      <c r="BA5" s="140"/>
      <c r="BB5" s="140"/>
      <c r="BC5" s="141"/>
      <c r="BD5" s="139">
        <v>19</v>
      </c>
      <c r="BE5" s="140"/>
      <c r="BF5" s="140"/>
      <c r="BG5" s="141"/>
      <c r="BH5" s="139">
        <v>20</v>
      </c>
      <c r="BI5" s="140"/>
      <c r="BJ5" s="140"/>
      <c r="BK5" s="141"/>
      <c r="BL5" s="139">
        <v>21</v>
      </c>
      <c r="BM5" s="140"/>
      <c r="BN5" s="140"/>
      <c r="BO5" s="141"/>
      <c r="BP5" s="139">
        <v>22</v>
      </c>
      <c r="BQ5" s="140"/>
      <c r="BR5" s="140"/>
      <c r="BS5" s="141"/>
      <c r="BT5" s="6">
        <v>0.95833333333332604</v>
      </c>
    </row>
    <row r="6" spans="2:72" ht="12.95">
      <c r="C6" s="8"/>
      <c r="H6" s="100" t="s">
        <v>332</v>
      </c>
      <c r="I6" s="98">
        <v>15</v>
      </c>
      <c r="J6" s="98">
        <v>30</v>
      </c>
      <c r="K6" s="99">
        <v>45</v>
      </c>
      <c r="L6" s="100" t="s">
        <v>332</v>
      </c>
      <c r="M6" s="98">
        <v>15</v>
      </c>
      <c r="N6" s="98">
        <v>30</v>
      </c>
      <c r="O6" s="99">
        <v>45</v>
      </c>
      <c r="P6" s="100" t="s">
        <v>332</v>
      </c>
      <c r="Q6" s="98">
        <v>15</v>
      </c>
      <c r="R6" s="98">
        <v>30</v>
      </c>
      <c r="S6" s="99">
        <v>45</v>
      </c>
      <c r="T6" s="100" t="s">
        <v>332</v>
      </c>
      <c r="U6" s="98">
        <v>15</v>
      </c>
      <c r="V6" s="98">
        <v>30</v>
      </c>
      <c r="W6" s="99">
        <v>45</v>
      </c>
      <c r="X6" s="100" t="s">
        <v>332</v>
      </c>
      <c r="Y6" s="98">
        <v>15</v>
      </c>
      <c r="Z6" s="98">
        <v>30</v>
      </c>
      <c r="AA6" s="99">
        <v>45</v>
      </c>
      <c r="AB6" s="100" t="s">
        <v>332</v>
      </c>
      <c r="AC6" s="98">
        <v>15</v>
      </c>
      <c r="AD6" s="98">
        <v>30</v>
      </c>
      <c r="AE6" s="99">
        <v>45</v>
      </c>
      <c r="AF6" s="100" t="s">
        <v>332</v>
      </c>
      <c r="AG6" s="98">
        <v>15</v>
      </c>
      <c r="AH6" s="98">
        <v>30</v>
      </c>
      <c r="AI6" s="99">
        <v>45</v>
      </c>
      <c r="AJ6" s="100" t="s">
        <v>332</v>
      </c>
      <c r="AK6" s="98">
        <v>15</v>
      </c>
      <c r="AL6" s="98">
        <v>30</v>
      </c>
      <c r="AM6" s="99">
        <v>45</v>
      </c>
      <c r="AN6" s="100" t="s">
        <v>332</v>
      </c>
      <c r="AO6" s="98">
        <v>15</v>
      </c>
      <c r="AP6" s="98">
        <v>30</v>
      </c>
      <c r="AQ6" s="99">
        <v>45</v>
      </c>
      <c r="AR6" s="100" t="s">
        <v>332</v>
      </c>
      <c r="AS6" s="98">
        <v>15</v>
      </c>
      <c r="AT6" s="98">
        <v>30</v>
      </c>
      <c r="AU6" s="99">
        <v>45</v>
      </c>
      <c r="AV6" s="100" t="s">
        <v>332</v>
      </c>
      <c r="AW6" s="98">
        <v>15</v>
      </c>
      <c r="AX6" s="98">
        <v>30</v>
      </c>
      <c r="AY6" s="99">
        <v>45</v>
      </c>
      <c r="AZ6" s="100" t="s">
        <v>332</v>
      </c>
      <c r="BA6" s="98">
        <v>15</v>
      </c>
      <c r="BB6" s="98">
        <v>30</v>
      </c>
      <c r="BC6" s="99">
        <v>45</v>
      </c>
      <c r="BD6" s="100" t="s">
        <v>332</v>
      </c>
      <c r="BE6" s="98">
        <v>15</v>
      </c>
      <c r="BF6" s="98">
        <v>30</v>
      </c>
      <c r="BG6" s="99">
        <v>45</v>
      </c>
      <c r="BH6" s="100" t="s">
        <v>332</v>
      </c>
      <c r="BI6" s="98">
        <v>15</v>
      </c>
      <c r="BJ6" s="98">
        <v>30</v>
      </c>
      <c r="BK6" s="99">
        <v>45</v>
      </c>
      <c r="BL6" s="100" t="s">
        <v>332</v>
      </c>
      <c r="BM6" s="98">
        <v>15</v>
      </c>
      <c r="BN6" s="98">
        <v>30</v>
      </c>
      <c r="BO6" s="99">
        <v>45</v>
      </c>
      <c r="BP6" s="100" t="s">
        <v>332</v>
      </c>
      <c r="BQ6" s="98">
        <v>15</v>
      </c>
      <c r="BR6" s="98">
        <v>30</v>
      </c>
      <c r="BS6" s="99">
        <v>45</v>
      </c>
      <c r="BT6" s="6"/>
    </row>
    <row r="7" spans="2:72" ht="10.35" customHeight="1">
      <c r="G7" s="24" t="s">
        <v>236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ht="10.35" customHeight="1">
      <c r="G8" s="24" t="s">
        <v>238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ht="10.35" customHeight="1">
      <c r="G9" s="24" t="s">
        <v>333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ht="10.35" customHeight="1">
      <c r="G10" s="24" t="s">
        <v>242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ht="10.35" customHeight="1">
      <c r="G11" s="23" t="s">
        <v>334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6</v>
      </c>
      <c r="O11" s="22">
        <f t="shared" si="4"/>
        <v>6</v>
      </c>
      <c r="P11" s="22">
        <f t="shared" si="4"/>
        <v>6</v>
      </c>
      <c r="Q11" s="22">
        <f t="shared" si="4"/>
        <v>6</v>
      </c>
      <c r="R11" s="22">
        <f t="shared" si="4"/>
        <v>6</v>
      </c>
      <c r="S11" s="22">
        <f t="shared" si="4"/>
        <v>6</v>
      </c>
      <c r="T11" s="22">
        <f t="shared" si="4"/>
        <v>6</v>
      </c>
      <c r="U11" s="22">
        <f t="shared" si="4"/>
        <v>6</v>
      </c>
      <c r="V11" s="22">
        <f t="shared" si="4"/>
        <v>6</v>
      </c>
      <c r="W11" s="22">
        <f t="shared" si="4"/>
        <v>6</v>
      </c>
      <c r="X11" s="22">
        <f t="shared" si="4"/>
        <v>13</v>
      </c>
      <c r="Y11" s="22">
        <f t="shared" si="4"/>
        <v>13</v>
      </c>
      <c r="Z11" s="22">
        <f t="shared" si="4"/>
        <v>13</v>
      </c>
      <c r="AA11" s="22">
        <f t="shared" si="4"/>
        <v>13</v>
      </c>
      <c r="AB11" s="22">
        <f t="shared" si="4"/>
        <v>13</v>
      </c>
      <c r="AC11" s="22">
        <f t="shared" si="4"/>
        <v>13</v>
      </c>
      <c r="AD11" s="22">
        <f t="shared" si="4"/>
        <v>13</v>
      </c>
      <c r="AE11" s="22">
        <f t="shared" si="4"/>
        <v>13</v>
      </c>
      <c r="AF11" s="22">
        <f t="shared" si="4"/>
        <v>13</v>
      </c>
      <c r="AG11" s="22">
        <f t="shared" si="4"/>
        <v>13</v>
      </c>
      <c r="AH11" s="22">
        <f t="shared" si="4"/>
        <v>13</v>
      </c>
      <c r="AI11" s="22">
        <f t="shared" si="4"/>
        <v>13</v>
      </c>
      <c r="AJ11" s="22">
        <f t="shared" si="4"/>
        <v>13</v>
      </c>
      <c r="AK11" s="22">
        <f t="shared" si="4"/>
        <v>13</v>
      </c>
      <c r="AL11" s="22">
        <f t="shared" si="4"/>
        <v>13</v>
      </c>
      <c r="AM11" s="22">
        <f t="shared" si="4"/>
        <v>13</v>
      </c>
      <c r="AN11" s="22">
        <f t="shared" si="4"/>
        <v>12</v>
      </c>
      <c r="AO11" s="22">
        <f t="shared" si="4"/>
        <v>12</v>
      </c>
      <c r="AP11" s="22">
        <f t="shared" si="4"/>
        <v>12</v>
      </c>
      <c r="AQ11" s="22">
        <f t="shared" si="4"/>
        <v>12</v>
      </c>
      <c r="AR11" s="22">
        <f t="shared" si="4"/>
        <v>12</v>
      </c>
      <c r="AS11" s="22">
        <f t="shared" si="4"/>
        <v>12</v>
      </c>
      <c r="AT11" s="22">
        <f t="shared" si="4"/>
        <v>8</v>
      </c>
      <c r="AU11" s="22">
        <f t="shared" si="4"/>
        <v>8</v>
      </c>
      <c r="AV11" s="22">
        <f t="shared" si="4"/>
        <v>7</v>
      </c>
      <c r="AW11" s="22">
        <f t="shared" si="4"/>
        <v>7</v>
      </c>
      <c r="AX11" s="22">
        <f t="shared" si="4"/>
        <v>7</v>
      </c>
      <c r="AY11" s="22">
        <f t="shared" si="4"/>
        <v>7</v>
      </c>
      <c r="AZ11" s="22">
        <f t="shared" si="4"/>
        <v>7</v>
      </c>
      <c r="BA11" s="22">
        <f t="shared" si="4"/>
        <v>7</v>
      </c>
      <c r="BB11" s="22">
        <f t="shared" si="4"/>
        <v>7</v>
      </c>
      <c r="BC11" s="22">
        <f t="shared" si="4"/>
        <v>7</v>
      </c>
      <c r="BD11" s="22">
        <f t="shared" si="4"/>
        <v>0</v>
      </c>
      <c r="BE11" s="22">
        <f t="shared" si="4"/>
        <v>0</v>
      </c>
      <c r="BF11" s="22">
        <f t="shared" si="4"/>
        <v>0</v>
      </c>
      <c r="BG11" s="22">
        <f t="shared" si="4"/>
        <v>0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ht="10.35" hidden="1" customHeight="1">
      <c r="G12" s="23"/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ht="10.35" customHeight="1">
      <c r="H14" s="142">
        <v>7</v>
      </c>
      <c r="I14" s="143"/>
      <c r="J14" s="143"/>
      <c r="K14" s="144"/>
      <c r="L14" s="142">
        <v>8</v>
      </c>
      <c r="M14" s="143"/>
      <c r="N14" s="143"/>
      <c r="O14" s="144"/>
      <c r="P14" s="142">
        <v>9</v>
      </c>
      <c r="Q14" s="143"/>
      <c r="R14" s="143"/>
      <c r="S14" s="144"/>
      <c r="T14" s="142">
        <v>10</v>
      </c>
      <c r="U14" s="143"/>
      <c r="V14" s="143"/>
      <c r="W14" s="144"/>
      <c r="X14" s="142">
        <v>11</v>
      </c>
      <c r="Y14" s="143"/>
      <c r="Z14" s="143"/>
      <c r="AA14" s="144"/>
      <c r="AB14" s="142">
        <v>12</v>
      </c>
      <c r="AC14" s="143"/>
      <c r="AD14" s="143"/>
      <c r="AE14" s="144"/>
      <c r="AF14" s="142">
        <v>13</v>
      </c>
      <c r="AG14" s="143"/>
      <c r="AH14" s="143"/>
      <c r="AI14" s="144"/>
      <c r="AJ14" s="142">
        <v>14</v>
      </c>
      <c r="AK14" s="143"/>
      <c r="AL14" s="143"/>
      <c r="AM14" s="144"/>
      <c r="AN14" s="142">
        <v>15</v>
      </c>
      <c r="AO14" s="143"/>
      <c r="AP14" s="143"/>
      <c r="AQ14" s="144"/>
      <c r="AR14" s="142">
        <v>16</v>
      </c>
      <c r="AS14" s="143"/>
      <c r="AT14" s="143"/>
      <c r="AU14" s="144"/>
      <c r="AV14" s="142">
        <v>17</v>
      </c>
      <c r="AW14" s="143"/>
      <c r="AX14" s="143"/>
      <c r="AY14" s="144"/>
      <c r="AZ14" s="142">
        <v>18</v>
      </c>
      <c r="BA14" s="143"/>
      <c r="BB14" s="143"/>
      <c r="BC14" s="144"/>
      <c r="BD14" s="142">
        <v>19</v>
      </c>
      <c r="BE14" s="143"/>
      <c r="BF14" s="143"/>
      <c r="BG14" s="144"/>
      <c r="BH14" s="142">
        <v>20</v>
      </c>
      <c r="BI14" s="143"/>
      <c r="BJ14" s="143"/>
      <c r="BK14" s="144"/>
      <c r="BL14" s="142">
        <v>21</v>
      </c>
      <c r="BM14" s="143"/>
      <c r="BN14" s="143"/>
      <c r="BO14" s="144"/>
      <c r="BP14" s="142">
        <v>22</v>
      </c>
      <c r="BQ14" s="143"/>
      <c r="BR14" s="143"/>
      <c r="BS14" s="144"/>
    </row>
    <row r="15" spans="2:72" s="2" customFormat="1" ht="12.95">
      <c r="B15" s="5" t="s">
        <v>284</v>
      </c>
      <c r="C15" s="5" t="s">
        <v>13</v>
      </c>
      <c r="D15" s="5" t="s">
        <v>14</v>
      </c>
      <c r="E15" s="5" t="s">
        <v>335</v>
      </c>
      <c r="F15" s="5" t="s">
        <v>287</v>
      </c>
      <c r="G15" s="5" t="s">
        <v>336</v>
      </c>
      <c r="H15" s="100" t="s">
        <v>332</v>
      </c>
      <c r="I15" s="98">
        <v>15</v>
      </c>
      <c r="J15" s="98">
        <v>30</v>
      </c>
      <c r="K15" s="99">
        <v>45</v>
      </c>
      <c r="L15" s="100" t="s">
        <v>332</v>
      </c>
      <c r="M15" s="98">
        <v>15</v>
      </c>
      <c r="N15" s="98">
        <v>30</v>
      </c>
      <c r="O15" s="99">
        <v>45</v>
      </c>
      <c r="P15" s="100" t="s">
        <v>332</v>
      </c>
      <c r="Q15" s="98">
        <v>15</v>
      </c>
      <c r="R15" s="98">
        <v>30</v>
      </c>
      <c r="S15" s="99">
        <v>45</v>
      </c>
      <c r="T15" s="100" t="s">
        <v>332</v>
      </c>
      <c r="U15" s="98">
        <v>15</v>
      </c>
      <c r="V15" s="98">
        <v>30</v>
      </c>
      <c r="W15" s="99">
        <v>45</v>
      </c>
      <c r="X15" s="100" t="s">
        <v>332</v>
      </c>
      <c r="Y15" s="98">
        <v>15</v>
      </c>
      <c r="Z15" s="98">
        <v>30</v>
      </c>
      <c r="AA15" s="99">
        <v>45</v>
      </c>
      <c r="AB15" s="100" t="s">
        <v>332</v>
      </c>
      <c r="AC15" s="98">
        <v>15</v>
      </c>
      <c r="AD15" s="98">
        <v>30</v>
      </c>
      <c r="AE15" s="99">
        <v>45</v>
      </c>
      <c r="AF15" s="100" t="s">
        <v>332</v>
      </c>
      <c r="AG15" s="98">
        <v>15</v>
      </c>
      <c r="AH15" s="98">
        <v>30</v>
      </c>
      <c r="AI15" s="99">
        <v>45</v>
      </c>
      <c r="AJ15" s="100" t="s">
        <v>332</v>
      </c>
      <c r="AK15" s="98">
        <v>15</v>
      </c>
      <c r="AL15" s="98">
        <v>30</v>
      </c>
      <c r="AM15" s="99">
        <v>45</v>
      </c>
      <c r="AN15" s="100" t="s">
        <v>332</v>
      </c>
      <c r="AO15" s="98">
        <v>15</v>
      </c>
      <c r="AP15" s="98">
        <v>30</v>
      </c>
      <c r="AQ15" s="99">
        <v>45</v>
      </c>
      <c r="AR15" s="100" t="s">
        <v>332</v>
      </c>
      <c r="AS15" s="98">
        <v>15</v>
      </c>
      <c r="AT15" s="98">
        <v>30</v>
      </c>
      <c r="AU15" s="99">
        <v>45</v>
      </c>
      <c r="AV15" s="100" t="s">
        <v>332</v>
      </c>
      <c r="AW15" s="98">
        <v>15</v>
      </c>
      <c r="AX15" s="98">
        <v>30</v>
      </c>
      <c r="AY15" s="99">
        <v>45</v>
      </c>
      <c r="AZ15" s="100" t="s">
        <v>332</v>
      </c>
      <c r="BA15" s="98">
        <v>15</v>
      </c>
      <c r="BB15" s="98">
        <v>30</v>
      </c>
      <c r="BC15" s="99">
        <v>45</v>
      </c>
      <c r="BD15" s="100" t="s">
        <v>332</v>
      </c>
      <c r="BE15" s="98">
        <v>15</v>
      </c>
      <c r="BF15" s="98">
        <v>30</v>
      </c>
      <c r="BG15" s="99">
        <v>45</v>
      </c>
      <c r="BH15" s="100" t="s">
        <v>332</v>
      </c>
      <c r="BI15" s="98">
        <v>15</v>
      </c>
      <c r="BJ15" s="98">
        <v>30</v>
      </c>
      <c r="BK15" s="99">
        <v>45</v>
      </c>
      <c r="BL15" s="100" t="s">
        <v>332</v>
      </c>
      <c r="BM15" s="98">
        <v>15</v>
      </c>
      <c r="BN15" s="98">
        <v>30</v>
      </c>
      <c r="BO15" s="99">
        <v>45</v>
      </c>
      <c r="BP15" s="100" t="s">
        <v>332</v>
      </c>
      <c r="BQ15" s="98">
        <v>15</v>
      </c>
      <c r="BR15" s="98">
        <v>30</v>
      </c>
      <c r="BS15" s="99">
        <v>45</v>
      </c>
    </row>
    <row r="16" spans="2:72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  <c r="BT16" s="53"/>
    </row>
    <row r="17" spans="2:72" s="93" customFormat="1">
      <c r="B17" s="81" t="str">
        <f>Weekly!B9</f>
        <v>01509</v>
      </c>
      <c r="C17" s="90" t="str">
        <f>Weekly!C9</f>
        <v>Amy</v>
      </c>
      <c r="D17" s="90" t="str">
        <f>Weekly!D10</f>
        <v>Naritsuka-Hayler</v>
      </c>
      <c r="E17" s="91" t="str">
        <f>VLOOKUP(B17,Team!$B$4:$E$183,4,FALSE)</f>
        <v>L's</v>
      </c>
      <c r="F17" s="92">
        <f>Weekly!J9</f>
        <v>0.35416666666666602</v>
      </c>
      <c r="G17" s="92">
        <f>Weekly!K9</f>
        <v>0.687499999999999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>L's</v>
      </c>
      <c r="O17" s="84" t="str">
        <f t="shared" ref="O17:O48" si="12">IF(AND($O$12&gt;=$F17,$O$12&lt;$G17),$E17,"")</f>
        <v>L's</v>
      </c>
      <c r="P17" s="82" t="str">
        <f t="shared" ref="P17:P48" si="13">IF(AND($P$12&gt;=$F17,$P$12&lt;$G17),$E17,"")</f>
        <v>L's</v>
      </c>
      <c r="Q17" s="48" t="str">
        <f t="shared" ref="Q17:Q48" si="14">IF(AND($Q$12&gt;=$F17,$Q$12&lt;$G17),$E17,"")</f>
        <v>L's</v>
      </c>
      <c r="R17" s="48" t="str">
        <f t="shared" ref="R17:R48" si="15">IF(AND($R$12&gt;=$F17,$R$12&lt;$G17),$E17,"")</f>
        <v>L's</v>
      </c>
      <c r="S17" s="84" t="str">
        <f t="shared" ref="S17:S48" si="16">IF(AND($S$12&gt;=$F17,$S$12&lt;$G17),$E17,"")</f>
        <v>L's</v>
      </c>
      <c r="T17" s="82" t="str">
        <f t="shared" ref="T17:T48" si="17">IF(AND($T$12&gt;=$F17,$T$12&lt;$G17),$E17,"")</f>
        <v>L's</v>
      </c>
      <c r="U17" s="48" t="str">
        <f t="shared" ref="U17:U48" si="18">IF(AND($U$12&gt;=$F17,$U$12&lt;$G17),$E17,"")</f>
        <v>L's</v>
      </c>
      <c r="V17" s="48" t="str">
        <f t="shared" ref="V17:V48" si="19">IF(AND($V$12&gt;=$F17,$V$12&lt;$G17),$E17,"")</f>
        <v>L's</v>
      </c>
      <c r="W17" s="84" t="str">
        <f t="shared" ref="W17:W48" si="20">IF(AND($W$12&gt;=$F17,$W$12&lt;$G17),$E17,"")</f>
        <v>L's</v>
      </c>
      <c r="X17" s="82" t="str">
        <f t="shared" ref="X17:X48" si="21">IF(AND($X$12&gt;=$F17,$X$12&lt;$G17),$E17,"")</f>
        <v>L's</v>
      </c>
      <c r="Y17" s="48" t="str">
        <f t="shared" ref="Y17:Y48" si="22">IF(AND($Y$12&gt;=$F17,$Y$12&lt;$G17),$E17,"")</f>
        <v>L's</v>
      </c>
      <c r="Z17" s="48" t="str">
        <f t="shared" ref="Z17:Z48" si="23">IF(AND($Z$12&gt;=$F17,$Z$12&lt;$G17),$E17,"")</f>
        <v>L's</v>
      </c>
      <c r="AA17" s="84" t="str">
        <f t="shared" ref="AA17:AA48" si="24">IF(AND($AA$12&gt;=$F17,$AA$12&lt;$G17),$E17,"")</f>
        <v>L's</v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/>
      </c>
      <c r="AU17" s="84" t="str">
        <f t="shared" ref="AU17:AU48" si="44">IF(AND($AU$12&gt;=$F17,$AU$12&lt;$G17),$E17,"")</f>
        <v/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 s="93" customFormat="1">
      <c r="B18" s="81" t="str">
        <f>Weekly!B10</f>
        <v>1175</v>
      </c>
      <c r="C18" s="90" t="str">
        <f>Weekly!C10</f>
        <v>Anna</v>
      </c>
      <c r="D18" s="90" t="str">
        <f>Weekly!D11</f>
        <v>Prashanth</v>
      </c>
      <c r="E18" s="91" t="str">
        <f>VLOOKUP(B18,Team!$B$4:$E$183,4,FALSE)</f>
        <v>H&amp;B</v>
      </c>
      <c r="F18" s="92">
        <f>Weekly!J10</f>
        <v>0.35416666666666602</v>
      </c>
      <c r="G18" s="92">
        <f>Weekly!K10</f>
        <v>0.687499999999999</v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>H&amp;B</v>
      </c>
      <c r="O18" s="84" t="str">
        <f t="shared" si="12"/>
        <v>H&amp;B</v>
      </c>
      <c r="P18" s="82" t="str">
        <f t="shared" si="13"/>
        <v>H&amp;B</v>
      </c>
      <c r="Q18" s="48" t="str">
        <f t="shared" si="14"/>
        <v>H&amp;B</v>
      </c>
      <c r="R18" s="48" t="str">
        <f t="shared" si="15"/>
        <v>H&amp;B</v>
      </c>
      <c r="S18" s="84" t="str">
        <f t="shared" si="16"/>
        <v>H&amp;B</v>
      </c>
      <c r="T18" s="82" t="str">
        <f t="shared" si="17"/>
        <v>H&amp;B</v>
      </c>
      <c r="U18" s="48" t="str">
        <f t="shared" si="18"/>
        <v>H&amp;B</v>
      </c>
      <c r="V18" s="48" t="str">
        <f t="shared" si="19"/>
        <v>H&amp;B</v>
      </c>
      <c r="W18" s="84" t="str">
        <f t="shared" si="20"/>
        <v>H&amp;B</v>
      </c>
      <c r="X18" s="82" t="str">
        <f t="shared" si="21"/>
        <v>H&amp;B</v>
      </c>
      <c r="Y18" s="48" t="str">
        <f t="shared" si="22"/>
        <v>H&amp;B</v>
      </c>
      <c r="Z18" s="48" t="str">
        <f t="shared" si="23"/>
        <v>H&amp;B</v>
      </c>
      <c r="AA18" s="84" t="str">
        <f t="shared" si="24"/>
        <v>H&amp;B</v>
      </c>
      <c r="AB18" s="82" t="str">
        <f t="shared" si="25"/>
        <v>H&amp;B</v>
      </c>
      <c r="AC18" s="48" t="str">
        <f t="shared" si="26"/>
        <v>H&amp;B</v>
      </c>
      <c r="AD18" s="48" t="str">
        <f t="shared" si="27"/>
        <v>H&amp;B</v>
      </c>
      <c r="AE18" s="84" t="str">
        <f t="shared" si="28"/>
        <v>H&amp;B</v>
      </c>
      <c r="AF18" s="82" t="str">
        <f t="shared" si="29"/>
        <v>H&amp;B</v>
      </c>
      <c r="AG18" s="48" t="str">
        <f t="shared" si="30"/>
        <v>H&amp;B</v>
      </c>
      <c r="AH18" s="48" t="str">
        <f t="shared" si="31"/>
        <v>H&amp;B</v>
      </c>
      <c r="AI18" s="84" t="str">
        <f t="shared" si="32"/>
        <v>H&amp;B</v>
      </c>
      <c r="AJ18" s="82" t="str">
        <f t="shared" si="33"/>
        <v>H&amp;B</v>
      </c>
      <c r="AK18" s="48" t="str">
        <f t="shared" si="34"/>
        <v>H&amp;B</v>
      </c>
      <c r="AL18" s="48" t="str">
        <f t="shared" si="35"/>
        <v>H&amp;B</v>
      </c>
      <c r="AM18" s="84" t="str">
        <f t="shared" si="36"/>
        <v>H&amp;B</v>
      </c>
      <c r="AN18" s="82" t="str">
        <f t="shared" si="37"/>
        <v>H&amp;B</v>
      </c>
      <c r="AO18" s="48" t="str">
        <f t="shared" si="38"/>
        <v>H&amp;B</v>
      </c>
      <c r="AP18" s="48" t="str">
        <f t="shared" si="39"/>
        <v>H&amp;B</v>
      </c>
      <c r="AQ18" s="84" t="str">
        <f t="shared" si="40"/>
        <v>H&amp;B</v>
      </c>
      <c r="AR18" s="82" t="str">
        <f t="shared" si="41"/>
        <v>H&amp;B</v>
      </c>
      <c r="AS18" s="48" t="str">
        <f t="shared" si="42"/>
        <v>H&amp;B</v>
      </c>
      <c r="AT18" s="48" t="str">
        <f t="shared" si="43"/>
        <v/>
      </c>
      <c r="AU18" s="84" t="str">
        <f t="shared" si="44"/>
        <v/>
      </c>
      <c r="AV18" s="82" t="str">
        <f t="shared" si="45"/>
        <v/>
      </c>
      <c r="AW18" s="48" t="str">
        <f t="shared" si="46"/>
        <v/>
      </c>
      <c r="AX18" s="48" t="str">
        <f t="shared" si="47"/>
        <v/>
      </c>
      <c r="AY18" s="84" t="str">
        <f t="shared" si="48"/>
        <v/>
      </c>
      <c r="AZ18" s="82" t="str">
        <f t="shared" si="49"/>
        <v/>
      </c>
      <c r="BA18" s="48" t="str">
        <f t="shared" si="50"/>
        <v/>
      </c>
      <c r="BB18" s="48" t="str">
        <f t="shared" si="51"/>
        <v/>
      </c>
      <c r="BC18" s="84" t="str">
        <f t="shared" si="52"/>
        <v/>
      </c>
      <c r="BD18" s="82" t="str">
        <f t="shared" si="53"/>
        <v/>
      </c>
      <c r="BE18" s="48" t="str">
        <f t="shared" si="54"/>
        <v/>
      </c>
      <c r="BF18" s="48" t="str">
        <f t="shared" si="55"/>
        <v/>
      </c>
      <c r="BG18" s="84" t="str">
        <f t="shared" si="56"/>
        <v/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 s="93" customFormat="1">
      <c r="B19" s="81" t="str">
        <f>Weekly!B11</f>
        <v>1041</v>
      </c>
      <c r="C19" s="90" t="str">
        <f>Weekly!C11</f>
        <v>Archana</v>
      </c>
      <c r="D19" s="90" t="str">
        <f>Weekly!D12</f>
        <v>Robertson</v>
      </c>
      <c r="E19" s="91" t="str">
        <f>VLOOKUP(B19,Team!$B$4:$E$183,4,FALSE)</f>
        <v>L's</v>
      </c>
      <c r="F19" s="92" t="str">
        <f>Weekly!J11</f>
        <v/>
      </c>
      <c r="G19" s="92" t="str">
        <f>Weekly!K11</f>
        <v/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/>
      </c>
      <c r="Y19" s="48" t="str">
        <f t="shared" si="22"/>
        <v/>
      </c>
      <c r="Z19" s="48" t="str">
        <f t="shared" si="23"/>
        <v/>
      </c>
      <c r="AA19" s="84" t="str">
        <f t="shared" si="24"/>
        <v/>
      </c>
      <c r="AB19" s="82" t="str">
        <f t="shared" si="25"/>
        <v/>
      </c>
      <c r="AC19" s="48" t="str">
        <f t="shared" si="26"/>
        <v/>
      </c>
      <c r="AD19" s="48" t="str">
        <f t="shared" si="27"/>
        <v/>
      </c>
      <c r="AE19" s="84" t="str">
        <f t="shared" si="28"/>
        <v/>
      </c>
      <c r="AF19" s="82" t="str">
        <f t="shared" si="29"/>
        <v/>
      </c>
      <c r="AG19" s="48" t="str">
        <f t="shared" si="30"/>
        <v/>
      </c>
      <c r="AH19" s="48" t="str">
        <f t="shared" si="31"/>
        <v/>
      </c>
      <c r="AI19" s="84" t="str">
        <f t="shared" si="32"/>
        <v/>
      </c>
      <c r="AJ19" s="82" t="str">
        <f t="shared" si="33"/>
        <v/>
      </c>
      <c r="AK19" s="48" t="str">
        <f t="shared" si="34"/>
        <v/>
      </c>
      <c r="AL19" s="48" t="str">
        <f t="shared" si="35"/>
        <v/>
      </c>
      <c r="AM19" s="84" t="str">
        <f t="shared" si="36"/>
        <v/>
      </c>
      <c r="AN19" s="82" t="str">
        <f t="shared" si="37"/>
        <v/>
      </c>
      <c r="AO19" s="48" t="str">
        <f t="shared" si="38"/>
        <v/>
      </c>
      <c r="AP19" s="48" t="str">
        <f t="shared" si="39"/>
        <v/>
      </c>
      <c r="AQ19" s="84" t="str">
        <f t="shared" si="40"/>
        <v/>
      </c>
      <c r="AR19" s="82" t="str">
        <f t="shared" si="41"/>
        <v/>
      </c>
      <c r="AS19" s="48" t="str">
        <f t="shared" si="42"/>
        <v/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 s="93" customFormat="1">
      <c r="B20" s="81" t="str">
        <f>Weekly!B12</f>
        <v>1245</v>
      </c>
      <c r="C20" s="90" t="str">
        <f>Weekly!C12</f>
        <v>Charlotte</v>
      </c>
      <c r="D20" s="90" t="str">
        <f>Weekly!D13</f>
        <v>Ward</v>
      </c>
      <c r="E20" s="91" t="str">
        <f>VLOOKUP(B20,Team!$B$4:$E$183,4,FALSE)</f>
        <v>HH</v>
      </c>
      <c r="F20" s="92" t="str">
        <f>Weekly!J12</f>
        <v/>
      </c>
      <c r="G20" s="92" t="str">
        <f>Weekly!K12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 s="93" customFormat="1">
      <c r="B21" s="81" t="str">
        <f>Weekly!B13</f>
        <v>1136</v>
      </c>
      <c r="C21" s="90" t="str">
        <f>Weekly!C13</f>
        <v>Cherry</v>
      </c>
      <c r="D21" s="90" t="str">
        <f>Weekly!D14</f>
        <v>Burgoyne</v>
      </c>
      <c r="E21" s="91" t="str">
        <f>VLOOKUP(B21,Team!$B$4:$E$183,4,FALSE)</f>
        <v>M's</v>
      </c>
      <c r="F21" s="92" t="str">
        <f>Weekly!J13</f>
        <v/>
      </c>
      <c r="G21" s="92" t="str">
        <f>Weekly!K13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/>
      </c>
      <c r="AC21" s="48" t="str">
        <f t="shared" si="26"/>
        <v/>
      </c>
      <c r="AD21" s="48" t="str">
        <f t="shared" si="27"/>
        <v/>
      </c>
      <c r="AE21" s="84" t="str">
        <f t="shared" si="28"/>
        <v/>
      </c>
      <c r="AF21" s="82" t="str">
        <f t="shared" si="29"/>
        <v/>
      </c>
      <c r="AG21" s="48" t="str">
        <f t="shared" si="30"/>
        <v/>
      </c>
      <c r="AH21" s="48" t="str">
        <f t="shared" si="31"/>
        <v/>
      </c>
      <c r="AI21" s="84" t="str">
        <f t="shared" si="32"/>
        <v/>
      </c>
      <c r="AJ21" s="82" t="str">
        <f t="shared" si="33"/>
        <v/>
      </c>
      <c r="AK21" s="48" t="str">
        <f t="shared" si="34"/>
        <v/>
      </c>
      <c r="AL21" s="48" t="str">
        <f t="shared" si="35"/>
        <v/>
      </c>
      <c r="AM21" s="84" t="str">
        <f t="shared" si="36"/>
        <v/>
      </c>
      <c r="AN21" s="82" t="str">
        <f t="shared" si="37"/>
        <v/>
      </c>
      <c r="AO21" s="48" t="str">
        <f t="shared" si="38"/>
        <v/>
      </c>
      <c r="AP21" s="48" t="str">
        <f t="shared" si="39"/>
        <v/>
      </c>
      <c r="AQ21" s="84" t="str">
        <f t="shared" si="40"/>
        <v/>
      </c>
      <c r="AR21" s="82" t="str">
        <f t="shared" si="41"/>
        <v/>
      </c>
      <c r="AS21" s="48" t="str">
        <f t="shared" si="42"/>
        <v/>
      </c>
      <c r="AT21" s="48" t="str">
        <f t="shared" si="43"/>
        <v/>
      </c>
      <c r="AU21" s="84" t="str">
        <f t="shared" si="44"/>
        <v/>
      </c>
      <c r="AV21" s="82" t="str">
        <f t="shared" si="45"/>
        <v/>
      </c>
      <c r="AW21" s="48" t="str">
        <f t="shared" si="46"/>
        <v/>
      </c>
      <c r="AX21" s="48" t="str">
        <f t="shared" si="47"/>
        <v/>
      </c>
      <c r="AY21" s="84" t="str">
        <f t="shared" si="48"/>
        <v/>
      </c>
      <c r="AZ21" s="82" t="str">
        <f t="shared" si="49"/>
        <v/>
      </c>
      <c r="BA21" s="48" t="str">
        <f t="shared" si="50"/>
        <v/>
      </c>
      <c r="BB21" s="48" t="str">
        <f t="shared" si="51"/>
        <v/>
      </c>
      <c r="BC21" s="84" t="str">
        <f t="shared" si="52"/>
        <v/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 s="93" customFormat="1">
      <c r="B22" s="81" t="str">
        <f>Weekly!B14</f>
        <v>1247</v>
      </c>
      <c r="C22" s="90" t="str">
        <f>Weekly!C14</f>
        <v>Chihiro</v>
      </c>
      <c r="D22" s="90" t="str">
        <f>Weekly!D15</f>
        <v>Huang</v>
      </c>
      <c r="E22" s="91" t="str">
        <f>VLOOKUP(B22,Team!$B$4:$E$183,4,FALSE)</f>
        <v>HH</v>
      </c>
      <c r="F22" s="92">
        <f>Weekly!J14</f>
        <v>0.35416666666666602</v>
      </c>
      <c r="G22" s="92">
        <f>Weekly!K14</f>
        <v>0.624999999999999</v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>HH</v>
      </c>
      <c r="O22" s="84" t="str">
        <f t="shared" si="12"/>
        <v>HH</v>
      </c>
      <c r="P22" s="82" t="str">
        <f t="shared" si="13"/>
        <v>HH</v>
      </c>
      <c r="Q22" s="48" t="str">
        <f t="shared" si="14"/>
        <v>HH</v>
      </c>
      <c r="R22" s="48" t="str">
        <f t="shared" si="15"/>
        <v>HH</v>
      </c>
      <c r="S22" s="84" t="str">
        <f t="shared" si="16"/>
        <v>HH</v>
      </c>
      <c r="T22" s="82" t="str">
        <f t="shared" si="17"/>
        <v>HH</v>
      </c>
      <c r="U22" s="48" t="str">
        <f t="shared" si="18"/>
        <v>HH</v>
      </c>
      <c r="V22" s="48" t="str">
        <f t="shared" si="19"/>
        <v>HH</v>
      </c>
      <c r="W22" s="84" t="str">
        <f t="shared" si="20"/>
        <v>HH</v>
      </c>
      <c r="X22" s="82" t="str">
        <f t="shared" si="21"/>
        <v>HH</v>
      </c>
      <c r="Y22" s="48" t="str">
        <f t="shared" si="22"/>
        <v>HH</v>
      </c>
      <c r="Z22" s="48" t="str">
        <f t="shared" si="23"/>
        <v>HH</v>
      </c>
      <c r="AA22" s="84" t="str">
        <f t="shared" si="24"/>
        <v>HH</v>
      </c>
      <c r="AB22" s="82" t="str">
        <f t="shared" si="25"/>
        <v>HH</v>
      </c>
      <c r="AC22" s="48" t="str">
        <f t="shared" si="26"/>
        <v>HH</v>
      </c>
      <c r="AD22" s="48" t="str">
        <f t="shared" si="27"/>
        <v>HH</v>
      </c>
      <c r="AE22" s="84" t="str">
        <f t="shared" si="28"/>
        <v>HH</v>
      </c>
      <c r="AF22" s="82" t="str">
        <f t="shared" si="29"/>
        <v>HH</v>
      </c>
      <c r="AG22" s="48" t="str">
        <f t="shared" si="30"/>
        <v>HH</v>
      </c>
      <c r="AH22" s="48" t="str">
        <f t="shared" si="31"/>
        <v>HH</v>
      </c>
      <c r="AI22" s="84" t="str">
        <f t="shared" si="32"/>
        <v>HH</v>
      </c>
      <c r="AJ22" s="82" t="str">
        <f t="shared" si="33"/>
        <v>HH</v>
      </c>
      <c r="AK22" s="48" t="str">
        <f t="shared" si="34"/>
        <v>HH</v>
      </c>
      <c r="AL22" s="48" t="str">
        <f t="shared" si="35"/>
        <v>HH</v>
      </c>
      <c r="AM22" s="84" t="str">
        <f t="shared" si="36"/>
        <v>HH</v>
      </c>
      <c r="AN22" s="82" t="str">
        <f t="shared" si="37"/>
        <v/>
      </c>
      <c r="AO22" s="48" t="str">
        <f t="shared" si="38"/>
        <v/>
      </c>
      <c r="AP22" s="48" t="str">
        <f t="shared" si="39"/>
        <v/>
      </c>
      <c r="AQ22" s="84" t="str">
        <f t="shared" si="40"/>
        <v/>
      </c>
      <c r="AR22" s="82" t="str">
        <f t="shared" si="41"/>
        <v/>
      </c>
      <c r="AS22" s="48" t="str">
        <f t="shared" si="42"/>
        <v/>
      </c>
      <c r="AT22" s="48" t="str">
        <f t="shared" si="43"/>
        <v/>
      </c>
      <c r="AU22" s="84" t="str">
        <f t="shared" si="44"/>
        <v/>
      </c>
      <c r="AV22" s="82" t="str">
        <f t="shared" si="45"/>
        <v/>
      </c>
      <c r="AW22" s="48" t="str">
        <f t="shared" si="46"/>
        <v/>
      </c>
      <c r="AX22" s="48" t="str">
        <f t="shared" si="47"/>
        <v/>
      </c>
      <c r="AY22" s="84" t="str">
        <f t="shared" si="48"/>
        <v/>
      </c>
      <c r="AZ22" s="82" t="str">
        <f t="shared" si="49"/>
        <v/>
      </c>
      <c r="BA22" s="48" t="str">
        <f t="shared" si="50"/>
        <v/>
      </c>
      <c r="BB22" s="48" t="str">
        <f t="shared" si="51"/>
        <v/>
      </c>
      <c r="BC22" s="84" t="str">
        <f t="shared" si="52"/>
        <v/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 s="93" customFormat="1">
      <c r="B23" s="81" t="str">
        <f>Weekly!B15</f>
        <v>01514</v>
      </c>
      <c r="C23" s="90" t="str">
        <f>Weekly!C15</f>
        <v>Chloe</v>
      </c>
      <c r="D23" s="90" t="str">
        <f>Weekly!D16</f>
        <v>Park</v>
      </c>
      <c r="E23" s="91" t="str">
        <f>VLOOKUP(B23,Team!$B$4:$E$183,4,FALSE)</f>
        <v>SPV</v>
      </c>
      <c r="F23" s="92">
        <f>Weekly!J15</f>
        <v>0.45833333333333298</v>
      </c>
      <c r="G23" s="92">
        <f>Weekly!K15</f>
        <v>0.79166666666666596</v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/>
      </c>
      <c r="O23" s="84" t="str">
        <f t="shared" si="12"/>
        <v/>
      </c>
      <c r="P23" s="82" t="str">
        <f t="shared" si="13"/>
        <v/>
      </c>
      <c r="Q23" s="48" t="str">
        <f t="shared" si="14"/>
        <v/>
      </c>
      <c r="R23" s="48" t="str">
        <f t="shared" si="15"/>
        <v/>
      </c>
      <c r="S23" s="84" t="str">
        <f t="shared" si="16"/>
        <v/>
      </c>
      <c r="T23" s="82" t="str">
        <f t="shared" si="17"/>
        <v/>
      </c>
      <c r="U23" s="48" t="str">
        <f t="shared" si="18"/>
        <v/>
      </c>
      <c r="V23" s="48" t="str">
        <f t="shared" si="19"/>
        <v/>
      </c>
      <c r="W23" s="84" t="str">
        <f t="shared" si="20"/>
        <v/>
      </c>
      <c r="X23" s="82" t="str">
        <f t="shared" si="21"/>
        <v>SPV</v>
      </c>
      <c r="Y23" s="48" t="str">
        <f t="shared" si="22"/>
        <v>SPV</v>
      </c>
      <c r="Z23" s="48" t="str">
        <f t="shared" si="23"/>
        <v>SPV</v>
      </c>
      <c r="AA23" s="84" t="str">
        <f t="shared" si="24"/>
        <v>SPV</v>
      </c>
      <c r="AB23" s="82" t="str">
        <f t="shared" si="25"/>
        <v>SPV</v>
      </c>
      <c r="AC23" s="48" t="str">
        <f t="shared" si="26"/>
        <v>SPV</v>
      </c>
      <c r="AD23" s="48" t="str">
        <f t="shared" si="27"/>
        <v>SPV</v>
      </c>
      <c r="AE23" s="84" t="str">
        <f t="shared" si="28"/>
        <v>SPV</v>
      </c>
      <c r="AF23" s="82" t="str">
        <f t="shared" si="29"/>
        <v>SPV</v>
      </c>
      <c r="AG23" s="48" t="str">
        <f t="shared" si="30"/>
        <v>SPV</v>
      </c>
      <c r="AH23" s="48" t="str">
        <f t="shared" si="31"/>
        <v>SPV</v>
      </c>
      <c r="AI23" s="84" t="str">
        <f t="shared" si="32"/>
        <v>SPV</v>
      </c>
      <c r="AJ23" s="82" t="str">
        <f t="shared" si="33"/>
        <v>SPV</v>
      </c>
      <c r="AK23" s="48" t="str">
        <f t="shared" si="34"/>
        <v>SPV</v>
      </c>
      <c r="AL23" s="48" t="str">
        <f t="shared" si="35"/>
        <v>SPV</v>
      </c>
      <c r="AM23" s="84" t="str">
        <f t="shared" si="36"/>
        <v>SPV</v>
      </c>
      <c r="AN23" s="82" t="str">
        <f t="shared" si="37"/>
        <v>SPV</v>
      </c>
      <c r="AO23" s="48" t="str">
        <f t="shared" si="38"/>
        <v>SPV</v>
      </c>
      <c r="AP23" s="48" t="str">
        <f t="shared" si="39"/>
        <v>SPV</v>
      </c>
      <c r="AQ23" s="84" t="str">
        <f t="shared" si="40"/>
        <v>SPV</v>
      </c>
      <c r="AR23" s="82" t="str">
        <f t="shared" si="41"/>
        <v>SPV</v>
      </c>
      <c r="AS23" s="48" t="str">
        <f t="shared" si="42"/>
        <v>SPV</v>
      </c>
      <c r="AT23" s="48" t="str">
        <f t="shared" si="43"/>
        <v>SPV</v>
      </c>
      <c r="AU23" s="84" t="str">
        <f t="shared" si="44"/>
        <v>SPV</v>
      </c>
      <c r="AV23" s="82" t="str">
        <f t="shared" si="45"/>
        <v>SPV</v>
      </c>
      <c r="AW23" s="48" t="str">
        <f t="shared" si="46"/>
        <v>SPV</v>
      </c>
      <c r="AX23" s="48" t="str">
        <f t="shared" si="47"/>
        <v>SPV</v>
      </c>
      <c r="AY23" s="84" t="str">
        <f t="shared" si="48"/>
        <v>SPV</v>
      </c>
      <c r="AZ23" s="82" t="str">
        <f t="shared" si="49"/>
        <v>SPV</v>
      </c>
      <c r="BA23" s="48" t="str">
        <f t="shared" si="50"/>
        <v>SPV</v>
      </c>
      <c r="BB23" s="48" t="str">
        <f t="shared" si="51"/>
        <v>SPV</v>
      </c>
      <c r="BC23" s="84" t="str">
        <f t="shared" si="52"/>
        <v>SPV</v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 s="93" customFormat="1">
      <c r="B24" s="81" t="str">
        <f>Weekly!B16</f>
        <v>660</v>
      </c>
      <c r="C24" s="90" t="str">
        <f>Weekly!C16</f>
        <v>Daniel</v>
      </c>
      <c r="D24" s="90" t="str">
        <f>Weekly!D17</f>
        <v>Oh</v>
      </c>
      <c r="E24" s="91" t="str">
        <f>VLOOKUP(B24,Team!$B$4:$E$183,4,FALSE)</f>
        <v>HH</v>
      </c>
      <c r="F24" s="92" t="str">
        <f>Weekly!J16</f>
        <v/>
      </c>
      <c r="G24" s="92" t="str">
        <f>Weekly!K16</f>
        <v/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/>
      </c>
      <c r="AC24" s="48" t="str">
        <f t="shared" si="26"/>
        <v/>
      </c>
      <c r="AD24" s="48" t="str">
        <f t="shared" si="27"/>
        <v/>
      </c>
      <c r="AE24" s="84" t="str">
        <f t="shared" si="28"/>
        <v/>
      </c>
      <c r="AF24" s="82" t="str">
        <f t="shared" si="29"/>
        <v/>
      </c>
      <c r="AG24" s="48" t="str">
        <f t="shared" si="30"/>
        <v/>
      </c>
      <c r="AH24" s="48" t="str">
        <f t="shared" si="31"/>
        <v/>
      </c>
      <c r="AI24" s="84" t="str">
        <f t="shared" si="32"/>
        <v/>
      </c>
      <c r="AJ24" s="82" t="str">
        <f t="shared" si="33"/>
        <v/>
      </c>
      <c r="AK24" s="48" t="str">
        <f t="shared" si="34"/>
        <v/>
      </c>
      <c r="AL24" s="48" t="str">
        <f t="shared" si="35"/>
        <v/>
      </c>
      <c r="AM24" s="84" t="str">
        <f t="shared" si="36"/>
        <v/>
      </c>
      <c r="AN24" s="82" t="str">
        <f t="shared" si="37"/>
        <v/>
      </c>
      <c r="AO24" s="48" t="str">
        <f t="shared" si="38"/>
        <v/>
      </c>
      <c r="AP24" s="48" t="str">
        <f t="shared" si="39"/>
        <v/>
      </c>
      <c r="AQ24" s="84" t="str">
        <f t="shared" si="40"/>
        <v/>
      </c>
      <c r="AR24" s="82" t="str">
        <f t="shared" si="41"/>
        <v/>
      </c>
      <c r="AS24" s="48" t="str">
        <f t="shared" si="42"/>
        <v/>
      </c>
      <c r="AT24" s="48" t="str">
        <f t="shared" si="43"/>
        <v/>
      </c>
      <c r="AU24" s="84" t="str">
        <f t="shared" si="44"/>
        <v/>
      </c>
      <c r="AV24" s="82" t="str">
        <f t="shared" si="45"/>
        <v/>
      </c>
      <c r="AW24" s="48" t="str">
        <f t="shared" si="46"/>
        <v/>
      </c>
      <c r="AX24" s="48" t="str">
        <f t="shared" si="47"/>
        <v/>
      </c>
      <c r="AY24" s="84" t="str">
        <f t="shared" si="48"/>
        <v/>
      </c>
      <c r="AZ24" s="82" t="str">
        <f t="shared" si="49"/>
        <v/>
      </c>
      <c r="BA24" s="48" t="str">
        <f t="shared" si="50"/>
        <v/>
      </c>
      <c r="BB24" s="48" t="str">
        <f t="shared" si="51"/>
        <v/>
      </c>
      <c r="BC24" s="84" t="str">
        <f t="shared" si="52"/>
        <v/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 s="93" customFormat="1">
      <c r="B25" s="81" t="str">
        <f>Weekly!B17</f>
        <v>1275</v>
      </c>
      <c r="C25" s="90" t="str">
        <f>Weekly!C17</f>
        <v>Da-yeon</v>
      </c>
      <c r="D25" s="90" t="str">
        <f>Weekly!D18</f>
        <v>Kim</v>
      </c>
      <c r="E25" s="91" t="str">
        <f>VLOOKUP(B25,Team!$B$4:$E$183,4,FALSE)</f>
        <v>HH</v>
      </c>
      <c r="F25" s="92" t="str">
        <f>Weekly!J17</f>
        <v/>
      </c>
      <c r="G25" s="92" t="str">
        <f>Weekly!K17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 s="93" customFormat="1">
      <c r="B26" s="81" t="str">
        <f>Weekly!B18</f>
        <v>1258</v>
      </c>
      <c r="C26" s="90" t="str">
        <f>Weekly!C18</f>
        <v>Dennis</v>
      </c>
      <c r="D26" s="90" t="str">
        <f>Weekly!D19</f>
        <v>Hou</v>
      </c>
      <c r="E26" s="91" t="str">
        <f>VLOOKUP(B26,Team!$B$4:$E$183,4,FALSE)</f>
        <v>Stat.</v>
      </c>
      <c r="F26" s="92" t="str">
        <f>Weekly!J18</f>
        <v/>
      </c>
      <c r="G26" s="92" t="str">
        <f>Weekly!K18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 s="93" customFormat="1">
      <c r="B27" s="81" t="str">
        <f>Weekly!B19</f>
        <v>1131</v>
      </c>
      <c r="C27" s="90" t="str">
        <f>Weekly!C19</f>
        <v>Doris</v>
      </c>
      <c r="D27" s="90" t="str">
        <f>Weekly!D20</f>
        <v>Choi</v>
      </c>
      <c r="E27" s="91" t="str">
        <f>VLOOKUP(B27,Team!$B$4:$E$183,4,FALSE)</f>
        <v>L's</v>
      </c>
      <c r="F27" s="92" t="str">
        <f>Weekly!J19</f>
        <v/>
      </c>
      <c r="G27" s="92" t="str">
        <f>Weekly!K19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 s="93" customFormat="1">
      <c r="B28" s="81" t="str">
        <f>Weekly!B20</f>
        <v>01601</v>
      </c>
      <c r="C28" s="90" t="str">
        <f>Weekly!C20</f>
        <v>Dorothy</v>
      </c>
      <c r="D28" s="90" t="str">
        <f>Weekly!D21</f>
        <v>Trac</v>
      </c>
      <c r="E28" s="91" t="str">
        <f>VLOOKUP(B28,Team!$B$4:$E$183,4,FALSE)</f>
        <v>M's</v>
      </c>
      <c r="F28" s="92" t="str">
        <f>Weekly!J20</f>
        <v/>
      </c>
      <c r="G28" s="92" t="str">
        <f>Weekly!K20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 s="93" customFormat="1">
      <c r="B29" s="81" t="str">
        <f>Weekly!B21</f>
        <v>01506</v>
      </c>
      <c r="C29" s="90" t="str">
        <f>Weekly!C21</f>
        <v>Duke</v>
      </c>
      <c r="D29" s="90" t="str">
        <f>Weekly!D22</f>
        <v>Blackburn</v>
      </c>
      <c r="E29" s="91" t="str">
        <f>VLOOKUP(B29,Team!$B$4:$E$183,4,FALSE)</f>
        <v>HH</v>
      </c>
      <c r="F29" s="92" t="str">
        <f>Weekly!J21</f>
        <v/>
      </c>
      <c r="G29" s="92" t="str">
        <f>Weekly!K21</f>
        <v/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/>
      </c>
      <c r="Y29" s="48" t="str">
        <f t="shared" si="22"/>
        <v/>
      </c>
      <c r="Z29" s="48" t="str">
        <f t="shared" si="23"/>
        <v/>
      </c>
      <c r="AA29" s="84" t="str">
        <f t="shared" si="24"/>
        <v/>
      </c>
      <c r="AB29" s="82" t="str">
        <f t="shared" si="25"/>
        <v/>
      </c>
      <c r="AC29" s="48" t="str">
        <f t="shared" si="26"/>
        <v/>
      </c>
      <c r="AD29" s="48" t="str">
        <f t="shared" si="27"/>
        <v/>
      </c>
      <c r="AE29" s="84" t="str">
        <f t="shared" si="28"/>
        <v/>
      </c>
      <c r="AF29" s="82" t="str">
        <f t="shared" si="29"/>
        <v/>
      </c>
      <c r="AG29" s="48" t="str">
        <f t="shared" si="30"/>
        <v/>
      </c>
      <c r="AH29" s="48" t="str">
        <f t="shared" si="31"/>
        <v/>
      </c>
      <c r="AI29" s="84" t="str">
        <f t="shared" si="32"/>
        <v/>
      </c>
      <c r="AJ29" s="82" t="str">
        <f t="shared" si="33"/>
        <v/>
      </c>
      <c r="AK29" s="48" t="str">
        <f t="shared" si="34"/>
        <v/>
      </c>
      <c r="AL29" s="48" t="str">
        <f t="shared" si="35"/>
        <v/>
      </c>
      <c r="AM29" s="84" t="str">
        <f t="shared" si="36"/>
        <v/>
      </c>
      <c r="AN29" s="82" t="str">
        <f t="shared" si="37"/>
        <v/>
      </c>
      <c r="AO29" s="48" t="str">
        <f t="shared" si="38"/>
        <v/>
      </c>
      <c r="AP29" s="48" t="str">
        <f t="shared" si="39"/>
        <v/>
      </c>
      <c r="AQ29" s="84" t="str">
        <f t="shared" si="40"/>
        <v/>
      </c>
      <c r="AR29" s="82" t="str">
        <f t="shared" si="41"/>
        <v/>
      </c>
      <c r="AS29" s="48" t="str">
        <f t="shared" si="42"/>
        <v/>
      </c>
      <c r="AT29" s="48" t="str">
        <f t="shared" si="43"/>
        <v/>
      </c>
      <c r="AU29" s="84" t="str">
        <f t="shared" si="44"/>
        <v/>
      </c>
      <c r="AV29" s="82" t="str">
        <f t="shared" si="45"/>
        <v/>
      </c>
      <c r="AW29" s="48" t="str">
        <f t="shared" si="46"/>
        <v/>
      </c>
      <c r="AX29" s="48" t="str">
        <f t="shared" si="47"/>
        <v/>
      </c>
      <c r="AY29" s="84" t="str">
        <f t="shared" si="48"/>
        <v/>
      </c>
      <c r="AZ29" s="82" t="str">
        <f t="shared" si="49"/>
        <v/>
      </c>
      <c r="BA29" s="48" t="str">
        <f t="shared" si="50"/>
        <v/>
      </c>
      <c r="BB29" s="48" t="str">
        <f t="shared" si="51"/>
        <v/>
      </c>
      <c r="BC29" s="84" t="str">
        <f t="shared" si="52"/>
        <v/>
      </c>
      <c r="BD29" s="82" t="str">
        <f t="shared" si="53"/>
        <v/>
      </c>
      <c r="BE29" s="48" t="str">
        <f t="shared" si="54"/>
        <v/>
      </c>
      <c r="BF29" s="48" t="str">
        <f t="shared" si="55"/>
        <v/>
      </c>
      <c r="BG29" s="84" t="str">
        <f t="shared" si="56"/>
        <v/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 s="93" customFormat="1">
      <c r="B30" s="81" t="str">
        <f>Weekly!B22</f>
        <v>01526</v>
      </c>
      <c r="C30" s="90" t="str">
        <f>Weekly!C22</f>
        <v>Emma</v>
      </c>
      <c r="D30" s="90" t="str">
        <f>Weekly!D23</f>
        <v>Deng</v>
      </c>
      <c r="E30" s="91" t="str">
        <f>VLOOKUP(B30,Team!$B$4:$E$183,4,FALSE)</f>
        <v>L's</v>
      </c>
      <c r="F30" s="92" t="str">
        <f>Weekly!J22</f>
        <v/>
      </c>
      <c r="G30" s="92" t="str">
        <f>Weekly!K22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/>
      </c>
      <c r="AK30" s="48" t="str">
        <f t="shared" si="34"/>
        <v/>
      </c>
      <c r="AL30" s="48" t="str">
        <f t="shared" si="35"/>
        <v/>
      </c>
      <c r="AM30" s="84" t="str">
        <f t="shared" si="36"/>
        <v/>
      </c>
      <c r="AN30" s="82" t="str">
        <f t="shared" si="37"/>
        <v/>
      </c>
      <c r="AO30" s="48" t="str">
        <f t="shared" si="38"/>
        <v/>
      </c>
      <c r="AP30" s="48" t="str">
        <f t="shared" si="39"/>
        <v/>
      </c>
      <c r="AQ30" s="84" t="str">
        <f t="shared" si="40"/>
        <v/>
      </c>
      <c r="AR30" s="82" t="str">
        <f t="shared" si="41"/>
        <v/>
      </c>
      <c r="AS30" s="48" t="str">
        <f t="shared" si="42"/>
        <v/>
      </c>
      <c r="AT30" s="48" t="str">
        <f t="shared" si="43"/>
        <v/>
      </c>
      <c r="AU30" s="84" t="str">
        <f t="shared" si="44"/>
        <v/>
      </c>
      <c r="AV30" s="82" t="str">
        <f t="shared" si="45"/>
        <v/>
      </c>
      <c r="AW30" s="48" t="str">
        <f t="shared" si="46"/>
        <v/>
      </c>
      <c r="AX30" s="48" t="str">
        <f t="shared" si="47"/>
        <v/>
      </c>
      <c r="AY30" s="84" t="str">
        <f t="shared" si="48"/>
        <v/>
      </c>
      <c r="AZ30" s="82" t="str">
        <f t="shared" si="49"/>
        <v/>
      </c>
      <c r="BA30" s="48" t="str">
        <f t="shared" si="50"/>
        <v/>
      </c>
      <c r="BB30" s="48" t="str">
        <f t="shared" si="51"/>
        <v/>
      </c>
      <c r="BC30" s="84" t="str">
        <f t="shared" si="52"/>
        <v/>
      </c>
      <c r="BD30" s="82" t="str">
        <f t="shared" si="53"/>
        <v/>
      </c>
      <c r="BE30" s="48" t="str">
        <f t="shared" si="54"/>
        <v/>
      </c>
      <c r="BF30" s="48" t="str">
        <f t="shared" si="55"/>
        <v/>
      </c>
      <c r="BG30" s="84" t="str">
        <f t="shared" si="56"/>
        <v/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 s="93" customFormat="1">
      <c r="B31" s="81" t="str">
        <f>Weekly!B23</f>
        <v>1025</v>
      </c>
      <c r="C31" s="90" t="str">
        <f>Weekly!C23</f>
        <v>Eunice</v>
      </c>
      <c r="D31" s="90" t="str">
        <f>Weekly!D24</f>
        <v>Hwa</v>
      </c>
      <c r="E31" s="91" t="str">
        <f>VLOOKUP(B31,Team!$B$4:$E$183,4,FALSE)</f>
        <v>L's</v>
      </c>
      <c r="F31" s="92" t="str">
        <f>Weekly!J23</f>
        <v/>
      </c>
      <c r="G31" s="92" t="str">
        <f>Weekly!K23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 s="93" customFormat="1">
      <c r="B32" s="81" t="str">
        <f>Weekly!B24</f>
        <v>670</v>
      </c>
      <c r="C32" s="90" t="str">
        <f>Weekly!C24</f>
        <v>Fern</v>
      </c>
      <c r="D32" s="90" t="str">
        <f>Weekly!D25</f>
        <v>Abad</v>
      </c>
      <c r="E32" s="91" t="str">
        <f>VLOOKUP(B32,Team!$B$4:$E$183,4,FALSE)</f>
        <v>SM</v>
      </c>
      <c r="F32" s="92">
        <f>Weekly!J24</f>
        <v>0.45833333333333298</v>
      </c>
      <c r="G32" s="92">
        <f>Weekly!K24</f>
        <v>0.79166666666666596</v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>SM</v>
      </c>
      <c r="Y32" s="48" t="str">
        <f t="shared" si="22"/>
        <v>SM</v>
      </c>
      <c r="Z32" s="48" t="str">
        <f t="shared" si="23"/>
        <v>SM</v>
      </c>
      <c r="AA32" s="84" t="str">
        <f t="shared" si="24"/>
        <v>SM</v>
      </c>
      <c r="AB32" s="82" t="str">
        <f t="shared" si="25"/>
        <v>SM</v>
      </c>
      <c r="AC32" s="48" t="str">
        <f t="shared" si="26"/>
        <v>SM</v>
      </c>
      <c r="AD32" s="48" t="str">
        <f t="shared" si="27"/>
        <v>SM</v>
      </c>
      <c r="AE32" s="84" t="str">
        <f t="shared" si="28"/>
        <v>SM</v>
      </c>
      <c r="AF32" s="82" t="str">
        <f t="shared" si="29"/>
        <v>SM</v>
      </c>
      <c r="AG32" s="48" t="str">
        <f t="shared" si="30"/>
        <v>SM</v>
      </c>
      <c r="AH32" s="48" t="str">
        <f t="shared" si="31"/>
        <v>SM</v>
      </c>
      <c r="AI32" s="84" t="str">
        <f t="shared" si="32"/>
        <v>SM</v>
      </c>
      <c r="AJ32" s="82" t="str">
        <f t="shared" si="33"/>
        <v>SM</v>
      </c>
      <c r="AK32" s="48" t="str">
        <f t="shared" si="34"/>
        <v>SM</v>
      </c>
      <c r="AL32" s="48" t="str">
        <f t="shared" si="35"/>
        <v>SM</v>
      </c>
      <c r="AM32" s="84" t="str">
        <f t="shared" si="36"/>
        <v>SM</v>
      </c>
      <c r="AN32" s="82" t="str">
        <f t="shared" si="37"/>
        <v>SM</v>
      </c>
      <c r="AO32" s="48" t="str">
        <f t="shared" si="38"/>
        <v>SM</v>
      </c>
      <c r="AP32" s="48" t="str">
        <f t="shared" si="39"/>
        <v>SM</v>
      </c>
      <c r="AQ32" s="84" t="str">
        <f t="shared" si="40"/>
        <v>SM</v>
      </c>
      <c r="AR32" s="82" t="str">
        <f t="shared" si="41"/>
        <v>SM</v>
      </c>
      <c r="AS32" s="48" t="str">
        <f t="shared" si="42"/>
        <v>SM</v>
      </c>
      <c r="AT32" s="48" t="str">
        <f t="shared" si="43"/>
        <v>SM</v>
      </c>
      <c r="AU32" s="84" t="str">
        <f t="shared" si="44"/>
        <v>SM</v>
      </c>
      <c r="AV32" s="82" t="str">
        <f t="shared" si="45"/>
        <v>SM</v>
      </c>
      <c r="AW32" s="48" t="str">
        <f t="shared" si="46"/>
        <v>SM</v>
      </c>
      <c r="AX32" s="48" t="str">
        <f t="shared" si="47"/>
        <v>SM</v>
      </c>
      <c r="AY32" s="84" t="str">
        <f t="shared" si="48"/>
        <v>SM</v>
      </c>
      <c r="AZ32" s="82" t="str">
        <f t="shared" si="49"/>
        <v>SM</v>
      </c>
      <c r="BA32" s="48" t="str">
        <f t="shared" si="50"/>
        <v>SM</v>
      </c>
      <c r="BB32" s="48" t="str">
        <f t="shared" si="51"/>
        <v>SM</v>
      </c>
      <c r="BC32" s="84" t="str">
        <f t="shared" si="52"/>
        <v>SM</v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 s="93" customFormat="1">
      <c r="B33" s="81" t="str">
        <f>Weekly!B25</f>
        <v>01504</v>
      </c>
      <c r="C33" s="90" t="str">
        <f>Weekly!C25</f>
        <v>Hannah</v>
      </c>
      <c r="D33" s="90" t="str">
        <f>Weekly!D26</f>
        <v>Lee</v>
      </c>
      <c r="E33" s="91" t="str">
        <f>VLOOKUP(B33,Team!$B$4:$E$183,4,FALSE)</f>
        <v>L's</v>
      </c>
      <c r="F33" s="92" t="str">
        <f>Weekly!J25</f>
        <v/>
      </c>
      <c r="G33" s="92" t="str">
        <f>Weekly!K25</f>
        <v/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/>
      </c>
      <c r="AC33" s="48" t="str">
        <f t="shared" si="26"/>
        <v/>
      </c>
      <c r="AD33" s="48" t="str">
        <f t="shared" si="27"/>
        <v/>
      </c>
      <c r="AE33" s="84" t="str">
        <f t="shared" si="28"/>
        <v/>
      </c>
      <c r="AF33" s="82" t="str">
        <f t="shared" si="29"/>
        <v/>
      </c>
      <c r="AG33" s="48" t="str">
        <f t="shared" si="30"/>
        <v/>
      </c>
      <c r="AH33" s="48" t="str">
        <f t="shared" si="31"/>
        <v/>
      </c>
      <c r="AI33" s="84" t="str">
        <f t="shared" si="32"/>
        <v/>
      </c>
      <c r="AJ33" s="82" t="str">
        <f t="shared" si="33"/>
        <v/>
      </c>
      <c r="AK33" s="48" t="str">
        <f t="shared" si="34"/>
        <v/>
      </c>
      <c r="AL33" s="48" t="str">
        <f t="shared" si="35"/>
        <v/>
      </c>
      <c r="AM33" s="84" t="str">
        <f t="shared" si="36"/>
        <v/>
      </c>
      <c r="AN33" s="82" t="str">
        <f t="shared" si="37"/>
        <v/>
      </c>
      <c r="AO33" s="48" t="str">
        <f t="shared" si="38"/>
        <v/>
      </c>
      <c r="AP33" s="48" t="str">
        <f t="shared" si="39"/>
        <v/>
      </c>
      <c r="AQ33" s="84" t="str">
        <f t="shared" si="40"/>
        <v/>
      </c>
      <c r="AR33" s="82" t="str">
        <f t="shared" si="41"/>
        <v/>
      </c>
      <c r="AS33" s="48" t="str">
        <f t="shared" si="42"/>
        <v/>
      </c>
      <c r="AT33" s="48" t="str">
        <f t="shared" si="43"/>
        <v/>
      </c>
      <c r="AU33" s="84" t="str">
        <f t="shared" si="44"/>
        <v/>
      </c>
      <c r="AV33" s="82" t="str">
        <f t="shared" si="45"/>
        <v/>
      </c>
      <c r="AW33" s="48" t="str">
        <f t="shared" si="46"/>
        <v/>
      </c>
      <c r="AX33" s="48" t="str">
        <f t="shared" si="47"/>
        <v/>
      </c>
      <c r="AY33" s="84" t="str">
        <f t="shared" si="48"/>
        <v/>
      </c>
      <c r="AZ33" s="82" t="str">
        <f t="shared" si="49"/>
        <v/>
      </c>
      <c r="BA33" s="48" t="str">
        <f t="shared" si="50"/>
        <v/>
      </c>
      <c r="BB33" s="48" t="str">
        <f t="shared" si="51"/>
        <v/>
      </c>
      <c r="BC33" s="84" t="str">
        <f t="shared" si="52"/>
        <v/>
      </c>
      <c r="BD33" s="82" t="str">
        <f t="shared" si="53"/>
        <v/>
      </c>
      <c r="BE33" s="48" t="str">
        <f t="shared" si="54"/>
        <v/>
      </c>
      <c r="BF33" s="48" t="str">
        <f t="shared" si="55"/>
        <v/>
      </c>
      <c r="BG33" s="84" t="str">
        <f t="shared" si="56"/>
        <v/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 s="93" customFormat="1">
      <c r="B34" s="81" t="str">
        <f>Weekly!B26</f>
        <v>01524</v>
      </c>
      <c r="C34" s="90" t="str">
        <f>Weekly!C26</f>
        <v>Isabelle</v>
      </c>
      <c r="D34" s="90" t="str">
        <f>Weekly!D27</f>
        <v>Viernes</v>
      </c>
      <c r="E34" s="91" t="str">
        <f>VLOOKUP(B34,Team!$B$4:$E$183,4,FALSE)</f>
        <v>HH</v>
      </c>
      <c r="F34" s="92">
        <f>Weekly!J26</f>
        <v>0.45833333333333298</v>
      </c>
      <c r="G34" s="92">
        <f>Weekly!K26</f>
        <v>0.79166666666666596</v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>HH</v>
      </c>
      <c r="Y34" s="48" t="str">
        <f t="shared" si="22"/>
        <v>HH</v>
      </c>
      <c r="Z34" s="48" t="str">
        <f t="shared" si="23"/>
        <v>HH</v>
      </c>
      <c r="AA34" s="84" t="str">
        <f t="shared" si="24"/>
        <v>HH</v>
      </c>
      <c r="AB34" s="82" t="str">
        <f t="shared" si="25"/>
        <v>HH</v>
      </c>
      <c r="AC34" s="48" t="str">
        <f t="shared" si="26"/>
        <v>HH</v>
      </c>
      <c r="AD34" s="48" t="str">
        <f t="shared" si="27"/>
        <v>HH</v>
      </c>
      <c r="AE34" s="84" t="str">
        <f t="shared" si="28"/>
        <v>HH</v>
      </c>
      <c r="AF34" s="82" t="str">
        <f t="shared" si="29"/>
        <v>HH</v>
      </c>
      <c r="AG34" s="48" t="str">
        <f t="shared" si="30"/>
        <v>HH</v>
      </c>
      <c r="AH34" s="48" t="str">
        <f t="shared" si="31"/>
        <v>HH</v>
      </c>
      <c r="AI34" s="84" t="str">
        <f t="shared" si="32"/>
        <v>HH</v>
      </c>
      <c r="AJ34" s="82" t="str">
        <f t="shared" si="33"/>
        <v>HH</v>
      </c>
      <c r="AK34" s="48" t="str">
        <f t="shared" si="34"/>
        <v>HH</v>
      </c>
      <c r="AL34" s="48" t="str">
        <f t="shared" si="35"/>
        <v>HH</v>
      </c>
      <c r="AM34" s="84" t="str">
        <f t="shared" si="36"/>
        <v>HH</v>
      </c>
      <c r="AN34" s="82" t="str">
        <f t="shared" si="37"/>
        <v>HH</v>
      </c>
      <c r="AO34" s="48" t="str">
        <f t="shared" si="38"/>
        <v>HH</v>
      </c>
      <c r="AP34" s="48" t="str">
        <f t="shared" si="39"/>
        <v>HH</v>
      </c>
      <c r="AQ34" s="84" t="str">
        <f t="shared" si="40"/>
        <v>HH</v>
      </c>
      <c r="AR34" s="82" t="str">
        <f t="shared" si="41"/>
        <v>HH</v>
      </c>
      <c r="AS34" s="48" t="str">
        <f t="shared" si="42"/>
        <v>HH</v>
      </c>
      <c r="AT34" s="48" t="str">
        <f t="shared" si="43"/>
        <v>HH</v>
      </c>
      <c r="AU34" s="84" t="str">
        <f t="shared" si="44"/>
        <v>HH</v>
      </c>
      <c r="AV34" s="82" t="str">
        <f t="shared" si="45"/>
        <v>HH</v>
      </c>
      <c r="AW34" s="48" t="str">
        <f t="shared" si="46"/>
        <v>HH</v>
      </c>
      <c r="AX34" s="48" t="str">
        <f t="shared" si="47"/>
        <v>HH</v>
      </c>
      <c r="AY34" s="84" t="str">
        <f t="shared" si="48"/>
        <v>HH</v>
      </c>
      <c r="AZ34" s="82" t="str">
        <f t="shared" si="49"/>
        <v>HH</v>
      </c>
      <c r="BA34" s="48" t="str">
        <f t="shared" si="50"/>
        <v>HH</v>
      </c>
      <c r="BB34" s="48" t="str">
        <f t="shared" si="51"/>
        <v>HH</v>
      </c>
      <c r="BC34" s="84" t="str">
        <f t="shared" si="52"/>
        <v>HH</v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 s="93" customFormat="1">
      <c r="B35" s="81" t="str">
        <f>Weekly!B27</f>
        <v>1216</v>
      </c>
      <c r="C35" s="90" t="str">
        <f>Weekly!C27</f>
        <v>Janelle</v>
      </c>
      <c r="D35" s="90" t="str">
        <f>Weekly!D28</f>
        <v>Hui</v>
      </c>
      <c r="E35" s="91" t="str">
        <f>VLOOKUP(B35,Team!$B$4:$E$183,4,FALSE)</f>
        <v>M's</v>
      </c>
      <c r="F35" s="92" t="str">
        <f>Weekly!J27</f>
        <v/>
      </c>
      <c r="G35" s="92" t="str">
        <f>Weekly!K27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 s="93" customFormat="1">
      <c r="B36" s="81" t="str">
        <f>Weekly!B28</f>
        <v>1228</v>
      </c>
      <c r="C36" s="90" t="str">
        <f>Weekly!C28</f>
        <v>Jared</v>
      </c>
      <c r="D36" s="90" t="str">
        <f>Weekly!D29</f>
        <v>Rao</v>
      </c>
      <c r="E36" s="91" t="str">
        <f>VLOOKUP(B36,Team!$B$4:$E$183,4,FALSE)</f>
        <v>HH</v>
      </c>
      <c r="F36" s="92" t="str">
        <f>Weekly!J28</f>
        <v/>
      </c>
      <c r="G36" s="92" t="str">
        <f>Weekly!K28</f>
        <v/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/>
      </c>
      <c r="Q36" s="48" t="str">
        <f t="shared" si="14"/>
        <v/>
      </c>
      <c r="R36" s="48" t="str">
        <f t="shared" si="15"/>
        <v/>
      </c>
      <c r="S36" s="84" t="str">
        <f t="shared" si="16"/>
        <v/>
      </c>
      <c r="T36" s="82" t="str">
        <f t="shared" si="17"/>
        <v/>
      </c>
      <c r="U36" s="48" t="str">
        <f t="shared" si="18"/>
        <v/>
      </c>
      <c r="V36" s="48" t="str">
        <f t="shared" si="19"/>
        <v/>
      </c>
      <c r="W36" s="84" t="str">
        <f t="shared" si="20"/>
        <v/>
      </c>
      <c r="X36" s="82" t="str">
        <f t="shared" si="21"/>
        <v/>
      </c>
      <c r="Y36" s="48" t="str">
        <f t="shared" si="22"/>
        <v/>
      </c>
      <c r="Z36" s="48" t="str">
        <f t="shared" si="23"/>
        <v/>
      </c>
      <c r="AA36" s="84" t="str">
        <f t="shared" si="24"/>
        <v/>
      </c>
      <c r="AB36" s="82" t="str">
        <f t="shared" si="25"/>
        <v/>
      </c>
      <c r="AC36" s="48" t="str">
        <f t="shared" si="26"/>
        <v/>
      </c>
      <c r="AD36" s="48" t="str">
        <f t="shared" si="27"/>
        <v/>
      </c>
      <c r="AE36" s="84" t="str">
        <f t="shared" si="28"/>
        <v/>
      </c>
      <c r="AF36" s="82" t="str">
        <f t="shared" si="29"/>
        <v/>
      </c>
      <c r="AG36" s="48" t="str">
        <f t="shared" si="30"/>
        <v/>
      </c>
      <c r="AH36" s="48" t="str">
        <f t="shared" si="31"/>
        <v/>
      </c>
      <c r="AI36" s="84" t="str">
        <f t="shared" si="32"/>
        <v/>
      </c>
      <c r="AJ36" s="82" t="str">
        <f t="shared" si="33"/>
        <v/>
      </c>
      <c r="AK36" s="48" t="str">
        <f t="shared" si="34"/>
        <v/>
      </c>
      <c r="AL36" s="48" t="str">
        <f t="shared" si="35"/>
        <v/>
      </c>
      <c r="AM36" s="84" t="str">
        <f t="shared" si="36"/>
        <v/>
      </c>
      <c r="AN36" s="82" t="str">
        <f t="shared" si="37"/>
        <v/>
      </c>
      <c r="AO36" s="48" t="str">
        <f t="shared" si="38"/>
        <v/>
      </c>
      <c r="AP36" s="48" t="str">
        <f t="shared" si="39"/>
        <v/>
      </c>
      <c r="AQ36" s="84" t="str">
        <f t="shared" si="40"/>
        <v/>
      </c>
      <c r="AR36" s="82" t="str">
        <f t="shared" si="41"/>
        <v/>
      </c>
      <c r="AS36" s="48" t="str">
        <f t="shared" si="42"/>
        <v/>
      </c>
      <c r="AT36" s="48" t="str">
        <f t="shared" si="43"/>
        <v/>
      </c>
      <c r="AU36" s="84" t="str">
        <f t="shared" si="44"/>
        <v/>
      </c>
      <c r="AV36" s="82" t="str">
        <f t="shared" si="45"/>
        <v/>
      </c>
      <c r="AW36" s="48" t="str">
        <f t="shared" si="46"/>
        <v/>
      </c>
      <c r="AX36" s="48" t="str">
        <f t="shared" si="47"/>
        <v/>
      </c>
      <c r="AY36" s="84" t="str">
        <f t="shared" si="48"/>
        <v/>
      </c>
      <c r="AZ36" s="82" t="str">
        <f t="shared" si="49"/>
        <v/>
      </c>
      <c r="BA36" s="48" t="str">
        <f t="shared" si="50"/>
        <v/>
      </c>
      <c r="BB36" s="48" t="str">
        <f t="shared" si="51"/>
        <v/>
      </c>
      <c r="BC36" s="84" t="str">
        <f t="shared" si="52"/>
        <v/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 s="93" customFormat="1">
      <c r="B37" s="81" t="str">
        <f>Weekly!B29</f>
        <v>1196</v>
      </c>
      <c r="C37" s="90" t="str">
        <f>Weekly!C29</f>
        <v>Jessica</v>
      </c>
      <c r="D37" s="90" t="str">
        <f>Weekly!D30</f>
        <v>Zhang</v>
      </c>
      <c r="E37" s="91" t="str">
        <f>VLOOKUP(B37,Team!$B$4:$E$183,4,FALSE)</f>
        <v>SPV</v>
      </c>
      <c r="F37" s="92">
        <f>Weekly!J29</f>
        <v>0.45833333333333298</v>
      </c>
      <c r="G37" s="92">
        <f>Weekly!K29</f>
        <v>0.79166666666666596</v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>SPV</v>
      </c>
      <c r="Y37" s="48" t="str">
        <f t="shared" si="22"/>
        <v>SPV</v>
      </c>
      <c r="Z37" s="48" t="str">
        <f t="shared" si="23"/>
        <v>SPV</v>
      </c>
      <c r="AA37" s="84" t="str">
        <f t="shared" si="24"/>
        <v>SPV</v>
      </c>
      <c r="AB37" s="82" t="str">
        <f t="shared" si="25"/>
        <v>SPV</v>
      </c>
      <c r="AC37" s="48" t="str">
        <f t="shared" si="26"/>
        <v>SPV</v>
      </c>
      <c r="AD37" s="48" t="str">
        <f t="shared" si="27"/>
        <v>SPV</v>
      </c>
      <c r="AE37" s="84" t="str">
        <f t="shared" si="28"/>
        <v>SPV</v>
      </c>
      <c r="AF37" s="82" t="str">
        <f t="shared" si="29"/>
        <v>SPV</v>
      </c>
      <c r="AG37" s="48" t="str">
        <f t="shared" si="30"/>
        <v>SPV</v>
      </c>
      <c r="AH37" s="48" t="str">
        <f t="shared" si="31"/>
        <v>SPV</v>
      </c>
      <c r="AI37" s="84" t="str">
        <f t="shared" si="32"/>
        <v>SPV</v>
      </c>
      <c r="AJ37" s="82" t="str">
        <f t="shared" si="33"/>
        <v>SPV</v>
      </c>
      <c r="AK37" s="48" t="str">
        <f t="shared" si="34"/>
        <v>SPV</v>
      </c>
      <c r="AL37" s="48" t="str">
        <f t="shared" si="35"/>
        <v>SPV</v>
      </c>
      <c r="AM37" s="84" t="str">
        <f t="shared" si="36"/>
        <v>SPV</v>
      </c>
      <c r="AN37" s="82" t="str">
        <f t="shared" si="37"/>
        <v>SPV</v>
      </c>
      <c r="AO37" s="48" t="str">
        <f t="shared" si="38"/>
        <v>SPV</v>
      </c>
      <c r="AP37" s="48" t="str">
        <f t="shared" si="39"/>
        <v>SPV</v>
      </c>
      <c r="AQ37" s="84" t="str">
        <f t="shared" si="40"/>
        <v>SPV</v>
      </c>
      <c r="AR37" s="82" t="str">
        <f t="shared" si="41"/>
        <v>SPV</v>
      </c>
      <c r="AS37" s="48" t="str">
        <f t="shared" si="42"/>
        <v>SPV</v>
      </c>
      <c r="AT37" s="48" t="str">
        <f t="shared" si="43"/>
        <v>SPV</v>
      </c>
      <c r="AU37" s="84" t="str">
        <f t="shared" si="44"/>
        <v>SPV</v>
      </c>
      <c r="AV37" s="82" t="str">
        <f t="shared" si="45"/>
        <v>SPV</v>
      </c>
      <c r="AW37" s="48" t="str">
        <f t="shared" si="46"/>
        <v>SPV</v>
      </c>
      <c r="AX37" s="48" t="str">
        <f t="shared" si="47"/>
        <v>SPV</v>
      </c>
      <c r="AY37" s="84" t="str">
        <f t="shared" si="48"/>
        <v>SPV</v>
      </c>
      <c r="AZ37" s="82" t="str">
        <f t="shared" si="49"/>
        <v>SPV</v>
      </c>
      <c r="BA37" s="48" t="str">
        <f t="shared" si="50"/>
        <v>SPV</v>
      </c>
      <c r="BB37" s="48" t="str">
        <f t="shared" si="51"/>
        <v>SPV</v>
      </c>
      <c r="BC37" s="84" t="str">
        <f t="shared" si="52"/>
        <v>SPV</v>
      </c>
      <c r="BD37" s="82" t="str">
        <f t="shared" si="53"/>
        <v/>
      </c>
      <c r="BE37" s="48" t="str">
        <f t="shared" si="54"/>
        <v/>
      </c>
      <c r="BF37" s="48" t="str">
        <f t="shared" si="55"/>
        <v/>
      </c>
      <c r="BG37" s="84" t="str">
        <f t="shared" si="56"/>
        <v/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 s="93" customFormat="1">
      <c r="B38" s="81" t="str">
        <f>Weekly!B30</f>
        <v>01520</v>
      </c>
      <c r="C38" s="90" t="str">
        <f>Weekly!C30</f>
        <v>Jessie</v>
      </c>
      <c r="D38" s="90" t="str">
        <f>Weekly!D31</f>
        <v>Yabut</v>
      </c>
      <c r="E38" s="91" t="str">
        <f>VLOOKUP(B38,Team!$B$4:$E$183,4,FALSE)</f>
        <v>L's</v>
      </c>
      <c r="F38" s="92" t="str">
        <f>Weekly!J30</f>
        <v/>
      </c>
      <c r="G38" s="92" t="str">
        <f>Weekly!K30</f>
        <v/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/>
      </c>
      <c r="Y38" s="48" t="str">
        <f t="shared" si="22"/>
        <v/>
      </c>
      <c r="Z38" s="48" t="str">
        <f t="shared" si="23"/>
        <v/>
      </c>
      <c r="AA38" s="84" t="str">
        <f t="shared" si="24"/>
        <v/>
      </c>
      <c r="AB38" s="82" t="str">
        <f t="shared" si="25"/>
        <v/>
      </c>
      <c r="AC38" s="48" t="str">
        <f t="shared" si="26"/>
        <v/>
      </c>
      <c r="AD38" s="48" t="str">
        <f t="shared" si="27"/>
        <v/>
      </c>
      <c r="AE38" s="84" t="str">
        <f t="shared" si="28"/>
        <v/>
      </c>
      <c r="AF38" s="82" t="str">
        <f t="shared" si="29"/>
        <v/>
      </c>
      <c r="AG38" s="48" t="str">
        <f t="shared" si="30"/>
        <v/>
      </c>
      <c r="AH38" s="48" t="str">
        <f t="shared" si="31"/>
        <v/>
      </c>
      <c r="AI38" s="84" t="str">
        <f t="shared" si="32"/>
        <v/>
      </c>
      <c r="AJ38" s="82" t="str">
        <f t="shared" si="33"/>
        <v/>
      </c>
      <c r="AK38" s="48" t="str">
        <f t="shared" si="34"/>
        <v/>
      </c>
      <c r="AL38" s="48" t="str">
        <f t="shared" si="35"/>
        <v/>
      </c>
      <c r="AM38" s="84" t="str">
        <f t="shared" si="36"/>
        <v/>
      </c>
      <c r="AN38" s="82" t="str">
        <f t="shared" si="37"/>
        <v/>
      </c>
      <c r="AO38" s="48" t="str">
        <f t="shared" si="38"/>
        <v/>
      </c>
      <c r="AP38" s="48" t="str">
        <f t="shared" si="39"/>
        <v/>
      </c>
      <c r="AQ38" s="84" t="str">
        <f t="shared" si="40"/>
        <v/>
      </c>
      <c r="AR38" s="82" t="str">
        <f t="shared" si="41"/>
        <v/>
      </c>
      <c r="AS38" s="48" t="str">
        <f t="shared" si="42"/>
        <v/>
      </c>
      <c r="AT38" s="48" t="str">
        <f t="shared" si="43"/>
        <v/>
      </c>
      <c r="AU38" s="84" t="str">
        <f t="shared" si="44"/>
        <v/>
      </c>
      <c r="AV38" s="82" t="str">
        <f t="shared" si="45"/>
        <v/>
      </c>
      <c r="AW38" s="48" t="str">
        <f t="shared" si="46"/>
        <v/>
      </c>
      <c r="AX38" s="48" t="str">
        <f t="shared" si="47"/>
        <v/>
      </c>
      <c r="AY38" s="84" t="str">
        <f t="shared" si="48"/>
        <v/>
      </c>
      <c r="AZ38" s="82" t="str">
        <f t="shared" si="49"/>
        <v/>
      </c>
      <c r="BA38" s="48" t="str">
        <f t="shared" si="50"/>
        <v/>
      </c>
      <c r="BB38" s="48" t="str">
        <f t="shared" si="51"/>
        <v/>
      </c>
      <c r="BC38" s="84" t="str">
        <f t="shared" si="52"/>
        <v/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 s="93" customFormat="1">
      <c r="B39" s="81" t="str">
        <f>Weekly!B31</f>
        <v>01505</v>
      </c>
      <c r="C39" s="90" t="str">
        <f>Weekly!C31</f>
        <v>Jewel</v>
      </c>
      <c r="D39" s="90" t="str">
        <f>Weekly!D32</f>
        <v>Shue</v>
      </c>
      <c r="E39" s="91" t="str">
        <f>VLOOKUP(B39,Team!$B$4:$E$183,4,FALSE)</f>
        <v>L's</v>
      </c>
      <c r="F39" s="92" t="str">
        <f>Weekly!J31</f>
        <v/>
      </c>
      <c r="G39" s="92" t="str">
        <f>Weekly!K31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 s="93" customFormat="1">
      <c r="B40" s="81" t="str">
        <f>Weekly!B32</f>
        <v>1289</v>
      </c>
      <c r="C40" s="90" t="str">
        <f>Weekly!C32</f>
        <v>Jordan</v>
      </c>
      <c r="D40" s="90" t="str">
        <f>Weekly!D33</f>
        <v>Lam</v>
      </c>
      <c r="E40" s="91" t="str">
        <f>VLOOKUP(B40,Team!$B$4:$E$183,4,FALSE)</f>
        <v>SPV</v>
      </c>
      <c r="F40" s="92">
        <f>Weekly!J32</f>
        <v>0.45833333333333298</v>
      </c>
      <c r="G40" s="92">
        <f>Weekly!K32</f>
        <v>0.79166666666666596</v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>SPV</v>
      </c>
      <c r="Y40" s="48" t="str">
        <f t="shared" si="22"/>
        <v>SPV</v>
      </c>
      <c r="Z40" s="48" t="str">
        <f t="shared" si="23"/>
        <v>SPV</v>
      </c>
      <c r="AA40" s="84" t="str">
        <f t="shared" si="24"/>
        <v>SPV</v>
      </c>
      <c r="AB40" s="82" t="str">
        <f t="shared" si="25"/>
        <v>SPV</v>
      </c>
      <c r="AC40" s="48" t="str">
        <f t="shared" si="26"/>
        <v>SPV</v>
      </c>
      <c r="AD40" s="48" t="str">
        <f t="shared" si="27"/>
        <v>SPV</v>
      </c>
      <c r="AE40" s="84" t="str">
        <f t="shared" si="28"/>
        <v>SPV</v>
      </c>
      <c r="AF40" s="82" t="str">
        <f t="shared" si="29"/>
        <v>SPV</v>
      </c>
      <c r="AG40" s="48" t="str">
        <f t="shared" si="30"/>
        <v>SPV</v>
      </c>
      <c r="AH40" s="48" t="str">
        <f t="shared" si="31"/>
        <v>SPV</v>
      </c>
      <c r="AI40" s="84" t="str">
        <f t="shared" si="32"/>
        <v>SPV</v>
      </c>
      <c r="AJ40" s="82" t="str">
        <f t="shared" si="33"/>
        <v>SPV</v>
      </c>
      <c r="AK40" s="48" t="str">
        <f t="shared" si="34"/>
        <v>SPV</v>
      </c>
      <c r="AL40" s="48" t="str">
        <f t="shared" si="35"/>
        <v>SPV</v>
      </c>
      <c r="AM40" s="84" t="str">
        <f t="shared" si="36"/>
        <v>SPV</v>
      </c>
      <c r="AN40" s="82" t="str">
        <f t="shared" si="37"/>
        <v>SPV</v>
      </c>
      <c r="AO40" s="48" t="str">
        <f t="shared" si="38"/>
        <v>SPV</v>
      </c>
      <c r="AP40" s="48" t="str">
        <f t="shared" si="39"/>
        <v>SPV</v>
      </c>
      <c r="AQ40" s="84" t="str">
        <f t="shared" si="40"/>
        <v>SPV</v>
      </c>
      <c r="AR40" s="82" t="str">
        <f t="shared" si="41"/>
        <v>SPV</v>
      </c>
      <c r="AS40" s="48" t="str">
        <f t="shared" si="42"/>
        <v>SPV</v>
      </c>
      <c r="AT40" s="48" t="str">
        <f t="shared" si="43"/>
        <v>SPV</v>
      </c>
      <c r="AU40" s="84" t="str">
        <f t="shared" si="44"/>
        <v>SPV</v>
      </c>
      <c r="AV40" s="82" t="str">
        <f t="shared" si="45"/>
        <v>SPV</v>
      </c>
      <c r="AW40" s="48" t="str">
        <f t="shared" si="46"/>
        <v>SPV</v>
      </c>
      <c r="AX40" s="48" t="str">
        <f t="shared" si="47"/>
        <v>SPV</v>
      </c>
      <c r="AY40" s="84" t="str">
        <f t="shared" si="48"/>
        <v>SPV</v>
      </c>
      <c r="AZ40" s="82" t="str">
        <f t="shared" si="49"/>
        <v>SPV</v>
      </c>
      <c r="BA40" s="48" t="str">
        <f t="shared" si="50"/>
        <v>SPV</v>
      </c>
      <c r="BB40" s="48" t="str">
        <f t="shared" si="51"/>
        <v>SPV</v>
      </c>
      <c r="BC40" s="84" t="str">
        <f t="shared" si="52"/>
        <v>SPV</v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 s="93" customFormat="1">
      <c r="B41" s="81" t="str">
        <f>Weekly!B33</f>
        <v>1094</v>
      </c>
      <c r="C41" s="90" t="str">
        <f>Weekly!C33</f>
        <v>Joslyn</v>
      </c>
      <c r="D41" s="90" t="str">
        <f>Weekly!D34</f>
        <v>Ko</v>
      </c>
      <c r="E41" s="91" t="str">
        <f>VLOOKUP(B41,Team!$B$4:$E$183,4,FALSE)</f>
        <v>HH</v>
      </c>
      <c r="F41" s="92" t="str">
        <f>Weekly!J33</f>
        <v/>
      </c>
      <c r="G41" s="92" t="str">
        <f>Weekly!K33</f>
        <v/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/>
      </c>
      <c r="Q41" s="48" t="str">
        <f t="shared" si="14"/>
        <v/>
      </c>
      <c r="R41" s="48" t="str">
        <f t="shared" si="15"/>
        <v/>
      </c>
      <c r="S41" s="84" t="str">
        <f t="shared" si="16"/>
        <v/>
      </c>
      <c r="T41" s="82" t="str">
        <f t="shared" si="17"/>
        <v/>
      </c>
      <c r="U41" s="48" t="str">
        <f t="shared" si="18"/>
        <v/>
      </c>
      <c r="V41" s="48" t="str">
        <f t="shared" si="19"/>
        <v/>
      </c>
      <c r="W41" s="84" t="str">
        <f t="shared" si="20"/>
        <v/>
      </c>
      <c r="X41" s="82" t="str">
        <f t="shared" si="21"/>
        <v/>
      </c>
      <c r="Y41" s="48" t="str">
        <f t="shared" si="22"/>
        <v/>
      </c>
      <c r="Z41" s="48" t="str">
        <f t="shared" si="23"/>
        <v/>
      </c>
      <c r="AA41" s="84" t="str">
        <f t="shared" si="24"/>
        <v/>
      </c>
      <c r="AB41" s="82" t="str">
        <f t="shared" si="25"/>
        <v/>
      </c>
      <c r="AC41" s="48" t="str">
        <f t="shared" si="26"/>
        <v/>
      </c>
      <c r="AD41" s="48" t="str">
        <f t="shared" si="27"/>
        <v/>
      </c>
      <c r="AE41" s="84" t="str">
        <f t="shared" si="28"/>
        <v/>
      </c>
      <c r="AF41" s="82" t="str">
        <f t="shared" si="29"/>
        <v/>
      </c>
      <c r="AG41" s="48" t="str">
        <f t="shared" si="30"/>
        <v/>
      </c>
      <c r="AH41" s="48" t="str">
        <f t="shared" si="31"/>
        <v/>
      </c>
      <c r="AI41" s="84" t="str">
        <f t="shared" si="32"/>
        <v/>
      </c>
      <c r="AJ41" s="82" t="str">
        <f t="shared" si="33"/>
        <v/>
      </c>
      <c r="AK41" s="48" t="str">
        <f t="shared" si="34"/>
        <v/>
      </c>
      <c r="AL41" s="48" t="str">
        <f t="shared" si="35"/>
        <v/>
      </c>
      <c r="AM41" s="84" t="str">
        <f t="shared" si="36"/>
        <v/>
      </c>
      <c r="AN41" s="82" t="str">
        <f t="shared" si="37"/>
        <v/>
      </c>
      <c r="AO41" s="48" t="str">
        <f t="shared" si="38"/>
        <v/>
      </c>
      <c r="AP41" s="48" t="str">
        <f t="shared" si="39"/>
        <v/>
      </c>
      <c r="AQ41" s="84" t="str">
        <f t="shared" si="40"/>
        <v/>
      </c>
      <c r="AR41" s="82" t="str">
        <f t="shared" si="41"/>
        <v/>
      </c>
      <c r="AS41" s="48" t="str">
        <f t="shared" si="42"/>
        <v/>
      </c>
      <c r="AT41" s="48" t="str">
        <f t="shared" si="43"/>
        <v/>
      </c>
      <c r="AU41" s="84" t="str">
        <f t="shared" si="44"/>
        <v/>
      </c>
      <c r="AV41" s="82" t="str">
        <f t="shared" si="45"/>
        <v/>
      </c>
      <c r="AW41" s="48" t="str">
        <f t="shared" si="46"/>
        <v/>
      </c>
      <c r="AX41" s="48" t="str">
        <f t="shared" si="47"/>
        <v/>
      </c>
      <c r="AY41" s="84" t="str">
        <f t="shared" si="48"/>
        <v/>
      </c>
      <c r="AZ41" s="82" t="str">
        <f t="shared" si="49"/>
        <v/>
      </c>
      <c r="BA41" s="48" t="str">
        <f t="shared" si="50"/>
        <v/>
      </c>
      <c r="BB41" s="48" t="str">
        <f t="shared" si="51"/>
        <v/>
      </c>
      <c r="BC41" s="84" t="str">
        <f t="shared" si="52"/>
        <v/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 s="93" customFormat="1">
      <c r="B42" s="81" t="str">
        <f>Weekly!B34</f>
        <v>1014</v>
      </c>
      <c r="C42" s="90" t="str">
        <f>Weekly!C34</f>
        <v>Julie K.</v>
      </c>
      <c r="D42" s="90" t="str">
        <f>Weekly!D35</f>
        <v>Luong</v>
      </c>
      <c r="E42" s="91" t="str">
        <f>VLOOKUP(B42,Team!$B$4:$E$183,4,FALSE)</f>
        <v>H&amp;B</v>
      </c>
      <c r="F42" s="92" t="str">
        <f>Weekly!J34</f>
        <v/>
      </c>
      <c r="G42" s="92" t="str">
        <f>Weekly!K34</f>
        <v/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/>
      </c>
      <c r="Q42" s="48" t="str">
        <f t="shared" si="14"/>
        <v/>
      </c>
      <c r="R42" s="48" t="str">
        <f t="shared" si="15"/>
        <v/>
      </c>
      <c r="S42" s="84" t="str">
        <f t="shared" si="16"/>
        <v/>
      </c>
      <c r="T42" s="82" t="str">
        <f t="shared" si="17"/>
        <v/>
      </c>
      <c r="U42" s="48" t="str">
        <f t="shared" si="18"/>
        <v/>
      </c>
      <c r="V42" s="48" t="str">
        <f t="shared" si="19"/>
        <v/>
      </c>
      <c r="W42" s="84" t="str">
        <f t="shared" si="20"/>
        <v/>
      </c>
      <c r="X42" s="82" t="str">
        <f t="shared" si="21"/>
        <v/>
      </c>
      <c r="Y42" s="48" t="str">
        <f t="shared" si="22"/>
        <v/>
      </c>
      <c r="Z42" s="48" t="str">
        <f t="shared" si="23"/>
        <v/>
      </c>
      <c r="AA42" s="84" t="str">
        <f t="shared" si="24"/>
        <v/>
      </c>
      <c r="AB42" s="82" t="str">
        <f t="shared" si="25"/>
        <v/>
      </c>
      <c r="AC42" s="48" t="str">
        <f t="shared" si="26"/>
        <v/>
      </c>
      <c r="AD42" s="48" t="str">
        <f t="shared" si="27"/>
        <v/>
      </c>
      <c r="AE42" s="84" t="str">
        <f t="shared" si="28"/>
        <v/>
      </c>
      <c r="AF42" s="82" t="str">
        <f t="shared" si="29"/>
        <v/>
      </c>
      <c r="AG42" s="48" t="str">
        <f t="shared" si="30"/>
        <v/>
      </c>
      <c r="AH42" s="48" t="str">
        <f t="shared" si="31"/>
        <v/>
      </c>
      <c r="AI42" s="84" t="str">
        <f t="shared" si="32"/>
        <v/>
      </c>
      <c r="AJ42" s="82" t="str">
        <f t="shared" si="33"/>
        <v/>
      </c>
      <c r="AK42" s="48" t="str">
        <f t="shared" si="34"/>
        <v/>
      </c>
      <c r="AL42" s="48" t="str">
        <f t="shared" si="35"/>
        <v/>
      </c>
      <c r="AM42" s="84" t="str">
        <f t="shared" si="36"/>
        <v/>
      </c>
      <c r="AN42" s="82" t="str">
        <f t="shared" si="37"/>
        <v/>
      </c>
      <c r="AO42" s="48" t="str">
        <f t="shared" si="38"/>
        <v/>
      </c>
      <c r="AP42" s="48" t="str">
        <f t="shared" si="39"/>
        <v/>
      </c>
      <c r="AQ42" s="84" t="str">
        <f t="shared" si="40"/>
        <v/>
      </c>
      <c r="AR42" s="82" t="str">
        <f t="shared" si="41"/>
        <v/>
      </c>
      <c r="AS42" s="48" t="str">
        <f t="shared" si="42"/>
        <v/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 s="93" customFormat="1">
      <c r="B43" s="81" t="str">
        <f>Weekly!B35</f>
        <v>01518</v>
      </c>
      <c r="C43" s="90" t="str">
        <f>Weekly!C35</f>
        <v>Julie L.</v>
      </c>
      <c r="D43" s="90" t="str">
        <f>Weekly!D36</f>
        <v>Sy</v>
      </c>
      <c r="E43" s="91" t="str">
        <f>VLOOKUP(B43,Team!$B$4:$E$183,4,FALSE)</f>
        <v>F</v>
      </c>
      <c r="F43" s="92" t="str">
        <f>Weekly!J35</f>
        <v/>
      </c>
      <c r="G43" s="92" t="str">
        <f>Weekly!K35</f>
        <v/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/>
      </c>
      <c r="Y43" s="48" t="str">
        <f t="shared" si="22"/>
        <v/>
      </c>
      <c r="Z43" s="48" t="str">
        <f t="shared" si="23"/>
        <v/>
      </c>
      <c r="AA43" s="84" t="str">
        <f t="shared" si="24"/>
        <v/>
      </c>
      <c r="AB43" s="82" t="str">
        <f t="shared" si="25"/>
        <v/>
      </c>
      <c r="AC43" s="48" t="str">
        <f t="shared" si="26"/>
        <v/>
      </c>
      <c r="AD43" s="48" t="str">
        <f t="shared" si="27"/>
        <v/>
      </c>
      <c r="AE43" s="84" t="str">
        <f t="shared" si="28"/>
        <v/>
      </c>
      <c r="AF43" s="82" t="str">
        <f t="shared" si="29"/>
        <v/>
      </c>
      <c r="AG43" s="48" t="str">
        <f t="shared" si="30"/>
        <v/>
      </c>
      <c r="AH43" s="48" t="str">
        <f t="shared" si="31"/>
        <v/>
      </c>
      <c r="AI43" s="84" t="str">
        <f t="shared" si="32"/>
        <v/>
      </c>
      <c r="AJ43" s="82" t="str">
        <f t="shared" si="33"/>
        <v/>
      </c>
      <c r="AK43" s="48" t="str">
        <f t="shared" si="34"/>
        <v/>
      </c>
      <c r="AL43" s="48" t="str">
        <f t="shared" si="35"/>
        <v/>
      </c>
      <c r="AM43" s="84" t="str">
        <f t="shared" si="36"/>
        <v/>
      </c>
      <c r="AN43" s="82" t="str">
        <f t="shared" si="37"/>
        <v/>
      </c>
      <c r="AO43" s="48" t="str">
        <f t="shared" si="38"/>
        <v/>
      </c>
      <c r="AP43" s="48" t="str">
        <f t="shared" si="39"/>
        <v/>
      </c>
      <c r="AQ43" s="84" t="str">
        <f t="shared" si="40"/>
        <v/>
      </c>
      <c r="AR43" s="82" t="str">
        <f t="shared" si="41"/>
        <v/>
      </c>
      <c r="AS43" s="48" t="str">
        <f t="shared" si="42"/>
        <v/>
      </c>
      <c r="AT43" s="48" t="str">
        <f t="shared" si="43"/>
        <v/>
      </c>
      <c r="AU43" s="84" t="str">
        <f t="shared" si="44"/>
        <v/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 s="93" customFormat="1">
      <c r="B44" s="81" t="str">
        <f>Weekly!B36</f>
        <v>01527</v>
      </c>
      <c r="C44" s="90" t="str">
        <f>Weekly!C36</f>
        <v>Justine</v>
      </c>
      <c r="D44" s="90" t="str">
        <f>Weekly!D37</f>
        <v>Htun</v>
      </c>
      <c r="E44" s="91" t="str">
        <f>VLOOKUP(B44,Team!$B$4:$E$183,4,FALSE)</f>
        <v>Stat.</v>
      </c>
      <c r="F44" s="92" t="str">
        <f>Weekly!J36</f>
        <v/>
      </c>
      <c r="G44" s="92" t="str">
        <f>Weekly!K36</f>
        <v/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/>
      </c>
      <c r="Q44" s="48" t="str">
        <f t="shared" si="14"/>
        <v/>
      </c>
      <c r="R44" s="48" t="str">
        <f t="shared" si="15"/>
        <v/>
      </c>
      <c r="S44" s="84" t="str">
        <f t="shared" si="16"/>
        <v/>
      </c>
      <c r="T44" s="82" t="str">
        <f t="shared" si="17"/>
        <v/>
      </c>
      <c r="U44" s="48" t="str">
        <f t="shared" si="18"/>
        <v/>
      </c>
      <c r="V44" s="48" t="str">
        <f t="shared" si="19"/>
        <v/>
      </c>
      <c r="W44" s="84" t="str">
        <f t="shared" si="20"/>
        <v/>
      </c>
      <c r="X44" s="82" t="str">
        <f t="shared" si="21"/>
        <v/>
      </c>
      <c r="Y44" s="48" t="str">
        <f t="shared" si="22"/>
        <v/>
      </c>
      <c r="Z44" s="48" t="str">
        <f t="shared" si="23"/>
        <v/>
      </c>
      <c r="AA44" s="84" t="str">
        <f t="shared" si="24"/>
        <v/>
      </c>
      <c r="AB44" s="82" t="str">
        <f t="shared" si="25"/>
        <v/>
      </c>
      <c r="AC44" s="48" t="str">
        <f t="shared" si="26"/>
        <v/>
      </c>
      <c r="AD44" s="48" t="str">
        <f t="shared" si="27"/>
        <v/>
      </c>
      <c r="AE44" s="84" t="str">
        <f t="shared" si="28"/>
        <v/>
      </c>
      <c r="AF44" s="82" t="str">
        <f t="shared" si="29"/>
        <v/>
      </c>
      <c r="AG44" s="48" t="str">
        <f t="shared" si="30"/>
        <v/>
      </c>
      <c r="AH44" s="48" t="str">
        <f t="shared" si="31"/>
        <v/>
      </c>
      <c r="AI44" s="84" t="str">
        <f t="shared" si="32"/>
        <v/>
      </c>
      <c r="AJ44" s="82" t="str">
        <f t="shared" si="33"/>
        <v/>
      </c>
      <c r="AK44" s="48" t="str">
        <f t="shared" si="34"/>
        <v/>
      </c>
      <c r="AL44" s="48" t="str">
        <f t="shared" si="35"/>
        <v/>
      </c>
      <c r="AM44" s="84" t="str">
        <f t="shared" si="36"/>
        <v/>
      </c>
      <c r="AN44" s="82" t="str">
        <f t="shared" si="37"/>
        <v/>
      </c>
      <c r="AO44" s="48" t="str">
        <f t="shared" si="38"/>
        <v/>
      </c>
      <c r="AP44" s="48" t="str">
        <f t="shared" si="39"/>
        <v/>
      </c>
      <c r="AQ44" s="84" t="str">
        <f t="shared" si="40"/>
        <v/>
      </c>
      <c r="AR44" s="82" t="str">
        <f t="shared" si="41"/>
        <v/>
      </c>
      <c r="AS44" s="48" t="str">
        <f t="shared" si="42"/>
        <v/>
      </c>
      <c r="AT44" s="48" t="str">
        <f t="shared" si="43"/>
        <v/>
      </c>
      <c r="AU44" s="84" t="str">
        <f t="shared" si="44"/>
        <v/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 s="93" customFormat="1">
      <c r="B45" s="81" t="str">
        <f>Weekly!B37</f>
        <v>01519</v>
      </c>
      <c r="C45" s="90" t="str">
        <f>Weekly!C37</f>
        <v>Kathy</v>
      </c>
      <c r="D45" s="90" t="str">
        <f>Weekly!D38</f>
        <v>Bongolan</v>
      </c>
      <c r="E45" s="91" t="str">
        <f>VLOOKUP(B45,Team!$B$4:$E$183,4,FALSE)</f>
        <v>Stat.</v>
      </c>
      <c r="F45" s="92" t="str">
        <f>Weekly!J37</f>
        <v/>
      </c>
      <c r="G45" s="92" t="str">
        <f>Weekly!K37</f>
        <v/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/>
      </c>
      <c r="Y45" s="48" t="str">
        <f t="shared" si="22"/>
        <v/>
      </c>
      <c r="Z45" s="48" t="str">
        <f t="shared" si="23"/>
        <v/>
      </c>
      <c r="AA45" s="84" t="str">
        <f t="shared" si="24"/>
        <v/>
      </c>
      <c r="AB45" s="82" t="str">
        <f t="shared" si="25"/>
        <v/>
      </c>
      <c r="AC45" s="48" t="str">
        <f t="shared" si="26"/>
        <v/>
      </c>
      <c r="AD45" s="48" t="str">
        <f t="shared" si="27"/>
        <v/>
      </c>
      <c r="AE45" s="84" t="str">
        <f t="shared" si="28"/>
        <v/>
      </c>
      <c r="AF45" s="82" t="str">
        <f t="shared" si="29"/>
        <v/>
      </c>
      <c r="AG45" s="48" t="str">
        <f t="shared" si="30"/>
        <v/>
      </c>
      <c r="AH45" s="48" t="str">
        <f t="shared" si="31"/>
        <v/>
      </c>
      <c r="AI45" s="84" t="str">
        <f t="shared" si="32"/>
        <v/>
      </c>
      <c r="AJ45" s="82" t="str">
        <f t="shared" si="33"/>
        <v/>
      </c>
      <c r="AK45" s="48" t="str">
        <f t="shared" si="34"/>
        <v/>
      </c>
      <c r="AL45" s="48" t="str">
        <f t="shared" si="35"/>
        <v/>
      </c>
      <c r="AM45" s="84" t="str">
        <f t="shared" si="36"/>
        <v/>
      </c>
      <c r="AN45" s="82" t="str">
        <f t="shared" si="37"/>
        <v/>
      </c>
      <c r="AO45" s="48" t="str">
        <f t="shared" si="38"/>
        <v/>
      </c>
      <c r="AP45" s="48" t="str">
        <f t="shared" si="39"/>
        <v/>
      </c>
      <c r="AQ45" s="84" t="str">
        <f t="shared" si="40"/>
        <v/>
      </c>
      <c r="AR45" s="82" t="str">
        <f t="shared" si="41"/>
        <v/>
      </c>
      <c r="AS45" s="48" t="str">
        <f t="shared" si="42"/>
        <v/>
      </c>
      <c r="AT45" s="48" t="str">
        <f t="shared" si="43"/>
        <v/>
      </c>
      <c r="AU45" s="84" t="str">
        <f t="shared" si="44"/>
        <v/>
      </c>
      <c r="AV45" s="82" t="str">
        <f t="shared" si="45"/>
        <v/>
      </c>
      <c r="AW45" s="48" t="str">
        <f t="shared" si="46"/>
        <v/>
      </c>
      <c r="AX45" s="48" t="str">
        <f t="shared" si="47"/>
        <v/>
      </c>
      <c r="AY45" s="84" t="str">
        <f t="shared" si="48"/>
        <v/>
      </c>
      <c r="AZ45" s="82" t="str">
        <f t="shared" si="49"/>
        <v/>
      </c>
      <c r="BA45" s="48" t="str">
        <f t="shared" si="50"/>
        <v/>
      </c>
      <c r="BB45" s="48" t="str">
        <f t="shared" si="51"/>
        <v/>
      </c>
      <c r="BC45" s="84" t="str">
        <f t="shared" si="52"/>
        <v/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 s="93" customFormat="1">
      <c r="B46" s="81" t="str">
        <f>Weekly!B38</f>
        <v>1143</v>
      </c>
      <c r="C46" s="90" t="str">
        <f>Weekly!C38</f>
        <v>Kaye</v>
      </c>
      <c r="D46" s="90" t="str">
        <f>Weekly!D39</f>
        <v>Ng</v>
      </c>
      <c r="E46" s="91" t="str">
        <f>VLOOKUP(B46,Team!$B$4:$E$183,4,FALSE)</f>
        <v>L's</v>
      </c>
      <c r="F46" s="92" t="str">
        <f>Weekly!J38</f>
        <v/>
      </c>
      <c r="G46" s="92" t="str">
        <f>Weekly!K38</f>
        <v/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/>
      </c>
      <c r="Y46" s="48" t="str">
        <f t="shared" si="22"/>
        <v/>
      </c>
      <c r="Z46" s="48" t="str">
        <f t="shared" si="23"/>
        <v/>
      </c>
      <c r="AA46" s="84" t="str">
        <f t="shared" si="24"/>
        <v/>
      </c>
      <c r="AB46" s="82" t="str">
        <f t="shared" si="25"/>
        <v/>
      </c>
      <c r="AC46" s="48" t="str">
        <f t="shared" si="26"/>
        <v/>
      </c>
      <c r="AD46" s="48" t="str">
        <f t="shared" si="27"/>
        <v/>
      </c>
      <c r="AE46" s="84" t="str">
        <f t="shared" si="28"/>
        <v/>
      </c>
      <c r="AF46" s="82" t="str">
        <f t="shared" si="29"/>
        <v/>
      </c>
      <c r="AG46" s="48" t="str">
        <f t="shared" si="30"/>
        <v/>
      </c>
      <c r="AH46" s="48" t="str">
        <f t="shared" si="31"/>
        <v/>
      </c>
      <c r="AI46" s="84" t="str">
        <f t="shared" si="32"/>
        <v/>
      </c>
      <c r="AJ46" s="82" t="str">
        <f t="shared" si="33"/>
        <v/>
      </c>
      <c r="AK46" s="48" t="str">
        <f t="shared" si="34"/>
        <v/>
      </c>
      <c r="AL46" s="48" t="str">
        <f t="shared" si="35"/>
        <v/>
      </c>
      <c r="AM46" s="84" t="str">
        <f t="shared" si="36"/>
        <v/>
      </c>
      <c r="AN46" s="82" t="str">
        <f t="shared" si="37"/>
        <v/>
      </c>
      <c r="AO46" s="48" t="str">
        <f t="shared" si="38"/>
        <v/>
      </c>
      <c r="AP46" s="48" t="str">
        <f t="shared" si="39"/>
        <v/>
      </c>
      <c r="AQ46" s="84" t="str">
        <f t="shared" si="40"/>
        <v/>
      </c>
      <c r="AR46" s="82" t="str">
        <f t="shared" si="41"/>
        <v/>
      </c>
      <c r="AS46" s="48" t="str">
        <f t="shared" si="42"/>
        <v/>
      </c>
      <c r="AT46" s="48" t="str">
        <f t="shared" si="43"/>
        <v/>
      </c>
      <c r="AU46" s="84" t="str">
        <f t="shared" si="44"/>
        <v/>
      </c>
      <c r="AV46" s="82" t="str">
        <f t="shared" si="45"/>
        <v/>
      </c>
      <c r="AW46" s="48" t="str">
        <f t="shared" si="46"/>
        <v/>
      </c>
      <c r="AX46" s="48" t="str">
        <f t="shared" si="47"/>
        <v/>
      </c>
      <c r="AY46" s="84" t="str">
        <f t="shared" si="48"/>
        <v/>
      </c>
      <c r="AZ46" s="82" t="str">
        <f t="shared" si="49"/>
        <v/>
      </c>
      <c r="BA46" s="48" t="str">
        <f t="shared" si="50"/>
        <v/>
      </c>
      <c r="BB46" s="48" t="str">
        <f t="shared" si="51"/>
        <v/>
      </c>
      <c r="BC46" s="84" t="str">
        <f t="shared" si="52"/>
        <v/>
      </c>
      <c r="BD46" s="82" t="str">
        <f t="shared" si="53"/>
        <v/>
      </c>
      <c r="BE46" s="48" t="str">
        <f t="shared" si="54"/>
        <v/>
      </c>
      <c r="BF46" s="48" t="str">
        <f t="shared" si="55"/>
        <v/>
      </c>
      <c r="BG46" s="84" t="str">
        <f t="shared" si="56"/>
        <v/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 s="93" customFormat="1">
      <c r="B47" s="81" t="str">
        <f>Weekly!B39</f>
        <v>01523</v>
      </c>
      <c r="C47" s="90" t="str">
        <f>Weekly!C39</f>
        <v>Lachlan</v>
      </c>
      <c r="D47" s="90" t="str">
        <f>Weekly!D40</f>
        <v>Huynh</v>
      </c>
      <c r="E47" s="91" t="str">
        <f>VLOOKUP(B47,Team!$B$4:$E$183,4,FALSE)</f>
        <v>L's</v>
      </c>
      <c r="F47" s="92" t="str">
        <f>Weekly!J39</f>
        <v/>
      </c>
      <c r="G47" s="92" t="str">
        <f>Weekly!K39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 s="93" customFormat="1">
      <c r="B48" s="81" t="str">
        <f>Weekly!B40</f>
        <v>614</v>
      </c>
      <c r="C48" s="90" t="str">
        <f>Weekly!C40</f>
        <v>Lauren</v>
      </c>
      <c r="D48" s="90" t="str">
        <f>Weekly!D41</f>
        <v>Simkhada</v>
      </c>
      <c r="E48" s="91" t="str">
        <f>VLOOKUP(B48,Team!$B$4:$E$183,4,FALSE)</f>
        <v>L's</v>
      </c>
      <c r="F48" s="92" t="str">
        <f>Weekly!J40</f>
        <v/>
      </c>
      <c r="G48" s="92" t="str">
        <f>Weekly!K40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 s="93" customFormat="1">
      <c r="B49" s="81" t="str">
        <f>Weekly!B41</f>
        <v>01517</v>
      </c>
      <c r="C49" s="90" t="str">
        <f>Weekly!C41</f>
        <v>Lona</v>
      </c>
      <c r="D49" s="90" t="str">
        <f>Weekly!D42</f>
        <v>Lee</v>
      </c>
      <c r="E49" s="91" t="str">
        <f>VLOOKUP(B49,Team!$B$4:$E$183,4,FALSE)</f>
        <v>M's</v>
      </c>
      <c r="F49" s="92">
        <f>Weekly!J41</f>
        <v>0.35416666666666602</v>
      </c>
      <c r="G49" s="92">
        <f>Weekly!K41</f>
        <v>0.687499999999999</v>
      </c>
      <c r="H49" s="48" t="str">
        <f t="shared" ref="H49:H80" si="70">IF(AND($H$12&gt;=$F49,$H$12&lt;$G49),$E49,"")</f>
        <v/>
      </c>
      <c r="I49" s="48" t="str">
        <f t="shared" ref="I49:I80" si="71">IF(AND($I$12&gt;=$F49,$I$12&lt;$G49),$E49,"")</f>
        <v/>
      </c>
      <c r="J49" s="48" t="str">
        <f t="shared" ref="J49:J80" si="72">IF(AND($J$12&gt;=$F49,$J$12&lt;$G49),$E49,"")</f>
        <v/>
      </c>
      <c r="K49" s="84" t="str">
        <f t="shared" ref="K49:K80" si="73">IF(AND($K$12&gt;=$F49,$K$12&lt;$G49),$E49,"")</f>
        <v/>
      </c>
      <c r="L49" s="82" t="str">
        <f t="shared" ref="L49:L80" si="74">IF(AND($L$12&gt;=$F49,$L$12&lt;$G49),$E49,"")</f>
        <v/>
      </c>
      <c r="M49" s="48" t="str">
        <f t="shared" ref="M49:M80" si="75">IF(AND($M$12&gt;=$F49,$M$12&lt;$G49),$E49,"")</f>
        <v/>
      </c>
      <c r="N49" s="48" t="str">
        <f t="shared" ref="N49:N80" si="76">IF(AND($N$12&gt;=$F49,$N$12&lt;$G49),$E49,"")</f>
        <v>M's</v>
      </c>
      <c r="O49" s="84" t="str">
        <f t="shared" ref="O49:O80" si="77">IF(AND($O$12&gt;=$F49,$O$12&lt;$G49),$E49,"")</f>
        <v>M's</v>
      </c>
      <c r="P49" s="82" t="str">
        <f t="shared" ref="P49:P80" si="78">IF(AND($P$12&gt;=$F49,$P$12&lt;$G49),$E49,"")</f>
        <v>M's</v>
      </c>
      <c r="Q49" s="48" t="str">
        <f t="shared" ref="Q49:Q80" si="79">IF(AND($Q$12&gt;=$F49,$Q$12&lt;$G49),$E49,"")</f>
        <v>M's</v>
      </c>
      <c r="R49" s="48" t="str">
        <f t="shared" ref="R49:R80" si="80">IF(AND($R$12&gt;=$F49,$R$12&lt;$G49),$E49,"")</f>
        <v>M's</v>
      </c>
      <c r="S49" s="84" t="str">
        <f t="shared" ref="S49:S80" si="81">IF(AND($S$12&gt;=$F49,$S$12&lt;$G49),$E49,"")</f>
        <v>M's</v>
      </c>
      <c r="T49" s="82" t="str">
        <f t="shared" ref="T49:T80" si="82">IF(AND($T$12&gt;=$F49,$T$12&lt;$G49),$E49,"")</f>
        <v>M's</v>
      </c>
      <c r="U49" s="48" t="str">
        <f t="shared" ref="U49:U80" si="83">IF(AND($U$12&gt;=$F49,$U$12&lt;$G49),$E49,"")</f>
        <v>M's</v>
      </c>
      <c r="V49" s="48" t="str">
        <f t="shared" ref="V49:V80" si="84">IF(AND($V$12&gt;=$F49,$V$12&lt;$G49),$E49,"")</f>
        <v>M's</v>
      </c>
      <c r="W49" s="84" t="str">
        <f t="shared" ref="W49:W80" si="85">IF(AND($W$12&gt;=$F49,$W$12&lt;$G49),$E49,"")</f>
        <v>M's</v>
      </c>
      <c r="X49" s="82" t="str">
        <f t="shared" ref="X49:X80" si="86">IF(AND($X$12&gt;=$F49,$X$12&lt;$G49),$E49,"")</f>
        <v>M's</v>
      </c>
      <c r="Y49" s="48" t="str">
        <f t="shared" ref="Y49:Y80" si="87">IF(AND($Y$12&gt;=$F49,$Y$12&lt;$G49),$E49,"")</f>
        <v>M's</v>
      </c>
      <c r="Z49" s="48" t="str">
        <f t="shared" ref="Z49:Z80" si="88">IF(AND($Z$12&gt;=$F49,$Z$12&lt;$G49),$E49,"")</f>
        <v>M's</v>
      </c>
      <c r="AA49" s="84" t="str">
        <f t="shared" ref="AA49:AA80" si="89">IF(AND($AA$12&gt;=$F49,$AA$12&lt;$G49),$E49,"")</f>
        <v>M's</v>
      </c>
      <c r="AB49" s="82" t="str">
        <f t="shared" ref="AB49:AB80" si="90">IF(AND($AB$12&gt;=$F49,$AB$12&lt;$G49),$E49,"")</f>
        <v>M's</v>
      </c>
      <c r="AC49" s="48" t="str">
        <f t="shared" ref="AC49:AC80" si="91">IF(AND($AC$12&gt;=$F49,$AC$12&lt;$G49),$E49,"")</f>
        <v>M's</v>
      </c>
      <c r="AD49" s="48" t="str">
        <f t="shared" ref="AD49:AD80" si="92">IF(AND($AD$12&gt;=$F49,$AD$12&lt;$G49),$E49,"")</f>
        <v>M's</v>
      </c>
      <c r="AE49" s="84" t="str">
        <f t="shared" ref="AE49:AE80" si="93">IF(AND($AE$12&gt;=$F49,$AE$12&lt;$G49),$E49,"")</f>
        <v>M's</v>
      </c>
      <c r="AF49" s="82" t="str">
        <f t="shared" ref="AF49:AF80" si="94">IF(AND($AF$12&gt;=$F49,$AF$12&lt;$G49),$E49,"")</f>
        <v>M's</v>
      </c>
      <c r="AG49" s="48" t="str">
        <f t="shared" ref="AG49:AG80" si="95">IF(AND($AG$12&gt;=$F49,$AG$12&lt;$G49),$E49,"")</f>
        <v>M's</v>
      </c>
      <c r="AH49" s="48" t="str">
        <f t="shared" ref="AH49:AH80" si="96">IF(AND($AH$12&gt;=$F49,$AH$12&lt;$G49),$E49,"")</f>
        <v>M's</v>
      </c>
      <c r="AI49" s="84" t="str">
        <f t="shared" ref="AI49:AI80" si="97">IF(AND($AI$12&gt;=$F49,$AI$12&lt;$G49),$E49,"")</f>
        <v>M's</v>
      </c>
      <c r="AJ49" s="82" t="str">
        <f t="shared" ref="AJ49:AJ80" si="98">IF(AND($AJ$12&gt;=$F49,$AJ$12&lt;$G49),$E49,"")</f>
        <v>M's</v>
      </c>
      <c r="AK49" s="48" t="str">
        <f t="shared" ref="AK49:AK80" si="99">IF(AND($AK$12&gt;=$F49,$AK$12&lt;$G49),$E49,"")</f>
        <v>M's</v>
      </c>
      <c r="AL49" s="48" t="str">
        <f t="shared" ref="AL49:AL80" si="100">IF(AND($AL$12&gt;=$F49,$AL$12&lt;$G49),$E49,"")</f>
        <v>M's</v>
      </c>
      <c r="AM49" s="84" t="str">
        <f t="shared" ref="AM49:AM80" si="101">IF(AND($AM$12&gt;=$F49,$AM$12&lt;$G49),$E49,"")</f>
        <v>M's</v>
      </c>
      <c r="AN49" s="82" t="str">
        <f t="shared" ref="AN49:AN80" si="102">IF(AND($AN$12&gt;=$F49,$AN$12&lt;$G49),$E49,"")</f>
        <v>M's</v>
      </c>
      <c r="AO49" s="48" t="str">
        <f t="shared" ref="AO49:AO80" si="103">IF(AND($AO$12&gt;=$F49,$AO$12&lt;$G49),$E49,"")</f>
        <v>M's</v>
      </c>
      <c r="AP49" s="48" t="str">
        <f t="shared" ref="AP49:AP80" si="104">IF(AND($AP$12&gt;=$F49,$AP$12&lt;$G49),$E49,"")</f>
        <v>M's</v>
      </c>
      <c r="AQ49" s="84" t="str">
        <f t="shared" ref="AQ49:AQ80" si="105">IF(AND($AQ$12&gt;=$F49,$AQ$12&lt;$G49),$E49,"")</f>
        <v>M's</v>
      </c>
      <c r="AR49" s="82" t="str">
        <f t="shared" ref="AR49:AR80" si="106">IF(AND($AR$12&gt;=$F49,$AR$12&lt;$G49),$E49,"")</f>
        <v>M's</v>
      </c>
      <c r="AS49" s="48" t="str">
        <f t="shared" ref="AS49:AS80" si="107">IF(AND($AS$12&gt;=$F49,$AS$12&lt;$G49),$E49,"")</f>
        <v>M's</v>
      </c>
      <c r="AT49" s="48" t="str">
        <f t="shared" ref="AT49:AT80" si="108">IF(AND($AT$12&gt;=$F49,$AT$12&lt;$G49),$E49,"")</f>
        <v/>
      </c>
      <c r="AU49" s="84" t="str">
        <f t="shared" ref="AU49:AU80" si="109">IF(AND($AU$12&gt;=$F49,$AU$12&lt;$G49),$E49,"")</f>
        <v/>
      </c>
      <c r="AV49" s="82" t="str">
        <f t="shared" ref="AV49:AV80" si="110">IF(AND($AV$12&gt;=$F49,$AV$12&lt;$G49),$E49,"")</f>
        <v/>
      </c>
      <c r="AW49" s="48" t="str">
        <f t="shared" ref="AW49:AW80" si="111">IF(AND($AW$12&gt;=$F49,$AW$12&lt;$G49),$E49,"")</f>
        <v/>
      </c>
      <c r="AX49" s="48" t="str">
        <f t="shared" ref="AX49:AX80" si="112">IF(AND($AX$12&gt;=$F49,$AX$12&lt;$G49),$E49,"")</f>
        <v/>
      </c>
      <c r="AY49" s="84" t="str">
        <f t="shared" ref="AY49:AY80" si="113">IF(AND($AY$12&gt;=$F49,$AY$12&lt;$G49),$E49,"")</f>
        <v/>
      </c>
      <c r="AZ49" s="82" t="str">
        <f t="shared" ref="AZ49:AZ80" si="114">IF(AND($AZ$12&gt;=$F49,$AZ$12&lt;$G49),$E49,"")</f>
        <v/>
      </c>
      <c r="BA49" s="48" t="str">
        <f t="shared" ref="BA49:BA80" si="115">IF(AND($BA$12&gt;=$F49,$BA$12&lt;$G49),$E49,"")</f>
        <v/>
      </c>
      <c r="BB49" s="48" t="str">
        <f t="shared" ref="BB49:BB80" si="116">IF(AND($BB$12&gt;=$F49,$BB$12&lt;$G49),$E49,"")</f>
        <v/>
      </c>
      <c r="BC49" s="84" t="str">
        <f t="shared" ref="BC49:BC80" si="117">IF(AND($BC$12&gt;=$F49,$BC$12&lt;$G49),$E49,"")</f>
        <v/>
      </c>
      <c r="BD49" s="82" t="str">
        <f t="shared" ref="BD49:BD80" si="118">IF(AND($BD$12&gt;=$F49,$BD$12&lt;$G49),$E49,"")</f>
        <v/>
      </c>
      <c r="BE49" s="48" t="str">
        <f t="shared" ref="BE49:BE80" si="119">IF(AND($BE$12&gt;=$F49,$BE$12&lt;$G49),$E49,"")</f>
        <v/>
      </c>
      <c r="BF49" s="48" t="str">
        <f t="shared" ref="BF49:BF80" si="120">IF(AND($BF$12&gt;=$F49,$BF$12&lt;$G49),$E49,"")</f>
        <v/>
      </c>
      <c r="BG49" s="84" t="str">
        <f t="shared" ref="BG49:BG80" si="121">IF(AND($BG$12&gt;=$F49,$BG$12&lt;$G49),$E49,"")</f>
        <v/>
      </c>
      <c r="BH49" s="87" t="str">
        <f t="shared" ref="BH49:BH80" si="122">IF(AND($BH$12&gt;=$F49,$BH$12&lt;$G49),$E49,"")</f>
        <v/>
      </c>
      <c r="BI49" s="49" t="str">
        <f t="shared" ref="BI49:BI80" si="123">IF(AND($BI$12&gt;=$F49,$BI$12&lt;$G49),$E49,"")</f>
        <v/>
      </c>
      <c r="BJ49" s="49" t="str">
        <f t="shared" ref="BJ49:BJ80" si="124">IF(AND($BJ$12&gt;=$F49,$BJ$12&lt;$G49),$E49,"")</f>
        <v/>
      </c>
      <c r="BK49" s="89" t="str">
        <f t="shared" ref="BK49:BK80" si="125">IF(AND($BK$12&gt;=$F49,$BK$12&lt;$G49),$E49,"")</f>
        <v/>
      </c>
      <c r="BL49" s="87" t="str">
        <f t="shared" ref="BL49:BL80" si="126">IF(AND($BL$12&gt;=$F49,$BL$12&lt;$G49),$E49,"")</f>
        <v/>
      </c>
      <c r="BM49" s="49" t="str">
        <f t="shared" ref="BM49:BM80" si="127">IF(AND($BM$12&gt;=$F49,$BM$12&lt;$G49),$E49,"")</f>
        <v/>
      </c>
      <c r="BN49" s="49" t="str">
        <f t="shared" ref="BN49:BN80" si="128">IF(AND($BN$12&gt;=$F49,$BN$12&lt;$G49),$E49,"")</f>
        <v/>
      </c>
      <c r="BO49" s="89" t="str">
        <f t="shared" ref="BO49:BO80" si="129">IF(AND($BO$12&gt;=$F49,$BO$12&lt;$G49),$E49,"")</f>
        <v/>
      </c>
      <c r="BP49" s="87" t="str">
        <f t="shared" ref="BP49:BP80" si="130">IF(AND($BP$12&gt;=$F49,$BP$12&lt;$G49),$E49,"")</f>
        <v/>
      </c>
      <c r="BQ49" s="49" t="str">
        <f t="shared" ref="BQ49:BQ80" si="131">IF(AND($BQ$12&gt;=$F49,$BQ$12&lt;$G49),$E49,"")</f>
        <v/>
      </c>
      <c r="BR49" s="49" t="str">
        <f t="shared" ref="BR49:BR80" si="132">IF(AND($BR$12&gt;=$F49,$BR$12&lt;$G49),$E49,"")</f>
        <v/>
      </c>
      <c r="BS49" s="89" t="str">
        <f t="shared" ref="BS49:BS80" si="133">IF(AND($BS$12&gt;=$F49,$BS$12&lt;$G49),$E49,"")</f>
        <v/>
      </c>
      <c r="BT49" s="87" t="str">
        <f t="shared" ref="BT49:BT80" si="134">IF(AND($BT$12&gt;=$F49,$BT$12&lt;$G49),$E49,"")</f>
        <v/>
      </c>
    </row>
    <row r="50" spans="2:72" s="93" customFormat="1">
      <c r="B50" s="81" t="str">
        <f>Weekly!B42</f>
        <v>882</v>
      </c>
      <c r="C50" s="90" t="str">
        <f>Weekly!C42</f>
        <v>Masami</v>
      </c>
      <c r="D50" s="90" t="str">
        <f>Weekly!D43</f>
        <v>Banh</v>
      </c>
      <c r="E50" s="91" t="str">
        <f>VLOOKUP(B50,Team!$B$4:$E$183,4,FALSE)</f>
        <v>Acc.</v>
      </c>
      <c r="F50" s="92" t="str">
        <f>Weekly!J42</f>
        <v/>
      </c>
      <c r="G50" s="92" t="str">
        <f>Weekly!K42</f>
        <v/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/>
      </c>
      <c r="O50" s="84" t="str">
        <f t="shared" si="77"/>
        <v/>
      </c>
      <c r="P50" s="82" t="str">
        <f t="shared" si="78"/>
        <v/>
      </c>
      <c r="Q50" s="48" t="str">
        <f t="shared" si="79"/>
        <v/>
      </c>
      <c r="R50" s="48" t="str">
        <f t="shared" si="80"/>
        <v/>
      </c>
      <c r="S50" s="84" t="str">
        <f t="shared" si="81"/>
        <v/>
      </c>
      <c r="T50" s="82" t="str">
        <f t="shared" si="82"/>
        <v/>
      </c>
      <c r="U50" s="48" t="str">
        <f t="shared" si="83"/>
        <v/>
      </c>
      <c r="V50" s="48" t="str">
        <f t="shared" si="84"/>
        <v/>
      </c>
      <c r="W50" s="84" t="str">
        <f t="shared" si="85"/>
        <v/>
      </c>
      <c r="X50" s="82" t="str">
        <f t="shared" si="86"/>
        <v/>
      </c>
      <c r="Y50" s="48" t="str">
        <f t="shared" si="87"/>
        <v/>
      </c>
      <c r="Z50" s="48" t="str">
        <f t="shared" si="88"/>
        <v/>
      </c>
      <c r="AA50" s="84" t="str">
        <f t="shared" si="89"/>
        <v/>
      </c>
      <c r="AB50" s="82" t="str">
        <f t="shared" si="90"/>
        <v/>
      </c>
      <c r="AC50" s="48" t="str">
        <f t="shared" si="91"/>
        <v/>
      </c>
      <c r="AD50" s="48" t="str">
        <f t="shared" si="92"/>
        <v/>
      </c>
      <c r="AE50" s="84" t="str">
        <f t="shared" si="93"/>
        <v/>
      </c>
      <c r="AF50" s="82" t="str">
        <f t="shared" si="94"/>
        <v/>
      </c>
      <c r="AG50" s="48" t="str">
        <f t="shared" si="95"/>
        <v/>
      </c>
      <c r="AH50" s="48" t="str">
        <f t="shared" si="96"/>
        <v/>
      </c>
      <c r="AI50" s="84" t="str">
        <f t="shared" si="97"/>
        <v/>
      </c>
      <c r="AJ50" s="82" t="str">
        <f t="shared" si="98"/>
        <v/>
      </c>
      <c r="AK50" s="48" t="str">
        <f t="shared" si="99"/>
        <v/>
      </c>
      <c r="AL50" s="48" t="str">
        <f t="shared" si="100"/>
        <v/>
      </c>
      <c r="AM50" s="84" t="str">
        <f t="shared" si="101"/>
        <v/>
      </c>
      <c r="AN50" s="82" t="str">
        <f t="shared" si="102"/>
        <v/>
      </c>
      <c r="AO50" s="48" t="str">
        <f t="shared" si="103"/>
        <v/>
      </c>
      <c r="AP50" s="48" t="str">
        <f t="shared" si="104"/>
        <v/>
      </c>
      <c r="AQ50" s="84" t="str">
        <f t="shared" si="105"/>
        <v/>
      </c>
      <c r="AR50" s="82" t="str">
        <f t="shared" si="106"/>
        <v/>
      </c>
      <c r="AS50" s="48" t="str">
        <f t="shared" si="107"/>
        <v/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 s="93" customFormat="1">
      <c r="B51" s="81" t="str">
        <f>Weekly!B43</f>
        <v>1132</v>
      </c>
      <c r="C51" s="90" t="str">
        <f>Weekly!C43</f>
        <v>Michelle B.</v>
      </c>
      <c r="D51" s="90" t="str">
        <f>Weekly!D44</f>
        <v>Tran Wo</v>
      </c>
      <c r="E51" s="91" t="str">
        <f>VLOOKUP(B51,Team!$B$4:$E$183,4,FALSE)</f>
        <v>Stat.</v>
      </c>
      <c r="F51" s="92" t="str">
        <f>Weekly!J43</f>
        <v/>
      </c>
      <c r="G51" s="92" t="str">
        <f>Weekly!K43</f>
        <v/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/>
      </c>
      <c r="O51" s="84" t="str">
        <f t="shared" si="77"/>
        <v/>
      </c>
      <c r="P51" s="82" t="str">
        <f t="shared" si="78"/>
        <v/>
      </c>
      <c r="Q51" s="48" t="str">
        <f t="shared" si="79"/>
        <v/>
      </c>
      <c r="R51" s="48" t="str">
        <f t="shared" si="80"/>
        <v/>
      </c>
      <c r="S51" s="84" t="str">
        <f t="shared" si="81"/>
        <v/>
      </c>
      <c r="T51" s="82" t="str">
        <f t="shared" si="82"/>
        <v/>
      </c>
      <c r="U51" s="48" t="str">
        <f t="shared" si="83"/>
        <v/>
      </c>
      <c r="V51" s="48" t="str">
        <f t="shared" si="84"/>
        <v/>
      </c>
      <c r="W51" s="84" t="str">
        <f t="shared" si="85"/>
        <v/>
      </c>
      <c r="X51" s="82" t="str">
        <f t="shared" si="86"/>
        <v/>
      </c>
      <c r="Y51" s="48" t="str">
        <f t="shared" si="87"/>
        <v/>
      </c>
      <c r="Z51" s="48" t="str">
        <f t="shared" si="88"/>
        <v/>
      </c>
      <c r="AA51" s="84" t="str">
        <f t="shared" si="89"/>
        <v/>
      </c>
      <c r="AB51" s="82" t="str">
        <f t="shared" si="90"/>
        <v/>
      </c>
      <c r="AC51" s="48" t="str">
        <f t="shared" si="91"/>
        <v/>
      </c>
      <c r="AD51" s="48" t="str">
        <f t="shared" si="92"/>
        <v/>
      </c>
      <c r="AE51" s="84" t="str">
        <f t="shared" si="93"/>
        <v/>
      </c>
      <c r="AF51" s="82" t="str">
        <f t="shared" si="94"/>
        <v/>
      </c>
      <c r="AG51" s="48" t="str">
        <f t="shared" si="95"/>
        <v/>
      </c>
      <c r="AH51" s="48" t="str">
        <f t="shared" si="96"/>
        <v/>
      </c>
      <c r="AI51" s="84" t="str">
        <f t="shared" si="97"/>
        <v/>
      </c>
      <c r="AJ51" s="82" t="str">
        <f t="shared" si="98"/>
        <v/>
      </c>
      <c r="AK51" s="48" t="str">
        <f t="shared" si="99"/>
        <v/>
      </c>
      <c r="AL51" s="48" t="str">
        <f t="shared" si="100"/>
        <v/>
      </c>
      <c r="AM51" s="84" t="str">
        <f t="shared" si="101"/>
        <v/>
      </c>
      <c r="AN51" s="82" t="str">
        <f t="shared" si="102"/>
        <v/>
      </c>
      <c r="AO51" s="48" t="str">
        <f t="shared" si="103"/>
        <v/>
      </c>
      <c r="AP51" s="48" t="str">
        <f t="shared" si="104"/>
        <v/>
      </c>
      <c r="AQ51" s="84" t="str">
        <f t="shared" si="105"/>
        <v/>
      </c>
      <c r="AR51" s="82" t="str">
        <f t="shared" si="106"/>
        <v/>
      </c>
      <c r="AS51" s="48" t="str">
        <f t="shared" si="107"/>
        <v/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 s="93" customFormat="1">
      <c r="B52" s="81" t="str">
        <f>Weekly!B44</f>
        <v>01525</v>
      </c>
      <c r="C52" s="90" t="str">
        <f>Weekly!C44</f>
        <v>Michelle T.</v>
      </c>
      <c r="D52" s="90" t="str">
        <f>Weekly!D45</f>
        <v>Ishikawa</v>
      </c>
      <c r="E52" s="91" t="str">
        <f>VLOOKUP(B52,Team!$B$4:$E$183,4,FALSE)</f>
        <v>Acc.</v>
      </c>
      <c r="F52" s="92" t="str">
        <f>Weekly!J44</f>
        <v/>
      </c>
      <c r="G52" s="92" t="str">
        <f>Weekly!K44</f>
        <v/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/>
      </c>
      <c r="O52" s="84" t="str">
        <f t="shared" si="77"/>
        <v/>
      </c>
      <c r="P52" s="82" t="str">
        <f t="shared" si="78"/>
        <v/>
      </c>
      <c r="Q52" s="48" t="str">
        <f t="shared" si="79"/>
        <v/>
      </c>
      <c r="R52" s="48" t="str">
        <f t="shared" si="80"/>
        <v/>
      </c>
      <c r="S52" s="84" t="str">
        <f t="shared" si="81"/>
        <v/>
      </c>
      <c r="T52" s="82" t="str">
        <f t="shared" si="82"/>
        <v/>
      </c>
      <c r="U52" s="48" t="str">
        <f t="shared" si="83"/>
        <v/>
      </c>
      <c r="V52" s="48" t="str">
        <f t="shared" si="84"/>
        <v/>
      </c>
      <c r="W52" s="84" t="str">
        <f t="shared" si="85"/>
        <v/>
      </c>
      <c r="X52" s="82" t="str">
        <f t="shared" si="86"/>
        <v/>
      </c>
      <c r="Y52" s="48" t="str">
        <f t="shared" si="87"/>
        <v/>
      </c>
      <c r="Z52" s="48" t="str">
        <f t="shared" si="88"/>
        <v/>
      </c>
      <c r="AA52" s="84" t="str">
        <f t="shared" si="89"/>
        <v/>
      </c>
      <c r="AB52" s="82" t="str">
        <f t="shared" si="90"/>
        <v/>
      </c>
      <c r="AC52" s="48" t="str">
        <f t="shared" si="91"/>
        <v/>
      </c>
      <c r="AD52" s="48" t="str">
        <f t="shared" si="92"/>
        <v/>
      </c>
      <c r="AE52" s="84" t="str">
        <f t="shared" si="93"/>
        <v/>
      </c>
      <c r="AF52" s="82" t="str">
        <f t="shared" si="94"/>
        <v/>
      </c>
      <c r="AG52" s="48" t="str">
        <f t="shared" si="95"/>
        <v/>
      </c>
      <c r="AH52" s="48" t="str">
        <f t="shared" si="96"/>
        <v/>
      </c>
      <c r="AI52" s="84" t="str">
        <f t="shared" si="97"/>
        <v/>
      </c>
      <c r="AJ52" s="82" t="str">
        <f t="shared" si="98"/>
        <v/>
      </c>
      <c r="AK52" s="48" t="str">
        <f t="shared" si="99"/>
        <v/>
      </c>
      <c r="AL52" s="48" t="str">
        <f t="shared" si="100"/>
        <v/>
      </c>
      <c r="AM52" s="84" t="str">
        <f t="shared" si="101"/>
        <v/>
      </c>
      <c r="AN52" s="82" t="str">
        <f t="shared" si="102"/>
        <v/>
      </c>
      <c r="AO52" s="48" t="str">
        <f t="shared" si="103"/>
        <v/>
      </c>
      <c r="AP52" s="48" t="str">
        <f t="shared" si="104"/>
        <v/>
      </c>
      <c r="AQ52" s="84" t="str">
        <f t="shared" si="105"/>
        <v/>
      </c>
      <c r="AR52" s="82" t="str">
        <f t="shared" si="106"/>
        <v/>
      </c>
      <c r="AS52" s="48" t="str">
        <f t="shared" si="107"/>
        <v/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 s="93" customFormat="1">
      <c r="B53" s="81" t="str">
        <f>Weekly!B45</f>
        <v>1234</v>
      </c>
      <c r="C53" s="90" t="str">
        <f>Weekly!C45</f>
        <v>Misato</v>
      </c>
      <c r="D53" s="90" t="str">
        <f>Weekly!D46</f>
        <v>Choi</v>
      </c>
      <c r="E53" s="91" t="str">
        <f>VLOOKUP(B53,Team!$B$4:$E$183,4,FALSE)</f>
        <v>L's</v>
      </c>
      <c r="F53" s="92" t="str">
        <f>Weekly!J45</f>
        <v/>
      </c>
      <c r="G53" s="92" t="str">
        <f>Weekly!K45</f>
        <v/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/>
      </c>
      <c r="O53" s="84" t="str">
        <f t="shared" si="77"/>
        <v/>
      </c>
      <c r="P53" s="82" t="str">
        <f t="shared" si="78"/>
        <v/>
      </c>
      <c r="Q53" s="48" t="str">
        <f t="shared" si="79"/>
        <v/>
      </c>
      <c r="R53" s="48" t="str">
        <f t="shared" si="80"/>
        <v/>
      </c>
      <c r="S53" s="84" t="str">
        <f t="shared" si="81"/>
        <v/>
      </c>
      <c r="T53" s="82" t="str">
        <f t="shared" si="82"/>
        <v/>
      </c>
      <c r="U53" s="48" t="str">
        <f t="shared" si="83"/>
        <v/>
      </c>
      <c r="V53" s="48" t="str">
        <f t="shared" si="84"/>
        <v/>
      </c>
      <c r="W53" s="84" t="str">
        <f t="shared" si="85"/>
        <v/>
      </c>
      <c r="X53" s="82" t="str">
        <f t="shared" si="86"/>
        <v/>
      </c>
      <c r="Y53" s="48" t="str">
        <f t="shared" si="87"/>
        <v/>
      </c>
      <c r="Z53" s="48" t="str">
        <f t="shared" si="88"/>
        <v/>
      </c>
      <c r="AA53" s="84" t="str">
        <f t="shared" si="89"/>
        <v/>
      </c>
      <c r="AB53" s="82" t="str">
        <f t="shared" si="90"/>
        <v/>
      </c>
      <c r="AC53" s="48" t="str">
        <f t="shared" si="91"/>
        <v/>
      </c>
      <c r="AD53" s="48" t="str">
        <f t="shared" si="92"/>
        <v/>
      </c>
      <c r="AE53" s="84" t="str">
        <f t="shared" si="93"/>
        <v/>
      </c>
      <c r="AF53" s="82" t="str">
        <f t="shared" si="94"/>
        <v/>
      </c>
      <c r="AG53" s="48" t="str">
        <f t="shared" si="95"/>
        <v/>
      </c>
      <c r="AH53" s="48" t="str">
        <f t="shared" si="96"/>
        <v/>
      </c>
      <c r="AI53" s="84" t="str">
        <f t="shared" si="97"/>
        <v/>
      </c>
      <c r="AJ53" s="82" t="str">
        <f t="shared" si="98"/>
        <v/>
      </c>
      <c r="AK53" s="48" t="str">
        <f t="shared" si="99"/>
        <v/>
      </c>
      <c r="AL53" s="48" t="str">
        <f t="shared" si="100"/>
        <v/>
      </c>
      <c r="AM53" s="84" t="str">
        <f t="shared" si="101"/>
        <v/>
      </c>
      <c r="AN53" s="82" t="str">
        <f t="shared" si="102"/>
        <v/>
      </c>
      <c r="AO53" s="48" t="str">
        <f t="shared" si="103"/>
        <v/>
      </c>
      <c r="AP53" s="48" t="str">
        <f t="shared" si="104"/>
        <v/>
      </c>
      <c r="AQ53" s="84" t="str">
        <f t="shared" si="105"/>
        <v/>
      </c>
      <c r="AR53" s="82" t="str">
        <f t="shared" si="106"/>
        <v/>
      </c>
      <c r="AS53" s="48" t="str">
        <f t="shared" si="107"/>
        <v/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 s="93" customFormat="1">
      <c r="B54" s="81" t="str">
        <f>Weekly!B46</f>
        <v>1015</v>
      </c>
      <c r="C54" s="90" t="str">
        <f>Weekly!C46</f>
        <v>Natalie C.</v>
      </c>
      <c r="D54" s="90" t="str">
        <f>Weekly!D47</f>
        <v>Nguyen</v>
      </c>
      <c r="E54" s="91" t="str">
        <f>VLOOKUP(B54,Team!$B$4:$E$183,4,FALSE)</f>
        <v>H&amp;B</v>
      </c>
      <c r="F54" s="92">
        <f>Weekly!J46</f>
        <v>0.45833333333333298</v>
      </c>
      <c r="G54" s="92">
        <f>Weekly!K46</f>
        <v>0.79166666666666596</v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>H&amp;B</v>
      </c>
      <c r="Y54" s="48" t="str">
        <f t="shared" si="87"/>
        <v>H&amp;B</v>
      </c>
      <c r="Z54" s="48" t="str">
        <f t="shared" si="88"/>
        <v>H&amp;B</v>
      </c>
      <c r="AA54" s="84" t="str">
        <f t="shared" si="89"/>
        <v>H&amp;B</v>
      </c>
      <c r="AB54" s="82" t="str">
        <f t="shared" si="90"/>
        <v>H&amp;B</v>
      </c>
      <c r="AC54" s="48" t="str">
        <f t="shared" si="91"/>
        <v>H&amp;B</v>
      </c>
      <c r="AD54" s="48" t="str">
        <f t="shared" si="92"/>
        <v>H&amp;B</v>
      </c>
      <c r="AE54" s="84" t="str">
        <f t="shared" si="93"/>
        <v>H&amp;B</v>
      </c>
      <c r="AF54" s="82" t="str">
        <f t="shared" si="94"/>
        <v>H&amp;B</v>
      </c>
      <c r="AG54" s="48" t="str">
        <f t="shared" si="95"/>
        <v>H&amp;B</v>
      </c>
      <c r="AH54" s="48" t="str">
        <f t="shared" si="96"/>
        <v>H&amp;B</v>
      </c>
      <c r="AI54" s="84" t="str">
        <f t="shared" si="97"/>
        <v>H&amp;B</v>
      </c>
      <c r="AJ54" s="82" t="str">
        <f t="shared" si="98"/>
        <v>H&amp;B</v>
      </c>
      <c r="AK54" s="48" t="str">
        <f t="shared" si="99"/>
        <v>H&amp;B</v>
      </c>
      <c r="AL54" s="48" t="str">
        <f t="shared" si="100"/>
        <v>H&amp;B</v>
      </c>
      <c r="AM54" s="84" t="str">
        <f t="shared" si="101"/>
        <v>H&amp;B</v>
      </c>
      <c r="AN54" s="82" t="str">
        <f t="shared" si="102"/>
        <v>H&amp;B</v>
      </c>
      <c r="AO54" s="48" t="str">
        <f t="shared" si="103"/>
        <v>H&amp;B</v>
      </c>
      <c r="AP54" s="48" t="str">
        <f t="shared" si="104"/>
        <v>H&amp;B</v>
      </c>
      <c r="AQ54" s="84" t="str">
        <f t="shared" si="105"/>
        <v>H&amp;B</v>
      </c>
      <c r="AR54" s="82" t="str">
        <f t="shared" si="106"/>
        <v>H&amp;B</v>
      </c>
      <c r="AS54" s="48" t="str">
        <f t="shared" si="107"/>
        <v>H&amp;B</v>
      </c>
      <c r="AT54" s="48" t="str">
        <f t="shared" si="108"/>
        <v>H&amp;B</v>
      </c>
      <c r="AU54" s="84" t="str">
        <f t="shared" si="109"/>
        <v>H&amp;B</v>
      </c>
      <c r="AV54" s="82" t="str">
        <f t="shared" si="110"/>
        <v>H&amp;B</v>
      </c>
      <c r="AW54" s="48" t="str">
        <f t="shared" si="111"/>
        <v>H&amp;B</v>
      </c>
      <c r="AX54" s="48" t="str">
        <f t="shared" si="112"/>
        <v>H&amp;B</v>
      </c>
      <c r="AY54" s="84" t="str">
        <f t="shared" si="113"/>
        <v>H&amp;B</v>
      </c>
      <c r="AZ54" s="82" t="str">
        <f t="shared" si="114"/>
        <v>H&amp;B</v>
      </c>
      <c r="BA54" s="48" t="str">
        <f t="shared" si="115"/>
        <v>H&amp;B</v>
      </c>
      <c r="BB54" s="48" t="str">
        <f t="shared" si="116"/>
        <v>H&amp;B</v>
      </c>
      <c r="BC54" s="84" t="str">
        <f t="shared" si="117"/>
        <v>H&amp;B</v>
      </c>
      <c r="BD54" s="82" t="str">
        <f t="shared" si="118"/>
        <v/>
      </c>
      <c r="BE54" s="48" t="str">
        <f t="shared" si="119"/>
        <v/>
      </c>
      <c r="BF54" s="48" t="str">
        <f t="shared" si="120"/>
        <v/>
      </c>
      <c r="BG54" s="84" t="str">
        <f t="shared" si="121"/>
        <v/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 s="93" customFormat="1">
      <c r="B55" s="81" t="str">
        <f>Weekly!B47</f>
        <v>01529</v>
      </c>
      <c r="C55" s="90" t="str">
        <f>Weekly!C47</f>
        <v>Natalie N.</v>
      </c>
      <c r="D55" s="90" t="str">
        <f>Weekly!D48</f>
        <v>De Vera</v>
      </c>
      <c r="E55" s="91" t="str">
        <f>VLOOKUP(B55,Team!$B$4:$E$183,4,FALSE)</f>
        <v>L's</v>
      </c>
      <c r="F55" s="92" t="str">
        <f>Weekly!J47</f>
        <v/>
      </c>
      <c r="G55" s="92" t="str">
        <f>Weekly!K47</f>
        <v/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/>
      </c>
      <c r="O55" s="84" t="str">
        <f t="shared" si="77"/>
        <v/>
      </c>
      <c r="P55" s="82" t="str">
        <f t="shared" si="78"/>
        <v/>
      </c>
      <c r="Q55" s="48" t="str">
        <f t="shared" si="79"/>
        <v/>
      </c>
      <c r="R55" s="48" t="str">
        <f t="shared" si="80"/>
        <v/>
      </c>
      <c r="S55" s="84" t="str">
        <f t="shared" si="81"/>
        <v/>
      </c>
      <c r="T55" s="82" t="str">
        <f t="shared" si="82"/>
        <v/>
      </c>
      <c r="U55" s="48" t="str">
        <f t="shared" si="83"/>
        <v/>
      </c>
      <c r="V55" s="48" t="str">
        <f t="shared" si="84"/>
        <v/>
      </c>
      <c r="W55" s="84" t="str">
        <f t="shared" si="85"/>
        <v/>
      </c>
      <c r="X55" s="82" t="str">
        <f t="shared" si="86"/>
        <v/>
      </c>
      <c r="Y55" s="48" t="str">
        <f t="shared" si="87"/>
        <v/>
      </c>
      <c r="Z55" s="48" t="str">
        <f t="shared" si="88"/>
        <v/>
      </c>
      <c r="AA55" s="84" t="str">
        <f t="shared" si="89"/>
        <v/>
      </c>
      <c r="AB55" s="82" t="str">
        <f t="shared" si="90"/>
        <v/>
      </c>
      <c r="AC55" s="48" t="str">
        <f t="shared" si="91"/>
        <v/>
      </c>
      <c r="AD55" s="48" t="str">
        <f t="shared" si="92"/>
        <v/>
      </c>
      <c r="AE55" s="84" t="str">
        <f t="shared" si="93"/>
        <v/>
      </c>
      <c r="AF55" s="82" t="str">
        <f t="shared" si="94"/>
        <v/>
      </c>
      <c r="AG55" s="48" t="str">
        <f t="shared" si="95"/>
        <v/>
      </c>
      <c r="AH55" s="48" t="str">
        <f t="shared" si="96"/>
        <v/>
      </c>
      <c r="AI55" s="84" t="str">
        <f t="shared" si="97"/>
        <v/>
      </c>
      <c r="AJ55" s="82" t="str">
        <f t="shared" si="98"/>
        <v/>
      </c>
      <c r="AK55" s="48" t="str">
        <f t="shared" si="99"/>
        <v/>
      </c>
      <c r="AL55" s="48" t="str">
        <f t="shared" si="100"/>
        <v/>
      </c>
      <c r="AM55" s="84" t="str">
        <f t="shared" si="101"/>
        <v/>
      </c>
      <c r="AN55" s="82" t="str">
        <f t="shared" si="102"/>
        <v/>
      </c>
      <c r="AO55" s="48" t="str">
        <f t="shared" si="103"/>
        <v/>
      </c>
      <c r="AP55" s="48" t="str">
        <f t="shared" si="104"/>
        <v/>
      </c>
      <c r="AQ55" s="84" t="str">
        <f t="shared" si="105"/>
        <v/>
      </c>
      <c r="AR55" s="82" t="str">
        <f t="shared" si="106"/>
        <v/>
      </c>
      <c r="AS55" s="48" t="str">
        <f t="shared" si="107"/>
        <v/>
      </c>
      <c r="AT55" s="48" t="str">
        <f t="shared" si="108"/>
        <v/>
      </c>
      <c r="AU55" s="84" t="str">
        <f t="shared" si="109"/>
        <v/>
      </c>
      <c r="AV55" s="82" t="str">
        <f t="shared" si="110"/>
        <v/>
      </c>
      <c r="AW55" s="48" t="str">
        <f t="shared" si="111"/>
        <v/>
      </c>
      <c r="AX55" s="48" t="str">
        <f t="shared" si="112"/>
        <v/>
      </c>
      <c r="AY55" s="84" t="str">
        <f t="shared" si="113"/>
        <v/>
      </c>
      <c r="AZ55" s="82" t="str">
        <f t="shared" si="114"/>
        <v/>
      </c>
      <c r="BA55" s="48" t="str">
        <f t="shared" si="115"/>
        <v/>
      </c>
      <c r="BB55" s="48" t="str">
        <f t="shared" si="116"/>
        <v/>
      </c>
      <c r="BC55" s="84" t="str">
        <f t="shared" si="117"/>
        <v/>
      </c>
      <c r="BD55" s="82" t="str">
        <f t="shared" si="118"/>
        <v/>
      </c>
      <c r="BE55" s="48" t="str">
        <f t="shared" si="119"/>
        <v/>
      </c>
      <c r="BF55" s="48" t="str">
        <f t="shared" si="120"/>
        <v/>
      </c>
      <c r="BG55" s="84" t="str">
        <f t="shared" si="121"/>
        <v/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 s="93" customFormat="1">
      <c r="B56" s="81" t="str">
        <f>Weekly!B48</f>
        <v>1257</v>
      </c>
      <c r="C56" s="90" t="str">
        <f>Weekly!C48</f>
        <v>Noreen</v>
      </c>
      <c r="D56" s="90" t="str">
        <f>Weekly!D49</f>
        <v>Lin</v>
      </c>
      <c r="E56" s="91" t="str">
        <f>VLOOKUP(B56,Team!$B$4:$E$183,4,FALSE)</f>
        <v>L's</v>
      </c>
      <c r="F56" s="92" t="str">
        <f>Weekly!J48</f>
        <v/>
      </c>
      <c r="G56" s="92" t="str">
        <f>Weekly!K48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 s="93" customFormat="1">
      <c r="B57" s="81" t="str">
        <f>Weekly!B49</f>
        <v>1287</v>
      </c>
      <c r="C57" s="90" t="str">
        <f>Weekly!C49</f>
        <v>Pearl</v>
      </c>
      <c r="D57" s="90" t="str">
        <f>Weekly!D50</f>
        <v>Rabena</v>
      </c>
      <c r="E57" s="91" t="str">
        <f>VLOOKUP(B57,Team!$B$4:$E$183,4,FALSE)</f>
        <v>L's</v>
      </c>
      <c r="F57" s="92" t="str">
        <f>Weekly!J49</f>
        <v/>
      </c>
      <c r="G57" s="92" t="str">
        <f>Weekly!K49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 s="93" customFormat="1">
      <c r="B58" s="81" t="str">
        <f>Weekly!B50</f>
        <v>1232</v>
      </c>
      <c r="C58" s="90" t="str">
        <f>Weekly!C50</f>
        <v>Penny</v>
      </c>
      <c r="D58" s="90" t="str">
        <f>Weekly!D51</f>
        <v>Seeto</v>
      </c>
      <c r="E58" s="91" t="str">
        <f>VLOOKUP(B58,Team!$B$4:$E$183,4,FALSE)</f>
        <v>L's</v>
      </c>
      <c r="F58" s="92" t="str">
        <f>Weekly!J50</f>
        <v/>
      </c>
      <c r="G58" s="92" t="str">
        <f>Weekly!K50</f>
        <v/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/>
      </c>
      <c r="O58" s="84" t="str">
        <f t="shared" si="77"/>
        <v/>
      </c>
      <c r="P58" s="82" t="str">
        <f t="shared" si="78"/>
        <v/>
      </c>
      <c r="Q58" s="48" t="str">
        <f t="shared" si="79"/>
        <v/>
      </c>
      <c r="R58" s="48" t="str">
        <f t="shared" si="80"/>
        <v/>
      </c>
      <c r="S58" s="84" t="str">
        <f t="shared" si="81"/>
        <v/>
      </c>
      <c r="T58" s="82" t="str">
        <f t="shared" si="82"/>
        <v/>
      </c>
      <c r="U58" s="48" t="str">
        <f t="shared" si="83"/>
        <v/>
      </c>
      <c r="V58" s="48" t="str">
        <f t="shared" si="84"/>
        <v/>
      </c>
      <c r="W58" s="84" t="str">
        <f t="shared" si="85"/>
        <v/>
      </c>
      <c r="X58" s="82" t="str">
        <f t="shared" si="86"/>
        <v/>
      </c>
      <c r="Y58" s="48" t="str">
        <f t="shared" si="87"/>
        <v/>
      </c>
      <c r="Z58" s="48" t="str">
        <f t="shared" si="88"/>
        <v/>
      </c>
      <c r="AA58" s="84" t="str">
        <f t="shared" si="89"/>
        <v/>
      </c>
      <c r="AB58" s="82" t="str">
        <f t="shared" si="90"/>
        <v/>
      </c>
      <c r="AC58" s="48" t="str">
        <f t="shared" si="91"/>
        <v/>
      </c>
      <c r="AD58" s="48" t="str">
        <f t="shared" si="92"/>
        <v/>
      </c>
      <c r="AE58" s="84" t="str">
        <f t="shared" si="93"/>
        <v/>
      </c>
      <c r="AF58" s="82" t="str">
        <f t="shared" si="94"/>
        <v/>
      </c>
      <c r="AG58" s="48" t="str">
        <f t="shared" si="95"/>
        <v/>
      </c>
      <c r="AH58" s="48" t="str">
        <f t="shared" si="96"/>
        <v/>
      </c>
      <c r="AI58" s="84" t="str">
        <f t="shared" si="97"/>
        <v/>
      </c>
      <c r="AJ58" s="82" t="str">
        <f t="shared" si="98"/>
        <v/>
      </c>
      <c r="AK58" s="48" t="str">
        <f t="shared" si="99"/>
        <v/>
      </c>
      <c r="AL58" s="48" t="str">
        <f t="shared" si="100"/>
        <v/>
      </c>
      <c r="AM58" s="84" t="str">
        <f t="shared" si="101"/>
        <v/>
      </c>
      <c r="AN58" s="82" t="str">
        <f t="shared" si="102"/>
        <v/>
      </c>
      <c r="AO58" s="48" t="str">
        <f t="shared" si="103"/>
        <v/>
      </c>
      <c r="AP58" s="48" t="str">
        <f t="shared" si="104"/>
        <v/>
      </c>
      <c r="AQ58" s="84" t="str">
        <f t="shared" si="105"/>
        <v/>
      </c>
      <c r="AR58" s="82" t="str">
        <f t="shared" si="106"/>
        <v/>
      </c>
      <c r="AS58" s="48" t="str">
        <f t="shared" si="107"/>
        <v/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 s="93" customFormat="1">
      <c r="B59" s="81" t="str">
        <f>Weekly!B51</f>
        <v>303</v>
      </c>
      <c r="C59" s="90" t="str">
        <f>Weekly!C51</f>
        <v>Rachel</v>
      </c>
      <c r="D59" s="90" t="str">
        <f>Weekly!D52</f>
        <v>Deoferio</v>
      </c>
      <c r="E59" s="91" t="str">
        <f>VLOOKUP(B59,Team!$B$4:$E$183,4,FALSE)</f>
        <v>ADM</v>
      </c>
      <c r="F59" s="92" t="str">
        <f>Weekly!J51</f>
        <v/>
      </c>
      <c r="G59" s="92" t="str">
        <f>Weekly!K51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 s="93" customFormat="1">
      <c r="B60" s="81" t="str">
        <f>Weekly!B52</f>
        <v>1142</v>
      </c>
      <c r="C60" s="90" t="str">
        <f>Weekly!C52</f>
        <v>Ralph</v>
      </c>
      <c r="D60" s="90" t="str">
        <f>Weekly!D53</f>
        <v>Chen</v>
      </c>
      <c r="E60" s="91" t="str">
        <f>VLOOKUP(B60,Team!$B$4:$E$183,4,FALSE)</f>
        <v>L's</v>
      </c>
      <c r="F60" s="92" t="str">
        <f>Weekly!J52</f>
        <v/>
      </c>
      <c r="G60" s="92" t="str">
        <f>Weekly!K52</f>
        <v/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/>
      </c>
      <c r="O60" s="84" t="str">
        <f t="shared" si="77"/>
        <v/>
      </c>
      <c r="P60" s="82" t="str">
        <f t="shared" si="78"/>
        <v/>
      </c>
      <c r="Q60" s="48" t="str">
        <f t="shared" si="79"/>
        <v/>
      </c>
      <c r="R60" s="48" t="str">
        <f t="shared" si="80"/>
        <v/>
      </c>
      <c r="S60" s="84" t="str">
        <f t="shared" si="81"/>
        <v/>
      </c>
      <c r="T60" s="82" t="str">
        <f t="shared" si="82"/>
        <v/>
      </c>
      <c r="U60" s="48" t="str">
        <f t="shared" si="83"/>
        <v/>
      </c>
      <c r="V60" s="48" t="str">
        <f t="shared" si="84"/>
        <v/>
      </c>
      <c r="W60" s="84" t="str">
        <f t="shared" si="85"/>
        <v/>
      </c>
      <c r="X60" s="82" t="str">
        <f t="shared" si="86"/>
        <v/>
      </c>
      <c r="Y60" s="48" t="str">
        <f t="shared" si="87"/>
        <v/>
      </c>
      <c r="Z60" s="48" t="str">
        <f t="shared" si="88"/>
        <v/>
      </c>
      <c r="AA60" s="84" t="str">
        <f t="shared" si="89"/>
        <v/>
      </c>
      <c r="AB60" s="82" t="str">
        <f t="shared" si="90"/>
        <v/>
      </c>
      <c r="AC60" s="48" t="str">
        <f t="shared" si="91"/>
        <v/>
      </c>
      <c r="AD60" s="48" t="str">
        <f t="shared" si="92"/>
        <v/>
      </c>
      <c r="AE60" s="84" t="str">
        <f t="shared" si="93"/>
        <v/>
      </c>
      <c r="AF60" s="82" t="str">
        <f t="shared" si="94"/>
        <v/>
      </c>
      <c r="AG60" s="48" t="str">
        <f t="shared" si="95"/>
        <v/>
      </c>
      <c r="AH60" s="48" t="str">
        <f t="shared" si="96"/>
        <v/>
      </c>
      <c r="AI60" s="84" t="str">
        <f t="shared" si="97"/>
        <v/>
      </c>
      <c r="AJ60" s="82" t="str">
        <f t="shared" si="98"/>
        <v/>
      </c>
      <c r="AK60" s="48" t="str">
        <f t="shared" si="99"/>
        <v/>
      </c>
      <c r="AL60" s="48" t="str">
        <f t="shared" si="100"/>
        <v/>
      </c>
      <c r="AM60" s="84" t="str">
        <f t="shared" si="101"/>
        <v/>
      </c>
      <c r="AN60" s="82" t="str">
        <f t="shared" si="102"/>
        <v/>
      </c>
      <c r="AO60" s="48" t="str">
        <f t="shared" si="103"/>
        <v/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 s="93" customFormat="1">
      <c r="B61" s="81" t="str">
        <f>Weekly!B53</f>
        <v>01528</v>
      </c>
      <c r="C61" s="90" t="str">
        <f>Weekly!C53</f>
        <v>Rena</v>
      </c>
      <c r="D61" s="90" t="str">
        <f>Weekly!D54</f>
        <v>Ma</v>
      </c>
      <c r="E61" s="91" t="str">
        <f>VLOOKUP(B61,Team!$B$4:$E$183,4,FALSE)</f>
        <v>L's</v>
      </c>
      <c r="F61" s="92" t="str">
        <f>Weekly!J53</f>
        <v/>
      </c>
      <c r="G61" s="92" t="str">
        <f>Weekly!K53</f>
        <v/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/>
      </c>
      <c r="O61" s="84" t="str">
        <f t="shared" si="77"/>
        <v/>
      </c>
      <c r="P61" s="82" t="str">
        <f t="shared" si="78"/>
        <v/>
      </c>
      <c r="Q61" s="48" t="str">
        <f t="shared" si="79"/>
        <v/>
      </c>
      <c r="R61" s="48" t="str">
        <f t="shared" si="80"/>
        <v/>
      </c>
      <c r="S61" s="84" t="str">
        <f t="shared" si="81"/>
        <v/>
      </c>
      <c r="T61" s="82" t="str">
        <f t="shared" si="82"/>
        <v/>
      </c>
      <c r="U61" s="48" t="str">
        <f t="shared" si="83"/>
        <v/>
      </c>
      <c r="V61" s="48" t="str">
        <f t="shared" si="84"/>
        <v/>
      </c>
      <c r="W61" s="84" t="str">
        <f t="shared" si="85"/>
        <v/>
      </c>
      <c r="X61" s="82" t="str">
        <f t="shared" si="86"/>
        <v/>
      </c>
      <c r="Y61" s="48" t="str">
        <f t="shared" si="87"/>
        <v/>
      </c>
      <c r="Z61" s="48" t="str">
        <f t="shared" si="88"/>
        <v/>
      </c>
      <c r="AA61" s="84" t="str">
        <f t="shared" si="89"/>
        <v/>
      </c>
      <c r="AB61" s="82" t="str">
        <f t="shared" si="90"/>
        <v/>
      </c>
      <c r="AC61" s="48" t="str">
        <f t="shared" si="91"/>
        <v/>
      </c>
      <c r="AD61" s="48" t="str">
        <f t="shared" si="92"/>
        <v/>
      </c>
      <c r="AE61" s="84" t="str">
        <f t="shared" si="93"/>
        <v/>
      </c>
      <c r="AF61" s="82" t="str">
        <f t="shared" si="94"/>
        <v/>
      </c>
      <c r="AG61" s="48" t="str">
        <f t="shared" si="95"/>
        <v/>
      </c>
      <c r="AH61" s="48" t="str">
        <f t="shared" si="96"/>
        <v/>
      </c>
      <c r="AI61" s="84" t="str">
        <f t="shared" si="97"/>
        <v/>
      </c>
      <c r="AJ61" s="82" t="str">
        <f t="shared" si="98"/>
        <v/>
      </c>
      <c r="AK61" s="48" t="str">
        <f t="shared" si="99"/>
        <v/>
      </c>
      <c r="AL61" s="48" t="str">
        <f t="shared" si="100"/>
        <v/>
      </c>
      <c r="AM61" s="84" t="str">
        <f t="shared" si="101"/>
        <v/>
      </c>
      <c r="AN61" s="82" t="str">
        <f t="shared" si="102"/>
        <v/>
      </c>
      <c r="AO61" s="48" t="str">
        <f t="shared" si="103"/>
        <v/>
      </c>
      <c r="AP61" s="48" t="str">
        <f t="shared" si="104"/>
        <v/>
      </c>
      <c r="AQ61" s="84" t="str">
        <f t="shared" si="105"/>
        <v/>
      </c>
      <c r="AR61" s="82" t="str">
        <f t="shared" si="106"/>
        <v/>
      </c>
      <c r="AS61" s="48" t="str">
        <f t="shared" si="107"/>
        <v/>
      </c>
      <c r="AT61" s="48" t="str">
        <f t="shared" si="108"/>
        <v/>
      </c>
      <c r="AU61" s="84" t="str">
        <f t="shared" si="109"/>
        <v/>
      </c>
      <c r="AV61" s="82" t="str">
        <f t="shared" si="110"/>
        <v/>
      </c>
      <c r="AW61" s="48" t="str">
        <f t="shared" si="111"/>
        <v/>
      </c>
      <c r="AX61" s="48" t="str">
        <f t="shared" si="112"/>
        <v/>
      </c>
      <c r="AY61" s="84" t="str">
        <f t="shared" si="113"/>
        <v/>
      </c>
      <c r="AZ61" s="82" t="str">
        <f t="shared" si="114"/>
        <v/>
      </c>
      <c r="BA61" s="48" t="str">
        <f t="shared" si="115"/>
        <v/>
      </c>
      <c r="BB61" s="48" t="str">
        <f t="shared" si="116"/>
        <v/>
      </c>
      <c r="BC61" s="84" t="str">
        <f t="shared" si="117"/>
        <v/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 s="93" customFormat="1">
      <c r="B62" s="81" t="str">
        <f>Weekly!B54</f>
        <v>1237</v>
      </c>
      <c r="C62" s="90" t="str">
        <f>Weekly!C54</f>
        <v>Rich</v>
      </c>
      <c r="D62" s="90" t="str">
        <f>Weekly!D55</f>
        <v>Lee</v>
      </c>
      <c r="E62" s="91" t="str">
        <f>VLOOKUP(B62,Team!$B$4:$E$183,4,FALSE)</f>
        <v>F</v>
      </c>
      <c r="F62" s="92" t="str">
        <f>Weekly!J54</f>
        <v/>
      </c>
      <c r="G62" s="92" t="str">
        <f>Weekly!K54</f>
        <v/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/>
      </c>
      <c r="Q62" s="48" t="str">
        <f t="shared" si="79"/>
        <v/>
      </c>
      <c r="R62" s="48" t="str">
        <f t="shared" si="80"/>
        <v/>
      </c>
      <c r="S62" s="84" t="str">
        <f t="shared" si="81"/>
        <v/>
      </c>
      <c r="T62" s="82" t="str">
        <f t="shared" si="82"/>
        <v/>
      </c>
      <c r="U62" s="48" t="str">
        <f t="shared" si="83"/>
        <v/>
      </c>
      <c r="V62" s="48" t="str">
        <f t="shared" si="84"/>
        <v/>
      </c>
      <c r="W62" s="84" t="str">
        <f t="shared" si="85"/>
        <v/>
      </c>
      <c r="X62" s="82" t="str">
        <f t="shared" si="86"/>
        <v/>
      </c>
      <c r="Y62" s="48" t="str">
        <f t="shared" si="87"/>
        <v/>
      </c>
      <c r="Z62" s="48" t="str">
        <f t="shared" si="88"/>
        <v/>
      </c>
      <c r="AA62" s="84" t="str">
        <f t="shared" si="89"/>
        <v/>
      </c>
      <c r="AB62" s="82" t="str">
        <f t="shared" si="90"/>
        <v/>
      </c>
      <c r="AC62" s="48" t="str">
        <f t="shared" si="91"/>
        <v/>
      </c>
      <c r="AD62" s="48" t="str">
        <f t="shared" si="92"/>
        <v/>
      </c>
      <c r="AE62" s="84" t="str">
        <f t="shared" si="93"/>
        <v/>
      </c>
      <c r="AF62" s="82" t="str">
        <f t="shared" si="94"/>
        <v/>
      </c>
      <c r="AG62" s="48" t="str">
        <f t="shared" si="95"/>
        <v/>
      </c>
      <c r="AH62" s="48" t="str">
        <f t="shared" si="96"/>
        <v/>
      </c>
      <c r="AI62" s="84" t="str">
        <f t="shared" si="97"/>
        <v/>
      </c>
      <c r="AJ62" s="82" t="str">
        <f t="shared" si="98"/>
        <v/>
      </c>
      <c r="AK62" s="48" t="str">
        <f t="shared" si="99"/>
        <v/>
      </c>
      <c r="AL62" s="48" t="str">
        <f t="shared" si="100"/>
        <v/>
      </c>
      <c r="AM62" s="84" t="str">
        <f t="shared" si="101"/>
        <v/>
      </c>
      <c r="AN62" s="82" t="str">
        <f t="shared" si="102"/>
        <v/>
      </c>
      <c r="AO62" s="48" t="str">
        <f t="shared" si="103"/>
        <v/>
      </c>
      <c r="AP62" s="48" t="str">
        <f t="shared" si="104"/>
        <v/>
      </c>
      <c r="AQ62" s="84" t="str">
        <f t="shared" si="105"/>
        <v/>
      </c>
      <c r="AR62" s="82" t="str">
        <f t="shared" si="106"/>
        <v/>
      </c>
      <c r="AS62" s="48" t="str">
        <f t="shared" si="107"/>
        <v/>
      </c>
      <c r="AT62" s="48" t="str">
        <f t="shared" si="108"/>
        <v/>
      </c>
      <c r="AU62" s="84" t="str">
        <f t="shared" si="109"/>
        <v/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 s="93" customFormat="1">
      <c r="B63" s="81" t="str">
        <f>Weekly!B55</f>
        <v>1133</v>
      </c>
      <c r="C63" s="90" t="str">
        <f>Weekly!C55</f>
        <v>Sarah</v>
      </c>
      <c r="D63" s="90" t="str">
        <f>Weekly!D56</f>
        <v>Lim</v>
      </c>
      <c r="E63" s="91" t="str">
        <f>VLOOKUP(B63,Team!$B$4:$E$183,4,FALSE)</f>
        <v>L's</v>
      </c>
      <c r="F63" s="92" t="str">
        <f>Weekly!J55</f>
        <v/>
      </c>
      <c r="G63" s="92" t="str">
        <f>Weekly!K55</f>
        <v/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/>
      </c>
      <c r="Q63" s="48" t="str">
        <f t="shared" si="79"/>
        <v/>
      </c>
      <c r="R63" s="48" t="str">
        <f t="shared" si="80"/>
        <v/>
      </c>
      <c r="S63" s="84" t="str">
        <f t="shared" si="81"/>
        <v/>
      </c>
      <c r="T63" s="82" t="str">
        <f t="shared" si="82"/>
        <v/>
      </c>
      <c r="U63" s="48" t="str">
        <f t="shared" si="83"/>
        <v/>
      </c>
      <c r="V63" s="48" t="str">
        <f t="shared" si="84"/>
        <v/>
      </c>
      <c r="W63" s="84" t="str">
        <f t="shared" si="85"/>
        <v/>
      </c>
      <c r="X63" s="82" t="str">
        <f t="shared" si="86"/>
        <v/>
      </c>
      <c r="Y63" s="48" t="str">
        <f t="shared" si="87"/>
        <v/>
      </c>
      <c r="Z63" s="48" t="str">
        <f t="shared" si="88"/>
        <v/>
      </c>
      <c r="AA63" s="84" t="str">
        <f t="shared" si="89"/>
        <v/>
      </c>
      <c r="AB63" s="82" t="str">
        <f t="shared" si="90"/>
        <v/>
      </c>
      <c r="AC63" s="48" t="str">
        <f t="shared" si="91"/>
        <v/>
      </c>
      <c r="AD63" s="48" t="str">
        <f t="shared" si="92"/>
        <v/>
      </c>
      <c r="AE63" s="84" t="str">
        <f t="shared" si="93"/>
        <v/>
      </c>
      <c r="AF63" s="82" t="str">
        <f t="shared" si="94"/>
        <v/>
      </c>
      <c r="AG63" s="48" t="str">
        <f t="shared" si="95"/>
        <v/>
      </c>
      <c r="AH63" s="48" t="str">
        <f t="shared" si="96"/>
        <v/>
      </c>
      <c r="AI63" s="84" t="str">
        <f t="shared" si="97"/>
        <v/>
      </c>
      <c r="AJ63" s="82" t="str">
        <f t="shared" si="98"/>
        <v/>
      </c>
      <c r="AK63" s="48" t="str">
        <f t="shared" si="99"/>
        <v/>
      </c>
      <c r="AL63" s="48" t="str">
        <f t="shared" si="100"/>
        <v/>
      </c>
      <c r="AM63" s="84" t="str">
        <f t="shared" si="101"/>
        <v/>
      </c>
      <c r="AN63" s="82" t="str">
        <f t="shared" si="102"/>
        <v/>
      </c>
      <c r="AO63" s="48" t="str">
        <f t="shared" si="103"/>
        <v/>
      </c>
      <c r="AP63" s="48" t="str">
        <f t="shared" si="104"/>
        <v/>
      </c>
      <c r="AQ63" s="84" t="str">
        <f t="shared" si="105"/>
        <v/>
      </c>
      <c r="AR63" s="82" t="str">
        <f t="shared" si="106"/>
        <v/>
      </c>
      <c r="AS63" s="48" t="str">
        <f t="shared" si="107"/>
        <v/>
      </c>
      <c r="AT63" s="48" t="str">
        <f t="shared" si="108"/>
        <v/>
      </c>
      <c r="AU63" s="84" t="str">
        <f t="shared" si="109"/>
        <v/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 s="93" customFormat="1">
      <c r="B64" s="81" t="str">
        <f>Weekly!B56</f>
        <v>891</v>
      </c>
      <c r="C64" s="90" t="str">
        <f>Weekly!C56</f>
        <v>Sienna</v>
      </c>
      <c r="D64" s="90" t="str">
        <f>Weekly!D57</f>
        <v>Turner</v>
      </c>
      <c r="E64" s="91" t="str">
        <f>VLOOKUP(B64,Team!$B$4:$E$183,4,FALSE)</f>
        <v>Stat.</v>
      </c>
      <c r="F64" s="92">
        <f>Weekly!J56</f>
        <v>0.45833333333333298</v>
      </c>
      <c r="G64" s="92">
        <f>Weekly!K56</f>
        <v>0.79166666666666596</v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>Stat.</v>
      </c>
      <c r="Y64" s="48" t="str">
        <f t="shared" si="87"/>
        <v>Stat.</v>
      </c>
      <c r="Z64" s="48" t="str">
        <f t="shared" si="88"/>
        <v>Stat.</v>
      </c>
      <c r="AA64" s="84" t="str">
        <f t="shared" si="89"/>
        <v>Stat.</v>
      </c>
      <c r="AB64" s="82" t="str">
        <f t="shared" si="90"/>
        <v>Stat.</v>
      </c>
      <c r="AC64" s="48" t="str">
        <f t="shared" si="91"/>
        <v>Stat.</v>
      </c>
      <c r="AD64" s="48" t="str">
        <f t="shared" si="92"/>
        <v>Stat.</v>
      </c>
      <c r="AE64" s="84" t="str">
        <f t="shared" si="93"/>
        <v>Stat.</v>
      </c>
      <c r="AF64" s="82" t="str">
        <f t="shared" si="94"/>
        <v>Stat.</v>
      </c>
      <c r="AG64" s="48" t="str">
        <f t="shared" si="95"/>
        <v>Stat.</v>
      </c>
      <c r="AH64" s="48" t="str">
        <f t="shared" si="96"/>
        <v>Stat.</v>
      </c>
      <c r="AI64" s="84" t="str">
        <f t="shared" si="97"/>
        <v>Stat.</v>
      </c>
      <c r="AJ64" s="82" t="str">
        <f t="shared" si="98"/>
        <v>Stat.</v>
      </c>
      <c r="AK64" s="48" t="str">
        <f t="shared" si="99"/>
        <v>Stat.</v>
      </c>
      <c r="AL64" s="48" t="str">
        <f t="shared" si="100"/>
        <v>Stat.</v>
      </c>
      <c r="AM64" s="84" t="str">
        <f t="shared" si="101"/>
        <v>Stat.</v>
      </c>
      <c r="AN64" s="82" t="str">
        <f t="shared" si="102"/>
        <v>Stat.</v>
      </c>
      <c r="AO64" s="48" t="str">
        <f t="shared" si="103"/>
        <v>Stat.</v>
      </c>
      <c r="AP64" s="48" t="str">
        <f t="shared" si="104"/>
        <v>Stat.</v>
      </c>
      <c r="AQ64" s="84" t="str">
        <f t="shared" si="105"/>
        <v>Stat.</v>
      </c>
      <c r="AR64" s="82" t="str">
        <f t="shared" si="106"/>
        <v>Stat.</v>
      </c>
      <c r="AS64" s="48" t="str">
        <f t="shared" si="107"/>
        <v>Stat.</v>
      </c>
      <c r="AT64" s="48" t="str">
        <f t="shared" si="108"/>
        <v>Stat.</v>
      </c>
      <c r="AU64" s="84" t="str">
        <f t="shared" si="109"/>
        <v>Stat.</v>
      </c>
      <c r="AV64" s="82" t="str">
        <f t="shared" si="110"/>
        <v>Stat.</v>
      </c>
      <c r="AW64" s="48" t="str">
        <f t="shared" si="111"/>
        <v>Stat.</v>
      </c>
      <c r="AX64" s="48" t="str">
        <f t="shared" si="112"/>
        <v>Stat.</v>
      </c>
      <c r="AY64" s="84" t="str">
        <f t="shared" si="113"/>
        <v>Stat.</v>
      </c>
      <c r="AZ64" s="82" t="str">
        <f t="shared" si="114"/>
        <v>Stat.</v>
      </c>
      <c r="BA64" s="48" t="str">
        <f t="shared" si="115"/>
        <v>Stat.</v>
      </c>
      <c r="BB64" s="48" t="str">
        <f t="shared" si="116"/>
        <v>Stat.</v>
      </c>
      <c r="BC64" s="84" t="str">
        <f t="shared" si="117"/>
        <v>Stat.</v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 s="93" customFormat="1">
      <c r="B65" s="81" t="str">
        <f>Weekly!B57</f>
        <v>1108</v>
      </c>
      <c r="C65" s="90" t="str">
        <f>Weekly!C57</f>
        <v>Tara</v>
      </c>
      <c r="D65" s="90" t="str">
        <f>Weekly!D58</f>
        <v>Wu</v>
      </c>
      <c r="E65" s="91" t="str">
        <f>VLOOKUP(B65,Team!$B$4:$E$183,4,FALSE)</f>
        <v>ASM</v>
      </c>
      <c r="F65" s="92">
        <f>Weekly!J57</f>
        <v>0.35416666666666602</v>
      </c>
      <c r="G65" s="92">
        <f>Weekly!K57</f>
        <v>0.70833333333333304</v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>ASM</v>
      </c>
      <c r="O65" s="84" t="str">
        <f t="shared" si="77"/>
        <v>ASM</v>
      </c>
      <c r="P65" s="82" t="str">
        <f t="shared" si="78"/>
        <v>ASM</v>
      </c>
      <c r="Q65" s="48" t="str">
        <f t="shared" si="79"/>
        <v>ASM</v>
      </c>
      <c r="R65" s="48" t="str">
        <f t="shared" si="80"/>
        <v>ASM</v>
      </c>
      <c r="S65" s="84" t="str">
        <f t="shared" si="81"/>
        <v>ASM</v>
      </c>
      <c r="T65" s="82" t="str">
        <f t="shared" si="82"/>
        <v>ASM</v>
      </c>
      <c r="U65" s="48" t="str">
        <f t="shared" si="83"/>
        <v>ASM</v>
      </c>
      <c r="V65" s="48" t="str">
        <f t="shared" si="84"/>
        <v>ASM</v>
      </c>
      <c r="W65" s="84" t="str">
        <f t="shared" si="85"/>
        <v>ASM</v>
      </c>
      <c r="X65" s="82" t="str">
        <f t="shared" si="86"/>
        <v>ASM</v>
      </c>
      <c r="Y65" s="48" t="str">
        <f t="shared" si="87"/>
        <v>ASM</v>
      </c>
      <c r="Z65" s="48" t="str">
        <f t="shared" si="88"/>
        <v>ASM</v>
      </c>
      <c r="AA65" s="84" t="str">
        <f t="shared" si="89"/>
        <v>ASM</v>
      </c>
      <c r="AB65" s="82" t="str">
        <f t="shared" si="90"/>
        <v>ASM</v>
      </c>
      <c r="AC65" s="48" t="str">
        <f t="shared" si="91"/>
        <v>ASM</v>
      </c>
      <c r="AD65" s="48" t="str">
        <f t="shared" si="92"/>
        <v>ASM</v>
      </c>
      <c r="AE65" s="84" t="str">
        <f t="shared" si="93"/>
        <v>ASM</v>
      </c>
      <c r="AF65" s="82" t="str">
        <f t="shared" si="94"/>
        <v>ASM</v>
      </c>
      <c r="AG65" s="48" t="str">
        <f t="shared" si="95"/>
        <v>ASM</v>
      </c>
      <c r="AH65" s="48" t="str">
        <f t="shared" si="96"/>
        <v>ASM</v>
      </c>
      <c r="AI65" s="84" t="str">
        <f t="shared" si="97"/>
        <v>ASM</v>
      </c>
      <c r="AJ65" s="82" t="str">
        <f t="shared" si="98"/>
        <v>ASM</v>
      </c>
      <c r="AK65" s="48" t="str">
        <f t="shared" si="99"/>
        <v>ASM</v>
      </c>
      <c r="AL65" s="48" t="str">
        <f t="shared" si="100"/>
        <v>ASM</v>
      </c>
      <c r="AM65" s="84" t="str">
        <f t="shared" si="101"/>
        <v>ASM</v>
      </c>
      <c r="AN65" s="82" t="str">
        <f t="shared" si="102"/>
        <v>ASM</v>
      </c>
      <c r="AO65" s="48" t="str">
        <f t="shared" si="103"/>
        <v>ASM</v>
      </c>
      <c r="AP65" s="48" t="str">
        <f t="shared" si="104"/>
        <v>ASM</v>
      </c>
      <c r="AQ65" s="84" t="str">
        <f t="shared" si="105"/>
        <v>ASM</v>
      </c>
      <c r="AR65" s="82" t="str">
        <f t="shared" si="106"/>
        <v>ASM</v>
      </c>
      <c r="AS65" s="48" t="str">
        <f t="shared" si="107"/>
        <v>ASM</v>
      </c>
      <c r="AT65" s="48" t="str">
        <f t="shared" si="108"/>
        <v>ASM</v>
      </c>
      <c r="AU65" s="84" t="str">
        <f t="shared" si="109"/>
        <v>ASM</v>
      </c>
      <c r="AV65" s="82" t="str">
        <f t="shared" si="110"/>
        <v/>
      </c>
      <c r="AW65" s="48" t="str">
        <f t="shared" si="111"/>
        <v/>
      </c>
      <c r="AX65" s="48" t="str">
        <f t="shared" si="112"/>
        <v/>
      </c>
      <c r="AY65" s="84" t="str">
        <f t="shared" si="113"/>
        <v/>
      </c>
      <c r="AZ65" s="82" t="str">
        <f t="shared" si="114"/>
        <v/>
      </c>
      <c r="BA65" s="48" t="str">
        <f t="shared" si="115"/>
        <v/>
      </c>
      <c r="BB65" s="48" t="str">
        <f t="shared" si="116"/>
        <v/>
      </c>
      <c r="BC65" s="84" t="str">
        <f t="shared" si="117"/>
        <v/>
      </c>
      <c r="BD65" s="82" t="str">
        <f t="shared" si="118"/>
        <v/>
      </c>
      <c r="BE65" s="48" t="str">
        <f t="shared" si="119"/>
        <v/>
      </c>
      <c r="BF65" s="48" t="str">
        <f t="shared" si="120"/>
        <v/>
      </c>
      <c r="BG65" s="84" t="str">
        <f t="shared" si="121"/>
        <v/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 s="93" customFormat="1">
      <c r="B66" s="81" t="str">
        <f>Weekly!B58</f>
        <v>01521</v>
      </c>
      <c r="C66" s="90" t="str">
        <f>Weekly!C58</f>
        <v>Tom</v>
      </c>
      <c r="D66" s="90" t="str">
        <f>Weekly!D59</f>
        <v>Shimada</v>
      </c>
      <c r="E66" s="91" t="str">
        <f>VLOOKUP(B66,Team!$B$4:$E$183,4,FALSE)</f>
        <v>M's</v>
      </c>
      <c r="F66" s="92" t="str">
        <f>Weekly!J58</f>
        <v/>
      </c>
      <c r="G66" s="92" t="str">
        <f>Weekly!K58</f>
        <v/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/>
      </c>
      <c r="Q66" s="48" t="str">
        <f t="shared" si="79"/>
        <v/>
      </c>
      <c r="R66" s="48" t="str">
        <f t="shared" si="80"/>
        <v/>
      </c>
      <c r="S66" s="84" t="str">
        <f t="shared" si="81"/>
        <v/>
      </c>
      <c r="T66" s="82" t="str">
        <f t="shared" si="82"/>
        <v/>
      </c>
      <c r="U66" s="48" t="str">
        <f t="shared" si="83"/>
        <v/>
      </c>
      <c r="V66" s="48" t="str">
        <f t="shared" si="84"/>
        <v/>
      </c>
      <c r="W66" s="84" t="str">
        <f t="shared" si="85"/>
        <v/>
      </c>
      <c r="X66" s="82" t="str">
        <f t="shared" si="86"/>
        <v/>
      </c>
      <c r="Y66" s="48" t="str">
        <f t="shared" si="87"/>
        <v/>
      </c>
      <c r="Z66" s="48" t="str">
        <f t="shared" si="88"/>
        <v/>
      </c>
      <c r="AA66" s="84" t="str">
        <f t="shared" si="89"/>
        <v/>
      </c>
      <c r="AB66" s="82" t="str">
        <f t="shared" si="90"/>
        <v/>
      </c>
      <c r="AC66" s="48" t="str">
        <f t="shared" si="91"/>
        <v/>
      </c>
      <c r="AD66" s="48" t="str">
        <f t="shared" si="92"/>
        <v/>
      </c>
      <c r="AE66" s="84" t="str">
        <f t="shared" si="93"/>
        <v/>
      </c>
      <c r="AF66" s="82" t="str">
        <f t="shared" si="94"/>
        <v/>
      </c>
      <c r="AG66" s="48" t="str">
        <f t="shared" si="95"/>
        <v/>
      </c>
      <c r="AH66" s="48" t="str">
        <f t="shared" si="96"/>
        <v/>
      </c>
      <c r="AI66" s="84" t="str">
        <f t="shared" si="97"/>
        <v/>
      </c>
      <c r="AJ66" s="82" t="str">
        <f t="shared" si="98"/>
        <v/>
      </c>
      <c r="AK66" s="48" t="str">
        <f t="shared" si="99"/>
        <v/>
      </c>
      <c r="AL66" s="48" t="str">
        <f t="shared" si="100"/>
        <v/>
      </c>
      <c r="AM66" s="84" t="str">
        <f t="shared" si="101"/>
        <v/>
      </c>
      <c r="AN66" s="82" t="str">
        <f t="shared" si="102"/>
        <v/>
      </c>
      <c r="AO66" s="48" t="str">
        <f t="shared" si="103"/>
        <v/>
      </c>
      <c r="AP66" s="48" t="str">
        <f t="shared" si="104"/>
        <v/>
      </c>
      <c r="AQ66" s="84" t="str">
        <f t="shared" si="105"/>
        <v/>
      </c>
      <c r="AR66" s="82" t="str">
        <f t="shared" si="106"/>
        <v/>
      </c>
      <c r="AS66" s="48" t="str">
        <f t="shared" si="107"/>
        <v/>
      </c>
      <c r="AT66" s="48" t="str">
        <f t="shared" si="108"/>
        <v/>
      </c>
      <c r="AU66" s="84" t="str">
        <f t="shared" si="109"/>
        <v/>
      </c>
      <c r="AV66" s="82" t="str">
        <f t="shared" si="110"/>
        <v/>
      </c>
      <c r="AW66" s="48" t="str">
        <f t="shared" si="111"/>
        <v/>
      </c>
      <c r="AX66" s="48" t="str">
        <f t="shared" si="112"/>
        <v/>
      </c>
      <c r="AY66" s="84" t="str">
        <f t="shared" si="113"/>
        <v/>
      </c>
      <c r="AZ66" s="82" t="str">
        <f t="shared" si="114"/>
        <v/>
      </c>
      <c r="BA66" s="48" t="str">
        <f t="shared" si="115"/>
        <v/>
      </c>
      <c r="BB66" s="48" t="str">
        <f t="shared" si="116"/>
        <v/>
      </c>
      <c r="BC66" s="84" t="str">
        <f t="shared" si="117"/>
        <v/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 s="93" customFormat="1">
      <c r="B67" s="81" t="str">
        <f>Weekly!B59</f>
        <v>1062</v>
      </c>
      <c r="C67" s="90" t="str">
        <f>Weekly!C59</f>
        <v>Tomoko</v>
      </c>
      <c r="D67" s="90" t="str">
        <f>Weekly!D60</f>
        <v>Kim</v>
      </c>
      <c r="E67" s="91" t="str">
        <f>VLOOKUP(B67,Team!$B$4:$E$183,4,FALSE)</f>
        <v>L's</v>
      </c>
      <c r="F67" s="92" t="str">
        <f>Weekly!J59</f>
        <v/>
      </c>
      <c r="G67" s="92" t="str">
        <f>Weekly!K59</f>
        <v/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/>
      </c>
      <c r="AC67" s="48" t="str">
        <f t="shared" si="91"/>
        <v/>
      </c>
      <c r="AD67" s="48" t="str">
        <f t="shared" si="92"/>
        <v/>
      </c>
      <c r="AE67" s="84" t="str">
        <f t="shared" si="93"/>
        <v/>
      </c>
      <c r="AF67" s="82" t="str">
        <f t="shared" si="94"/>
        <v/>
      </c>
      <c r="AG67" s="48" t="str">
        <f t="shared" si="95"/>
        <v/>
      </c>
      <c r="AH67" s="48" t="str">
        <f t="shared" si="96"/>
        <v/>
      </c>
      <c r="AI67" s="84" t="str">
        <f t="shared" si="97"/>
        <v/>
      </c>
      <c r="AJ67" s="82" t="str">
        <f t="shared" si="98"/>
        <v/>
      </c>
      <c r="AK67" s="48" t="str">
        <f t="shared" si="99"/>
        <v/>
      </c>
      <c r="AL67" s="48" t="str">
        <f t="shared" si="100"/>
        <v/>
      </c>
      <c r="AM67" s="84" t="str">
        <f t="shared" si="101"/>
        <v/>
      </c>
      <c r="AN67" s="82" t="str">
        <f t="shared" si="102"/>
        <v/>
      </c>
      <c r="AO67" s="48" t="str">
        <f t="shared" si="103"/>
        <v/>
      </c>
      <c r="AP67" s="48" t="str">
        <f t="shared" si="104"/>
        <v/>
      </c>
      <c r="AQ67" s="84" t="str">
        <f t="shared" si="105"/>
        <v/>
      </c>
      <c r="AR67" s="82" t="str">
        <f t="shared" si="106"/>
        <v/>
      </c>
      <c r="AS67" s="48" t="str">
        <f t="shared" si="107"/>
        <v/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 s="93" customFormat="1">
      <c r="B68" s="81" t="str">
        <f>Weekly!B60</f>
        <v>1149</v>
      </c>
      <c r="C68" s="90" t="str">
        <f>Weekly!C60</f>
        <v>Vera</v>
      </c>
      <c r="D68" s="90" t="str">
        <f>Weekly!D61</f>
        <v>Sin</v>
      </c>
      <c r="E68" s="91" t="str">
        <f>VLOOKUP(B68,Team!$B$4:$E$183,4,FALSE)</f>
        <v>L's</v>
      </c>
      <c r="F68" s="92" t="str">
        <f>Weekly!J60</f>
        <v/>
      </c>
      <c r="G68" s="92" t="str">
        <f>Weekly!K60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 s="93" customFormat="1">
      <c r="B69" s="81" t="str">
        <f>Weekly!B61</f>
        <v>1160</v>
      </c>
      <c r="C69" s="90" t="str">
        <f>Weekly!C61</f>
        <v>Yura</v>
      </c>
      <c r="D69" s="90">
        <f>Weekly!D62</f>
        <v>0</v>
      </c>
      <c r="E69" s="91" t="str">
        <f>VLOOKUP(B69,Team!$B$4:$E$183,4,FALSE)</f>
        <v>SPV</v>
      </c>
      <c r="F69" s="92">
        <f>Weekly!J61</f>
        <v>0.35416666666666602</v>
      </c>
      <c r="G69" s="92">
        <f>Weekly!K61</f>
        <v>0.687499999999999</v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>SPV</v>
      </c>
      <c r="O69" s="84" t="str">
        <f t="shared" si="77"/>
        <v>SPV</v>
      </c>
      <c r="P69" s="82" t="str">
        <f t="shared" si="78"/>
        <v>SPV</v>
      </c>
      <c r="Q69" s="48" t="str">
        <f t="shared" si="79"/>
        <v>SPV</v>
      </c>
      <c r="R69" s="48" t="str">
        <f t="shared" si="80"/>
        <v>SPV</v>
      </c>
      <c r="S69" s="84" t="str">
        <f t="shared" si="81"/>
        <v>SPV</v>
      </c>
      <c r="T69" s="82" t="str">
        <f t="shared" si="82"/>
        <v>SPV</v>
      </c>
      <c r="U69" s="48" t="str">
        <f t="shared" si="83"/>
        <v>SPV</v>
      </c>
      <c r="V69" s="48" t="str">
        <f t="shared" si="84"/>
        <v>SPV</v>
      </c>
      <c r="W69" s="84" t="str">
        <f t="shared" si="85"/>
        <v>SPV</v>
      </c>
      <c r="X69" s="82" t="str">
        <f t="shared" si="86"/>
        <v>SPV</v>
      </c>
      <c r="Y69" s="48" t="str">
        <f t="shared" si="87"/>
        <v>SPV</v>
      </c>
      <c r="Z69" s="48" t="str">
        <f t="shared" si="88"/>
        <v>SPV</v>
      </c>
      <c r="AA69" s="84" t="str">
        <f t="shared" si="89"/>
        <v>SPV</v>
      </c>
      <c r="AB69" s="82" t="str">
        <f t="shared" si="90"/>
        <v>SPV</v>
      </c>
      <c r="AC69" s="48" t="str">
        <f t="shared" si="91"/>
        <v>SPV</v>
      </c>
      <c r="AD69" s="48" t="str">
        <f t="shared" si="92"/>
        <v>SPV</v>
      </c>
      <c r="AE69" s="84" t="str">
        <f t="shared" si="93"/>
        <v>SPV</v>
      </c>
      <c r="AF69" s="82" t="str">
        <f t="shared" si="94"/>
        <v>SPV</v>
      </c>
      <c r="AG69" s="48" t="str">
        <f t="shared" si="95"/>
        <v>SPV</v>
      </c>
      <c r="AH69" s="48" t="str">
        <f t="shared" si="96"/>
        <v>SPV</v>
      </c>
      <c r="AI69" s="84" t="str">
        <f t="shared" si="97"/>
        <v>SPV</v>
      </c>
      <c r="AJ69" s="82" t="str">
        <f t="shared" si="98"/>
        <v>SPV</v>
      </c>
      <c r="AK69" s="48" t="str">
        <f t="shared" si="99"/>
        <v>SPV</v>
      </c>
      <c r="AL69" s="48" t="str">
        <f t="shared" si="100"/>
        <v>SPV</v>
      </c>
      <c r="AM69" s="84" t="str">
        <f t="shared" si="101"/>
        <v>SPV</v>
      </c>
      <c r="AN69" s="82" t="str">
        <f t="shared" si="102"/>
        <v>SPV</v>
      </c>
      <c r="AO69" s="48" t="str">
        <f t="shared" si="103"/>
        <v>SPV</v>
      </c>
      <c r="AP69" s="48" t="str">
        <f t="shared" si="104"/>
        <v>SPV</v>
      </c>
      <c r="AQ69" s="84" t="str">
        <f t="shared" si="105"/>
        <v>SPV</v>
      </c>
      <c r="AR69" s="82" t="str">
        <f t="shared" si="106"/>
        <v>SPV</v>
      </c>
      <c r="AS69" s="48" t="str">
        <f t="shared" si="107"/>
        <v>SPV</v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 s="93" customFormat="1">
      <c r="B70" s="81">
        <f>Weekly!B62</f>
        <v>0</v>
      </c>
      <c r="C70" s="90">
        <f>Weekly!C62</f>
        <v>0</v>
      </c>
      <c r="D70" s="90">
        <f>Weekly!D63</f>
        <v>0</v>
      </c>
      <c r="E70" s="91" t="e">
        <f>VLOOKUP(B70,Team!$B$4:$E$183,4,FALSE)</f>
        <v>#N/A</v>
      </c>
      <c r="F70" s="92" t="str">
        <f>Weekly!J62</f>
        <v/>
      </c>
      <c r="G70" s="92" t="str">
        <f>Weekly!K62</f>
        <v/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/>
      </c>
      <c r="O70" s="84" t="str">
        <f t="shared" si="77"/>
        <v/>
      </c>
      <c r="P70" s="82" t="str">
        <f t="shared" si="78"/>
        <v/>
      </c>
      <c r="Q70" s="48" t="str">
        <f t="shared" si="79"/>
        <v/>
      </c>
      <c r="R70" s="48" t="str">
        <f t="shared" si="80"/>
        <v/>
      </c>
      <c r="S70" s="84" t="str">
        <f t="shared" si="81"/>
        <v/>
      </c>
      <c r="T70" s="82" t="str">
        <f t="shared" si="82"/>
        <v/>
      </c>
      <c r="U70" s="48" t="str">
        <f t="shared" si="83"/>
        <v/>
      </c>
      <c r="V70" s="48" t="str">
        <f t="shared" si="84"/>
        <v/>
      </c>
      <c r="W70" s="84" t="str">
        <f t="shared" si="85"/>
        <v/>
      </c>
      <c r="X70" s="82" t="str">
        <f t="shared" si="86"/>
        <v/>
      </c>
      <c r="Y70" s="48" t="str">
        <f t="shared" si="87"/>
        <v/>
      </c>
      <c r="Z70" s="48" t="str">
        <f t="shared" si="88"/>
        <v/>
      </c>
      <c r="AA70" s="84" t="str">
        <f t="shared" si="89"/>
        <v/>
      </c>
      <c r="AB70" s="82" t="str">
        <f t="shared" si="90"/>
        <v/>
      </c>
      <c r="AC70" s="48" t="str">
        <f t="shared" si="91"/>
        <v/>
      </c>
      <c r="AD70" s="48" t="str">
        <f t="shared" si="92"/>
        <v/>
      </c>
      <c r="AE70" s="84" t="str">
        <f t="shared" si="93"/>
        <v/>
      </c>
      <c r="AF70" s="82" t="str">
        <f t="shared" si="94"/>
        <v/>
      </c>
      <c r="AG70" s="48" t="str">
        <f t="shared" si="95"/>
        <v/>
      </c>
      <c r="AH70" s="48" t="str">
        <f t="shared" si="96"/>
        <v/>
      </c>
      <c r="AI70" s="84" t="str">
        <f t="shared" si="97"/>
        <v/>
      </c>
      <c r="AJ70" s="82" t="str">
        <f t="shared" si="98"/>
        <v/>
      </c>
      <c r="AK70" s="48" t="str">
        <f t="shared" si="99"/>
        <v/>
      </c>
      <c r="AL70" s="48" t="str">
        <f t="shared" si="100"/>
        <v/>
      </c>
      <c r="AM70" s="84" t="str">
        <f t="shared" si="101"/>
        <v/>
      </c>
      <c r="AN70" s="82" t="str">
        <f t="shared" si="102"/>
        <v/>
      </c>
      <c r="AO70" s="48" t="str">
        <f t="shared" si="103"/>
        <v/>
      </c>
      <c r="AP70" s="48" t="str">
        <f t="shared" si="104"/>
        <v/>
      </c>
      <c r="AQ70" s="84" t="str">
        <f t="shared" si="105"/>
        <v/>
      </c>
      <c r="AR70" s="82" t="str">
        <f t="shared" si="106"/>
        <v/>
      </c>
      <c r="AS70" s="48" t="str">
        <f t="shared" si="107"/>
        <v/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 s="93" customFormat="1">
      <c r="B71" s="81">
        <f>Weekly!B63</f>
        <v>0</v>
      </c>
      <c r="C71" s="90">
        <f>Weekly!C63</f>
        <v>0</v>
      </c>
      <c r="D71" s="90">
        <f>Weekly!D64</f>
        <v>0</v>
      </c>
      <c r="E71" s="91" t="e">
        <f>VLOOKUP(B71,Team!$B$4:$E$183,4,FALSE)</f>
        <v>#N/A</v>
      </c>
      <c r="F71" s="92" t="str">
        <f>Weekly!J63</f>
        <v/>
      </c>
      <c r="G71" s="92" t="str">
        <f>Weekly!K63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 s="93" customFormat="1">
      <c r="B72" s="81">
        <f>Weekly!B64</f>
        <v>0</v>
      </c>
      <c r="C72" s="90">
        <f>Weekly!C64</f>
        <v>0</v>
      </c>
      <c r="D72" s="90">
        <f>Weekly!D65</f>
        <v>0</v>
      </c>
      <c r="E72" s="91" t="e">
        <f>VLOOKUP(B72,Team!$B$4:$E$183,4,FALSE)</f>
        <v>#N/A</v>
      </c>
      <c r="F72" s="92" t="str">
        <f>Weekly!J64</f>
        <v/>
      </c>
      <c r="G72" s="92" t="str">
        <f>Weekly!K64</f>
        <v/>
      </c>
      <c r="H72" s="48" t="str">
        <f t="shared" si="70"/>
        <v/>
      </c>
      <c r="I72" s="48" t="str">
        <f t="shared" si="71"/>
        <v/>
      </c>
      <c r="J72" s="48" t="str">
        <f t="shared" si="72"/>
        <v/>
      </c>
      <c r="K72" s="84" t="str">
        <f t="shared" si="73"/>
        <v/>
      </c>
      <c r="L72" s="82" t="str">
        <f t="shared" si="74"/>
        <v/>
      </c>
      <c r="M72" s="48" t="str">
        <f t="shared" si="75"/>
        <v/>
      </c>
      <c r="N72" s="48" t="str">
        <f t="shared" si="76"/>
        <v/>
      </c>
      <c r="O72" s="84" t="str">
        <f t="shared" si="77"/>
        <v/>
      </c>
      <c r="P72" s="82" t="str">
        <f t="shared" si="78"/>
        <v/>
      </c>
      <c r="Q72" s="48" t="str">
        <f t="shared" si="79"/>
        <v/>
      </c>
      <c r="R72" s="48" t="str">
        <f t="shared" si="80"/>
        <v/>
      </c>
      <c r="S72" s="84" t="str">
        <f t="shared" si="81"/>
        <v/>
      </c>
      <c r="T72" s="82" t="str">
        <f t="shared" si="82"/>
        <v/>
      </c>
      <c r="U72" s="48" t="str">
        <f t="shared" si="83"/>
        <v/>
      </c>
      <c r="V72" s="48" t="str">
        <f t="shared" si="84"/>
        <v/>
      </c>
      <c r="W72" s="84" t="str">
        <f t="shared" si="85"/>
        <v/>
      </c>
      <c r="X72" s="82" t="str">
        <f t="shared" si="86"/>
        <v/>
      </c>
      <c r="Y72" s="48" t="str">
        <f t="shared" si="87"/>
        <v/>
      </c>
      <c r="Z72" s="48" t="str">
        <f t="shared" si="88"/>
        <v/>
      </c>
      <c r="AA72" s="84" t="str">
        <f t="shared" si="89"/>
        <v/>
      </c>
      <c r="AB72" s="82" t="str">
        <f t="shared" si="90"/>
        <v/>
      </c>
      <c r="AC72" s="48" t="str">
        <f t="shared" si="91"/>
        <v/>
      </c>
      <c r="AD72" s="48" t="str">
        <f t="shared" si="92"/>
        <v/>
      </c>
      <c r="AE72" s="84" t="str">
        <f t="shared" si="93"/>
        <v/>
      </c>
      <c r="AF72" s="82" t="str">
        <f t="shared" si="94"/>
        <v/>
      </c>
      <c r="AG72" s="48" t="str">
        <f t="shared" si="95"/>
        <v/>
      </c>
      <c r="AH72" s="48" t="str">
        <f t="shared" si="96"/>
        <v/>
      </c>
      <c r="AI72" s="84" t="str">
        <f t="shared" si="97"/>
        <v/>
      </c>
      <c r="AJ72" s="82" t="str">
        <f t="shared" si="98"/>
        <v/>
      </c>
      <c r="AK72" s="48" t="str">
        <f t="shared" si="99"/>
        <v/>
      </c>
      <c r="AL72" s="48" t="str">
        <f t="shared" si="100"/>
        <v/>
      </c>
      <c r="AM72" s="84" t="str">
        <f t="shared" si="101"/>
        <v/>
      </c>
      <c r="AN72" s="82" t="str">
        <f t="shared" si="102"/>
        <v/>
      </c>
      <c r="AO72" s="48" t="str">
        <f t="shared" si="103"/>
        <v/>
      </c>
      <c r="AP72" s="48" t="str">
        <f t="shared" si="104"/>
        <v/>
      </c>
      <c r="AQ72" s="84" t="str">
        <f t="shared" si="105"/>
        <v/>
      </c>
      <c r="AR72" s="82" t="str">
        <f t="shared" si="106"/>
        <v/>
      </c>
      <c r="AS72" s="48" t="str">
        <f t="shared" si="107"/>
        <v/>
      </c>
      <c r="AT72" s="48" t="str">
        <f t="shared" si="108"/>
        <v/>
      </c>
      <c r="AU72" s="84" t="str">
        <f t="shared" si="109"/>
        <v/>
      </c>
      <c r="AV72" s="82" t="str">
        <f t="shared" si="110"/>
        <v/>
      </c>
      <c r="AW72" s="48" t="str">
        <f t="shared" si="111"/>
        <v/>
      </c>
      <c r="AX72" s="48" t="str">
        <f t="shared" si="112"/>
        <v/>
      </c>
      <c r="AY72" s="84" t="str">
        <f t="shared" si="113"/>
        <v/>
      </c>
      <c r="AZ72" s="82" t="str">
        <f t="shared" si="114"/>
        <v/>
      </c>
      <c r="BA72" s="48" t="str">
        <f t="shared" si="115"/>
        <v/>
      </c>
      <c r="BB72" s="48" t="str">
        <f t="shared" si="116"/>
        <v/>
      </c>
      <c r="BC72" s="84" t="str">
        <f t="shared" si="117"/>
        <v/>
      </c>
      <c r="BD72" s="82" t="str">
        <f t="shared" si="118"/>
        <v/>
      </c>
      <c r="BE72" s="48" t="str">
        <f t="shared" si="119"/>
        <v/>
      </c>
      <c r="BF72" s="48" t="str">
        <f t="shared" si="120"/>
        <v/>
      </c>
      <c r="BG72" s="84" t="str">
        <f t="shared" si="121"/>
        <v/>
      </c>
      <c r="BH72" s="87" t="str">
        <f t="shared" si="122"/>
        <v/>
      </c>
      <c r="BI72" s="49" t="str">
        <f t="shared" si="123"/>
        <v/>
      </c>
      <c r="BJ72" s="49" t="str">
        <f t="shared" si="124"/>
        <v/>
      </c>
      <c r="BK72" s="89" t="str">
        <f t="shared" si="125"/>
        <v/>
      </c>
      <c r="BL72" s="87" t="str">
        <f t="shared" si="126"/>
        <v/>
      </c>
      <c r="BM72" s="49" t="str">
        <f t="shared" si="127"/>
        <v/>
      </c>
      <c r="BN72" s="49" t="str">
        <f t="shared" si="128"/>
        <v/>
      </c>
      <c r="BO72" s="89" t="str">
        <f t="shared" si="129"/>
        <v/>
      </c>
      <c r="BP72" s="87" t="str">
        <f t="shared" si="130"/>
        <v/>
      </c>
      <c r="BQ72" s="49" t="str">
        <f t="shared" si="131"/>
        <v/>
      </c>
      <c r="BR72" s="49" t="str">
        <f t="shared" si="132"/>
        <v/>
      </c>
      <c r="BS72" s="89" t="str">
        <f t="shared" si="133"/>
        <v/>
      </c>
      <c r="BT72" s="87" t="str">
        <f t="shared" si="134"/>
        <v/>
      </c>
    </row>
    <row r="73" spans="2:72" s="93" customFormat="1">
      <c r="B73" s="81">
        <f>Weekly!B65</f>
        <v>0</v>
      </c>
      <c r="C73" s="90">
        <f>Weekly!C65</f>
        <v>0</v>
      </c>
      <c r="D73" s="90">
        <f>Weekly!D66</f>
        <v>0</v>
      </c>
      <c r="E73" s="91" t="e">
        <f>VLOOKUP(B73,Team!$B$4:$E$183,4,FALSE)</f>
        <v>#N/A</v>
      </c>
      <c r="F73" s="92" t="str">
        <f>Weekly!J65</f>
        <v/>
      </c>
      <c r="G73" s="92" t="str">
        <f>Weekly!K65</f>
        <v/>
      </c>
      <c r="H73" s="48" t="str">
        <f t="shared" si="70"/>
        <v/>
      </c>
      <c r="I73" s="48" t="str">
        <f t="shared" si="71"/>
        <v/>
      </c>
      <c r="J73" s="48" t="str">
        <f t="shared" si="72"/>
        <v/>
      </c>
      <c r="K73" s="84" t="str">
        <f t="shared" si="73"/>
        <v/>
      </c>
      <c r="L73" s="82" t="str">
        <f t="shared" si="74"/>
        <v/>
      </c>
      <c r="M73" s="48" t="str">
        <f t="shared" si="75"/>
        <v/>
      </c>
      <c r="N73" s="48" t="str">
        <f t="shared" si="76"/>
        <v/>
      </c>
      <c r="O73" s="84" t="str">
        <f t="shared" si="77"/>
        <v/>
      </c>
      <c r="P73" s="82" t="str">
        <f t="shared" si="78"/>
        <v/>
      </c>
      <c r="Q73" s="48" t="str">
        <f t="shared" si="79"/>
        <v/>
      </c>
      <c r="R73" s="48" t="str">
        <f t="shared" si="80"/>
        <v/>
      </c>
      <c r="S73" s="84" t="str">
        <f t="shared" si="81"/>
        <v/>
      </c>
      <c r="T73" s="82" t="str">
        <f t="shared" si="82"/>
        <v/>
      </c>
      <c r="U73" s="48" t="str">
        <f t="shared" si="83"/>
        <v/>
      </c>
      <c r="V73" s="48" t="str">
        <f t="shared" si="84"/>
        <v/>
      </c>
      <c r="W73" s="84" t="str">
        <f t="shared" si="85"/>
        <v/>
      </c>
      <c r="X73" s="82" t="str">
        <f t="shared" si="86"/>
        <v/>
      </c>
      <c r="Y73" s="48" t="str">
        <f t="shared" si="87"/>
        <v/>
      </c>
      <c r="Z73" s="48" t="str">
        <f t="shared" si="88"/>
        <v/>
      </c>
      <c r="AA73" s="84" t="str">
        <f t="shared" si="89"/>
        <v/>
      </c>
      <c r="AB73" s="82" t="str">
        <f t="shared" si="90"/>
        <v/>
      </c>
      <c r="AC73" s="48" t="str">
        <f t="shared" si="91"/>
        <v/>
      </c>
      <c r="AD73" s="48" t="str">
        <f t="shared" si="92"/>
        <v/>
      </c>
      <c r="AE73" s="84" t="str">
        <f t="shared" si="93"/>
        <v/>
      </c>
      <c r="AF73" s="82" t="str">
        <f t="shared" si="94"/>
        <v/>
      </c>
      <c r="AG73" s="48" t="str">
        <f t="shared" si="95"/>
        <v/>
      </c>
      <c r="AH73" s="48" t="str">
        <f t="shared" si="96"/>
        <v/>
      </c>
      <c r="AI73" s="84" t="str">
        <f t="shared" si="97"/>
        <v/>
      </c>
      <c r="AJ73" s="82" t="str">
        <f t="shared" si="98"/>
        <v/>
      </c>
      <c r="AK73" s="48" t="str">
        <f t="shared" si="99"/>
        <v/>
      </c>
      <c r="AL73" s="48" t="str">
        <f t="shared" si="100"/>
        <v/>
      </c>
      <c r="AM73" s="84" t="str">
        <f t="shared" si="101"/>
        <v/>
      </c>
      <c r="AN73" s="82" t="str">
        <f t="shared" si="102"/>
        <v/>
      </c>
      <c r="AO73" s="48" t="str">
        <f t="shared" si="103"/>
        <v/>
      </c>
      <c r="AP73" s="48" t="str">
        <f t="shared" si="104"/>
        <v/>
      </c>
      <c r="AQ73" s="84" t="str">
        <f t="shared" si="105"/>
        <v/>
      </c>
      <c r="AR73" s="82" t="str">
        <f t="shared" si="106"/>
        <v/>
      </c>
      <c r="AS73" s="48" t="str">
        <f t="shared" si="107"/>
        <v/>
      </c>
      <c r="AT73" s="48" t="str">
        <f t="shared" si="108"/>
        <v/>
      </c>
      <c r="AU73" s="84" t="str">
        <f t="shared" si="109"/>
        <v/>
      </c>
      <c r="AV73" s="82" t="str">
        <f t="shared" si="110"/>
        <v/>
      </c>
      <c r="AW73" s="48" t="str">
        <f t="shared" si="111"/>
        <v/>
      </c>
      <c r="AX73" s="48" t="str">
        <f t="shared" si="112"/>
        <v/>
      </c>
      <c r="AY73" s="84" t="str">
        <f t="shared" si="113"/>
        <v/>
      </c>
      <c r="AZ73" s="82" t="str">
        <f t="shared" si="114"/>
        <v/>
      </c>
      <c r="BA73" s="48" t="str">
        <f t="shared" si="115"/>
        <v/>
      </c>
      <c r="BB73" s="48" t="str">
        <f t="shared" si="116"/>
        <v/>
      </c>
      <c r="BC73" s="84" t="str">
        <f t="shared" si="117"/>
        <v/>
      </c>
      <c r="BD73" s="82" t="str">
        <f t="shared" si="118"/>
        <v/>
      </c>
      <c r="BE73" s="48" t="str">
        <f t="shared" si="119"/>
        <v/>
      </c>
      <c r="BF73" s="48" t="str">
        <f t="shared" si="120"/>
        <v/>
      </c>
      <c r="BG73" s="84" t="str">
        <f t="shared" si="121"/>
        <v/>
      </c>
      <c r="BH73" s="87" t="str">
        <f t="shared" si="122"/>
        <v/>
      </c>
      <c r="BI73" s="49" t="str">
        <f t="shared" si="123"/>
        <v/>
      </c>
      <c r="BJ73" s="49" t="str">
        <f t="shared" si="124"/>
        <v/>
      </c>
      <c r="BK73" s="89" t="str">
        <f t="shared" si="125"/>
        <v/>
      </c>
      <c r="BL73" s="87" t="str">
        <f t="shared" si="126"/>
        <v/>
      </c>
      <c r="BM73" s="49" t="str">
        <f t="shared" si="127"/>
        <v/>
      </c>
      <c r="BN73" s="49" t="str">
        <f t="shared" si="128"/>
        <v/>
      </c>
      <c r="BO73" s="89" t="str">
        <f t="shared" si="129"/>
        <v/>
      </c>
      <c r="BP73" s="87" t="str">
        <f t="shared" si="130"/>
        <v/>
      </c>
      <c r="BQ73" s="49" t="str">
        <f t="shared" si="131"/>
        <v/>
      </c>
      <c r="BR73" s="49" t="str">
        <f t="shared" si="132"/>
        <v/>
      </c>
      <c r="BS73" s="89" t="str">
        <f t="shared" si="133"/>
        <v/>
      </c>
      <c r="BT73" s="87" t="str">
        <f t="shared" si="134"/>
        <v/>
      </c>
    </row>
    <row r="74" spans="2:72" s="93" customFormat="1">
      <c r="B74" s="81">
        <f>Weekly!B66</f>
        <v>0</v>
      </c>
      <c r="C74" s="90">
        <f>Weekly!C66</f>
        <v>0</v>
      </c>
      <c r="D74" s="90">
        <f>Weekly!D67</f>
        <v>0</v>
      </c>
      <c r="E74" s="91" t="e">
        <f>VLOOKUP(B74,Team!$B$4:$E$183,4,FALSE)</f>
        <v>#N/A</v>
      </c>
      <c r="F74" s="92" t="str">
        <f>Weekly!J66</f>
        <v/>
      </c>
      <c r="G74" s="92" t="str">
        <f>Weekly!K66</f>
        <v/>
      </c>
      <c r="H74" s="48" t="str">
        <f t="shared" si="70"/>
        <v/>
      </c>
      <c r="I74" s="48" t="str">
        <f t="shared" si="71"/>
        <v/>
      </c>
      <c r="J74" s="48" t="str">
        <f t="shared" si="72"/>
        <v/>
      </c>
      <c r="K74" s="84" t="str">
        <f t="shared" si="73"/>
        <v/>
      </c>
      <c r="L74" s="82" t="str">
        <f t="shared" si="74"/>
        <v/>
      </c>
      <c r="M74" s="48" t="str">
        <f t="shared" si="75"/>
        <v/>
      </c>
      <c r="N74" s="48" t="str">
        <f t="shared" si="76"/>
        <v/>
      </c>
      <c r="O74" s="84" t="str">
        <f t="shared" si="77"/>
        <v/>
      </c>
      <c r="P74" s="82" t="str">
        <f t="shared" si="78"/>
        <v/>
      </c>
      <c r="Q74" s="48" t="str">
        <f t="shared" si="79"/>
        <v/>
      </c>
      <c r="R74" s="48" t="str">
        <f t="shared" si="80"/>
        <v/>
      </c>
      <c r="S74" s="84" t="str">
        <f t="shared" si="81"/>
        <v/>
      </c>
      <c r="T74" s="82" t="str">
        <f t="shared" si="82"/>
        <v/>
      </c>
      <c r="U74" s="48" t="str">
        <f t="shared" si="83"/>
        <v/>
      </c>
      <c r="V74" s="48" t="str">
        <f t="shared" si="84"/>
        <v/>
      </c>
      <c r="W74" s="84" t="str">
        <f t="shared" si="85"/>
        <v/>
      </c>
      <c r="X74" s="82" t="str">
        <f t="shared" si="86"/>
        <v/>
      </c>
      <c r="Y74" s="48" t="str">
        <f t="shared" si="87"/>
        <v/>
      </c>
      <c r="Z74" s="48" t="str">
        <f t="shared" si="88"/>
        <v/>
      </c>
      <c r="AA74" s="84" t="str">
        <f t="shared" si="89"/>
        <v/>
      </c>
      <c r="AB74" s="82" t="str">
        <f t="shared" si="90"/>
        <v/>
      </c>
      <c r="AC74" s="48" t="str">
        <f t="shared" si="91"/>
        <v/>
      </c>
      <c r="AD74" s="48" t="str">
        <f t="shared" si="92"/>
        <v/>
      </c>
      <c r="AE74" s="84" t="str">
        <f t="shared" si="93"/>
        <v/>
      </c>
      <c r="AF74" s="82" t="str">
        <f t="shared" si="94"/>
        <v/>
      </c>
      <c r="AG74" s="48" t="str">
        <f t="shared" si="95"/>
        <v/>
      </c>
      <c r="AH74" s="48" t="str">
        <f t="shared" si="96"/>
        <v/>
      </c>
      <c r="AI74" s="84" t="str">
        <f t="shared" si="97"/>
        <v/>
      </c>
      <c r="AJ74" s="82" t="str">
        <f t="shared" si="98"/>
        <v/>
      </c>
      <c r="AK74" s="48" t="str">
        <f t="shared" si="99"/>
        <v/>
      </c>
      <c r="AL74" s="48" t="str">
        <f t="shared" si="100"/>
        <v/>
      </c>
      <c r="AM74" s="84" t="str">
        <f t="shared" si="101"/>
        <v/>
      </c>
      <c r="AN74" s="82" t="str">
        <f t="shared" si="102"/>
        <v/>
      </c>
      <c r="AO74" s="48" t="str">
        <f t="shared" si="103"/>
        <v/>
      </c>
      <c r="AP74" s="48" t="str">
        <f t="shared" si="104"/>
        <v/>
      </c>
      <c r="AQ74" s="84" t="str">
        <f t="shared" si="105"/>
        <v/>
      </c>
      <c r="AR74" s="82" t="str">
        <f t="shared" si="106"/>
        <v/>
      </c>
      <c r="AS74" s="48" t="str">
        <f t="shared" si="107"/>
        <v/>
      </c>
      <c r="AT74" s="48" t="str">
        <f t="shared" si="108"/>
        <v/>
      </c>
      <c r="AU74" s="84" t="str">
        <f t="shared" si="109"/>
        <v/>
      </c>
      <c r="AV74" s="82" t="str">
        <f t="shared" si="110"/>
        <v/>
      </c>
      <c r="AW74" s="48" t="str">
        <f t="shared" si="111"/>
        <v/>
      </c>
      <c r="AX74" s="48" t="str">
        <f t="shared" si="112"/>
        <v/>
      </c>
      <c r="AY74" s="84" t="str">
        <f t="shared" si="113"/>
        <v/>
      </c>
      <c r="AZ74" s="82" t="str">
        <f t="shared" si="114"/>
        <v/>
      </c>
      <c r="BA74" s="48" t="str">
        <f t="shared" si="115"/>
        <v/>
      </c>
      <c r="BB74" s="48" t="str">
        <f t="shared" si="116"/>
        <v/>
      </c>
      <c r="BC74" s="84" t="str">
        <f t="shared" si="117"/>
        <v/>
      </c>
      <c r="BD74" s="82" t="str">
        <f t="shared" si="118"/>
        <v/>
      </c>
      <c r="BE74" s="48" t="str">
        <f t="shared" si="119"/>
        <v/>
      </c>
      <c r="BF74" s="48" t="str">
        <f t="shared" si="120"/>
        <v/>
      </c>
      <c r="BG74" s="84" t="str">
        <f t="shared" si="121"/>
        <v/>
      </c>
      <c r="BH74" s="87" t="str">
        <f t="shared" si="122"/>
        <v/>
      </c>
      <c r="BI74" s="49" t="str">
        <f t="shared" si="123"/>
        <v/>
      </c>
      <c r="BJ74" s="49" t="str">
        <f t="shared" si="124"/>
        <v/>
      </c>
      <c r="BK74" s="89" t="str">
        <f t="shared" si="125"/>
        <v/>
      </c>
      <c r="BL74" s="87" t="str">
        <f t="shared" si="126"/>
        <v/>
      </c>
      <c r="BM74" s="49" t="str">
        <f t="shared" si="127"/>
        <v/>
      </c>
      <c r="BN74" s="49" t="str">
        <f t="shared" si="128"/>
        <v/>
      </c>
      <c r="BO74" s="89" t="str">
        <f t="shared" si="129"/>
        <v/>
      </c>
      <c r="BP74" s="87" t="str">
        <f t="shared" si="130"/>
        <v/>
      </c>
      <c r="BQ74" s="49" t="str">
        <f t="shared" si="131"/>
        <v/>
      </c>
      <c r="BR74" s="49" t="str">
        <f t="shared" si="132"/>
        <v/>
      </c>
      <c r="BS74" s="89" t="str">
        <f t="shared" si="133"/>
        <v/>
      </c>
      <c r="BT74" s="87" t="str">
        <f t="shared" si="134"/>
        <v/>
      </c>
    </row>
    <row r="75" spans="2:72" s="93" customFormat="1">
      <c r="B75" s="81">
        <f>Weekly!B67</f>
        <v>0</v>
      </c>
      <c r="C75" s="90">
        <f>Weekly!C67</f>
        <v>0</v>
      </c>
      <c r="D75" s="90">
        <f>Weekly!D68</f>
        <v>0</v>
      </c>
      <c r="E75" s="91" t="e">
        <f>VLOOKUP(B75,Team!$B$4:$E$183,4,FALSE)</f>
        <v>#N/A</v>
      </c>
      <c r="F75" s="92" t="str">
        <f>Weekly!J67</f>
        <v/>
      </c>
      <c r="G75" s="92" t="str">
        <f>Weekly!K67</f>
        <v/>
      </c>
      <c r="H75" s="48" t="str">
        <f t="shared" si="70"/>
        <v/>
      </c>
      <c r="I75" s="48" t="str">
        <f t="shared" si="71"/>
        <v/>
      </c>
      <c r="J75" s="48" t="str">
        <f t="shared" si="72"/>
        <v/>
      </c>
      <c r="K75" s="84" t="str">
        <f t="shared" si="73"/>
        <v/>
      </c>
      <c r="L75" s="82" t="str">
        <f t="shared" si="74"/>
        <v/>
      </c>
      <c r="M75" s="48" t="str">
        <f t="shared" si="75"/>
        <v/>
      </c>
      <c r="N75" s="48" t="str">
        <f t="shared" si="76"/>
        <v/>
      </c>
      <c r="O75" s="84" t="str">
        <f t="shared" si="77"/>
        <v/>
      </c>
      <c r="P75" s="82" t="str">
        <f t="shared" si="78"/>
        <v/>
      </c>
      <c r="Q75" s="48" t="str">
        <f t="shared" si="79"/>
        <v/>
      </c>
      <c r="R75" s="48" t="str">
        <f t="shared" si="80"/>
        <v/>
      </c>
      <c r="S75" s="84" t="str">
        <f t="shared" si="81"/>
        <v/>
      </c>
      <c r="T75" s="82" t="str">
        <f t="shared" si="82"/>
        <v/>
      </c>
      <c r="U75" s="48" t="str">
        <f t="shared" si="83"/>
        <v/>
      </c>
      <c r="V75" s="48" t="str">
        <f t="shared" si="84"/>
        <v/>
      </c>
      <c r="W75" s="84" t="str">
        <f t="shared" si="85"/>
        <v/>
      </c>
      <c r="X75" s="82" t="str">
        <f t="shared" si="86"/>
        <v/>
      </c>
      <c r="Y75" s="48" t="str">
        <f t="shared" si="87"/>
        <v/>
      </c>
      <c r="Z75" s="48" t="str">
        <f t="shared" si="88"/>
        <v/>
      </c>
      <c r="AA75" s="84" t="str">
        <f t="shared" si="89"/>
        <v/>
      </c>
      <c r="AB75" s="82" t="str">
        <f t="shared" si="90"/>
        <v/>
      </c>
      <c r="AC75" s="48" t="str">
        <f t="shared" si="91"/>
        <v/>
      </c>
      <c r="AD75" s="48" t="str">
        <f t="shared" si="92"/>
        <v/>
      </c>
      <c r="AE75" s="84" t="str">
        <f t="shared" si="93"/>
        <v/>
      </c>
      <c r="AF75" s="82" t="str">
        <f t="shared" si="94"/>
        <v/>
      </c>
      <c r="AG75" s="48" t="str">
        <f t="shared" si="95"/>
        <v/>
      </c>
      <c r="AH75" s="48" t="str">
        <f t="shared" si="96"/>
        <v/>
      </c>
      <c r="AI75" s="84" t="str">
        <f t="shared" si="97"/>
        <v/>
      </c>
      <c r="AJ75" s="82" t="str">
        <f t="shared" si="98"/>
        <v/>
      </c>
      <c r="AK75" s="48" t="str">
        <f t="shared" si="99"/>
        <v/>
      </c>
      <c r="AL75" s="48" t="str">
        <f t="shared" si="100"/>
        <v/>
      </c>
      <c r="AM75" s="84" t="str">
        <f t="shared" si="101"/>
        <v/>
      </c>
      <c r="AN75" s="82" t="str">
        <f t="shared" si="102"/>
        <v/>
      </c>
      <c r="AO75" s="48" t="str">
        <f t="shared" si="103"/>
        <v/>
      </c>
      <c r="AP75" s="48" t="str">
        <f t="shared" si="104"/>
        <v/>
      </c>
      <c r="AQ75" s="84" t="str">
        <f t="shared" si="105"/>
        <v/>
      </c>
      <c r="AR75" s="82" t="str">
        <f t="shared" si="106"/>
        <v/>
      </c>
      <c r="AS75" s="48" t="str">
        <f t="shared" si="107"/>
        <v/>
      </c>
      <c r="AT75" s="48" t="str">
        <f t="shared" si="108"/>
        <v/>
      </c>
      <c r="AU75" s="84" t="str">
        <f t="shared" si="109"/>
        <v/>
      </c>
      <c r="AV75" s="82" t="str">
        <f t="shared" si="110"/>
        <v/>
      </c>
      <c r="AW75" s="48" t="str">
        <f t="shared" si="111"/>
        <v/>
      </c>
      <c r="AX75" s="48" t="str">
        <f t="shared" si="112"/>
        <v/>
      </c>
      <c r="AY75" s="84" t="str">
        <f t="shared" si="113"/>
        <v/>
      </c>
      <c r="AZ75" s="82" t="str">
        <f t="shared" si="114"/>
        <v/>
      </c>
      <c r="BA75" s="48" t="str">
        <f t="shared" si="115"/>
        <v/>
      </c>
      <c r="BB75" s="48" t="str">
        <f t="shared" si="116"/>
        <v/>
      </c>
      <c r="BC75" s="84" t="str">
        <f t="shared" si="117"/>
        <v/>
      </c>
      <c r="BD75" s="82" t="str">
        <f t="shared" si="118"/>
        <v/>
      </c>
      <c r="BE75" s="48" t="str">
        <f t="shared" si="119"/>
        <v/>
      </c>
      <c r="BF75" s="48" t="str">
        <f t="shared" si="120"/>
        <v/>
      </c>
      <c r="BG75" s="84" t="str">
        <f t="shared" si="121"/>
        <v/>
      </c>
      <c r="BH75" s="87" t="str">
        <f t="shared" si="122"/>
        <v/>
      </c>
      <c r="BI75" s="49" t="str">
        <f t="shared" si="123"/>
        <v/>
      </c>
      <c r="BJ75" s="49" t="str">
        <f t="shared" si="124"/>
        <v/>
      </c>
      <c r="BK75" s="89" t="str">
        <f t="shared" si="125"/>
        <v/>
      </c>
      <c r="BL75" s="87" t="str">
        <f t="shared" si="126"/>
        <v/>
      </c>
      <c r="BM75" s="49" t="str">
        <f t="shared" si="127"/>
        <v/>
      </c>
      <c r="BN75" s="49" t="str">
        <f t="shared" si="128"/>
        <v/>
      </c>
      <c r="BO75" s="89" t="str">
        <f t="shared" si="129"/>
        <v/>
      </c>
      <c r="BP75" s="87" t="str">
        <f t="shared" si="130"/>
        <v/>
      </c>
      <c r="BQ75" s="49" t="str">
        <f t="shared" si="131"/>
        <v/>
      </c>
      <c r="BR75" s="49" t="str">
        <f t="shared" si="132"/>
        <v/>
      </c>
      <c r="BS75" s="89" t="str">
        <f t="shared" si="133"/>
        <v/>
      </c>
      <c r="BT75" s="87" t="str">
        <f t="shared" si="134"/>
        <v/>
      </c>
    </row>
    <row r="76" spans="2:72" s="93" customFormat="1">
      <c r="B76" s="81">
        <f>Weekly!B68</f>
        <v>0</v>
      </c>
      <c r="C76" s="90">
        <f>Weekly!C68</f>
        <v>0</v>
      </c>
      <c r="D76" s="90">
        <f>Weekly!D69</f>
        <v>0</v>
      </c>
      <c r="E76" s="91" t="e">
        <f>VLOOKUP(B76,Team!$B$4:$E$183,4,FALSE)</f>
        <v>#N/A</v>
      </c>
      <c r="F76" s="92" t="str">
        <f>Weekly!J68</f>
        <v/>
      </c>
      <c r="G76" s="92" t="str">
        <f>Weekly!K68</f>
        <v/>
      </c>
      <c r="H76" s="48" t="str">
        <f t="shared" si="70"/>
        <v/>
      </c>
      <c r="I76" s="48" t="str">
        <f t="shared" si="71"/>
        <v/>
      </c>
      <c r="J76" s="48" t="str">
        <f t="shared" si="72"/>
        <v/>
      </c>
      <c r="K76" s="84" t="str">
        <f t="shared" si="73"/>
        <v/>
      </c>
      <c r="L76" s="82" t="str">
        <f t="shared" si="74"/>
        <v/>
      </c>
      <c r="M76" s="48" t="str">
        <f t="shared" si="75"/>
        <v/>
      </c>
      <c r="N76" s="48" t="str">
        <f t="shared" si="76"/>
        <v/>
      </c>
      <c r="O76" s="84" t="str">
        <f t="shared" si="77"/>
        <v/>
      </c>
      <c r="P76" s="82" t="str">
        <f t="shared" si="78"/>
        <v/>
      </c>
      <c r="Q76" s="48" t="str">
        <f t="shared" si="79"/>
        <v/>
      </c>
      <c r="R76" s="48" t="str">
        <f t="shared" si="80"/>
        <v/>
      </c>
      <c r="S76" s="84" t="str">
        <f t="shared" si="81"/>
        <v/>
      </c>
      <c r="T76" s="82" t="str">
        <f t="shared" si="82"/>
        <v/>
      </c>
      <c r="U76" s="48" t="str">
        <f t="shared" si="83"/>
        <v/>
      </c>
      <c r="V76" s="48" t="str">
        <f t="shared" si="84"/>
        <v/>
      </c>
      <c r="W76" s="84" t="str">
        <f t="shared" si="85"/>
        <v/>
      </c>
      <c r="X76" s="82" t="str">
        <f t="shared" si="86"/>
        <v/>
      </c>
      <c r="Y76" s="48" t="str">
        <f t="shared" si="87"/>
        <v/>
      </c>
      <c r="Z76" s="48" t="str">
        <f t="shared" si="88"/>
        <v/>
      </c>
      <c r="AA76" s="84" t="str">
        <f t="shared" si="89"/>
        <v/>
      </c>
      <c r="AB76" s="82" t="str">
        <f t="shared" si="90"/>
        <v/>
      </c>
      <c r="AC76" s="48" t="str">
        <f t="shared" si="91"/>
        <v/>
      </c>
      <c r="AD76" s="48" t="str">
        <f t="shared" si="92"/>
        <v/>
      </c>
      <c r="AE76" s="84" t="str">
        <f t="shared" si="93"/>
        <v/>
      </c>
      <c r="AF76" s="82" t="str">
        <f t="shared" si="94"/>
        <v/>
      </c>
      <c r="AG76" s="48" t="str">
        <f t="shared" si="95"/>
        <v/>
      </c>
      <c r="AH76" s="48" t="str">
        <f t="shared" si="96"/>
        <v/>
      </c>
      <c r="AI76" s="84" t="str">
        <f t="shared" si="97"/>
        <v/>
      </c>
      <c r="AJ76" s="82" t="str">
        <f t="shared" si="98"/>
        <v/>
      </c>
      <c r="AK76" s="48" t="str">
        <f t="shared" si="99"/>
        <v/>
      </c>
      <c r="AL76" s="48" t="str">
        <f t="shared" si="100"/>
        <v/>
      </c>
      <c r="AM76" s="84" t="str">
        <f t="shared" si="101"/>
        <v/>
      </c>
      <c r="AN76" s="82" t="str">
        <f t="shared" si="102"/>
        <v/>
      </c>
      <c r="AO76" s="48" t="str">
        <f t="shared" si="103"/>
        <v/>
      </c>
      <c r="AP76" s="48" t="str">
        <f t="shared" si="104"/>
        <v/>
      </c>
      <c r="AQ76" s="84" t="str">
        <f t="shared" si="105"/>
        <v/>
      </c>
      <c r="AR76" s="82" t="str">
        <f t="shared" si="106"/>
        <v/>
      </c>
      <c r="AS76" s="48" t="str">
        <f t="shared" si="107"/>
        <v/>
      </c>
      <c r="AT76" s="48" t="str">
        <f t="shared" si="108"/>
        <v/>
      </c>
      <c r="AU76" s="84" t="str">
        <f t="shared" si="109"/>
        <v/>
      </c>
      <c r="AV76" s="82" t="str">
        <f t="shared" si="110"/>
        <v/>
      </c>
      <c r="AW76" s="48" t="str">
        <f t="shared" si="111"/>
        <v/>
      </c>
      <c r="AX76" s="48" t="str">
        <f t="shared" si="112"/>
        <v/>
      </c>
      <c r="AY76" s="84" t="str">
        <f t="shared" si="113"/>
        <v/>
      </c>
      <c r="AZ76" s="82" t="str">
        <f t="shared" si="114"/>
        <v/>
      </c>
      <c r="BA76" s="48" t="str">
        <f t="shared" si="115"/>
        <v/>
      </c>
      <c r="BB76" s="48" t="str">
        <f t="shared" si="116"/>
        <v/>
      </c>
      <c r="BC76" s="84" t="str">
        <f t="shared" si="117"/>
        <v/>
      </c>
      <c r="BD76" s="82" t="str">
        <f t="shared" si="118"/>
        <v/>
      </c>
      <c r="BE76" s="48" t="str">
        <f t="shared" si="119"/>
        <v/>
      </c>
      <c r="BF76" s="48" t="str">
        <f t="shared" si="120"/>
        <v/>
      </c>
      <c r="BG76" s="84" t="str">
        <f t="shared" si="121"/>
        <v/>
      </c>
      <c r="BH76" s="87" t="str">
        <f t="shared" si="122"/>
        <v/>
      </c>
      <c r="BI76" s="49" t="str">
        <f t="shared" si="123"/>
        <v/>
      </c>
      <c r="BJ76" s="49" t="str">
        <f t="shared" si="124"/>
        <v/>
      </c>
      <c r="BK76" s="89" t="str">
        <f t="shared" si="125"/>
        <v/>
      </c>
      <c r="BL76" s="87" t="str">
        <f t="shared" si="126"/>
        <v/>
      </c>
      <c r="BM76" s="49" t="str">
        <f t="shared" si="127"/>
        <v/>
      </c>
      <c r="BN76" s="49" t="str">
        <f t="shared" si="128"/>
        <v/>
      </c>
      <c r="BO76" s="89" t="str">
        <f t="shared" si="129"/>
        <v/>
      </c>
      <c r="BP76" s="87" t="str">
        <f t="shared" si="130"/>
        <v/>
      </c>
      <c r="BQ76" s="49" t="str">
        <f t="shared" si="131"/>
        <v/>
      </c>
      <c r="BR76" s="49" t="str">
        <f t="shared" si="132"/>
        <v/>
      </c>
      <c r="BS76" s="89" t="str">
        <f t="shared" si="133"/>
        <v/>
      </c>
      <c r="BT76" s="87" t="str">
        <f t="shared" si="134"/>
        <v/>
      </c>
    </row>
    <row r="77" spans="2:72" s="93" customFormat="1">
      <c r="B77" s="81">
        <f>Weekly!B69</f>
        <v>0</v>
      </c>
      <c r="C77" s="90">
        <f>Weekly!C69</f>
        <v>0</v>
      </c>
      <c r="D77" s="90">
        <f>Weekly!D70</f>
        <v>0</v>
      </c>
      <c r="E77" s="91" t="e">
        <f>VLOOKUP(B77,Team!$B$4:$E$183,4,FALSE)</f>
        <v>#N/A</v>
      </c>
      <c r="F77" s="92" t="str">
        <f>Weekly!J69</f>
        <v/>
      </c>
      <c r="G77" s="92" t="str">
        <f>Weekly!K69</f>
        <v/>
      </c>
      <c r="H77" s="48" t="str">
        <f t="shared" si="70"/>
        <v/>
      </c>
      <c r="I77" s="48" t="str">
        <f t="shared" si="71"/>
        <v/>
      </c>
      <c r="J77" s="48" t="str">
        <f t="shared" si="72"/>
        <v/>
      </c>
      <c r="K77" s="84" t="str">
        <f t="shared" si="73"/>
        <v/>
      </c>
      <c r="L77" s="82" t="str">
        <f t="shared" si="74"/>
        <v/>
      </c>
      <c r="M77" s="48" t="str">
        <f t="shared" si="75"/>
        <v/>
      </c>
      <c r="N77" s="48" t="str">
        <f t="shared" si="76"/>
        <v/>
      </c>
      <c r="O77" s="84" t="str">
        <f t="shared" si="77"/>
        <v/>
      </c>
      <c r="P77" s="82" t="str">
        <f t="shared" si="78"/>
        <v/>
      </c>
      <c r="Q77" s="48" t="str">
        <f t="shared" si="79"/>
        <v/>
      </c>
      <c r="R77" s="48" t="str">
        <f t="shared" si="80"/>
        <v/>
      </c>
      <c r="S77" s="84" t="str">
        <f t="shared" si="81"/>
        <v/>
      </c>
      <c r="T77" s="82" t="str">
        <f t="shared" si="82"/>
        <v/>
      </c>
      <c r="U77" s="48" t="str">
        <f t="shared" si="83"/>
        <v/>
      </c>
      <c r="V77" s="48" t="str">
        <f t="shared" si="84"/>
        <v/>
      </c>
      <c r="W77" s="84" t="str">
        <f t="shared" si="85"/>
        <v/>
      </c>
      <c r="X77" s="82" t="str">
        <f t="shared" si="86"/>
        <v/>
      </c>
      <c r="Y77" s="48" t="str">
        <f t="shared" si="87"/>
        <v/>
      </c>
      <c r="Z77" s="48" t="str">
        <f t="shared" si="88"/>
        <v/>
      </c>
      <c r="AA77" s="84" t="str">
        <f t="shared" si="89"/>
        <v/>
      </c>
      <c r="AB77" s="82" t="str">
        <f t="shared" si="90"/>
        <v/>
      </c>
      <c r="AC77" s="48" t="str">
        <f t="shared" si="91"/>
        <v/>
      </c>
      <c r="AD77" s="48" t="str">
        <f t="shared" si="92"/>
        <v/>
      </c>
      <c r="AE77" s="84" t="str">
        <f t="shared" si="93"/>
        <v/>
      </c>
      <c r="AF77" s="82" t="str">
        <f t="shared" si="94"/>
        <v/>
      </c>
      <c r="AG77" s="48" t="str">
        <f t="shared" si="95"/>
        <v/>
      </c>
      <c r="AH77" s="48" t="str">
        <f t="shared" si="96"/>
        <v/>
      </c>
      <c r="AI77" s="84" t="str">
        <f t="shared" si="97"/>
        <v/>
      </c>
      <c r="AJ77" s="82" t="str">
        <f t="shared" si="98"/>
        <v/>
      </c>
      <c r="AK77" s="48" t="str">
        <f t="shared" si="99"/>
        <v/>
      </c>
      <c r="AL77" s="48" t="str">
        <f t="shared" si="100"/>
        <v/>
      </c>
      <c r="AM77" s="84" t="str">
        <f t="shared" si="101"/>
        <v/>
      </c>
      <c r="AN77" s="82" t="str">
        <f t="shared" si="102"/>
        <v/>
      </c>
      <c r="AO77" s="48" t="str">
        <f t="shared" si="103"/>
        <v/>
      </c>
      <c r="AP77" s="48" t="str">
        <f t="shared" si="104"/>
        <v/>
      </c>
      <c r="AQ77" s="84" t="str">
        <f t="shared" si="105"/>
        <v/>
      </c>
      <c r="AR77" s="82" t="str">
        <f t="shared" si="106"/>
        <v/>
      </c>
      <c r="AS77" s="48" t="str">
        <f t="shared" si="107"/>
        <v/>
      </c>
      <c r="AT77" s="48" t="str">
        <f t="shared" si="108"/>
        <v/>
      </c>
      <c r="AU77" s="84" t="str">
        <f t="shared" si="109"/>
        <v/>
      </c>
      <c r="AV77" s="82" t="str">
        <f t="shared" si="110"/>
        <v/>
      </c>
      <c r="AW77" s="48" t="str">
        <f t="shared" si="111"/>
        <v/>
      </c>
      <c r="AX77" s="48" t="str">
        <f t="shared" si="112"/>
        <v/>
      </c>
      <c r="AY77" s="84" t="str">
        <f t="shared" si="113"/>
        <v/>
      </c>
      <c r="AZ77" s="82" t="str">
        <f t="shared" si="114"/>
        <v/>
      </c>
      <c r="BA77" s="48" t="str">
        <f t="shared" si="115"/>
        <v/>
      </c>
      <c r="BB77" s="48" t="str">
        <f t="shared" si="116"/>
        <v/>
      </c>
      <c r="BC77" s="84" t="str">
        <f t="shared" si="117"/>
        <v/>
      </c>
      <c r="BD77" s="82" t="str">
        <f t="shared" si="118"/>
        <v/>
      </c>
      <c r="BE77" s="48" t="str">
        <f t="shared" si="119"/>
        <v/>
      </c>
      <c r="BF77" s="48" t="str">
        <f t="shared" si="120"/>
        <v/>
      </c>
      <c r="BG77" s="84" t="str">
        <f t="shared" si="121"/>
        <v/>
      </c>
      <c r="BH77" s="87" t="str">
        <f t="shared" si="122"/>
        <v/>
      </c>
      <c r="BI77" s="49" t="str">
        <f t="shared" si="123"/>
        <v/>
      </c>
      <c r="BJ77" s="49" t="str">
        <f t="shared" si="124"/>
        <v/>
      </c>
      <c r="BK77" s="89" t="str">
        <f t="shared" si="125"/>
        <v/>
      </c>
      <c r="BL77" s="87" t="str">
        <f t="shared" si="126"/>
        <v/>
      </c>
      <c r="BM77" s="49" t="str">
        <f t="shared" si="127"/>
        <v/>
      </c>
      <c r="BN77" s="49" t="str">
        <f t="shared" si="128"/>
        <v/>
      </c>
      <c r="BO77" s="89" t="str">
        <f t="shared" si="129"/>
        <v/>
      </c>
      <c r="BP77" s="87" t="str">
        <f t="shared" si="130"/>
        <v/>
      </c>
      <c r="BQ77" s="49" t="str">
        <f t="shared" si="131"/>
        <v/>
      </c>
      <c r="BR77" s="49" t="str">
        <f t="shared" si="132"/>
        <v/>
      </c>
      <c r="BS77" s="89" t="str">
        <f t="shared" si="133"/>
        <v/>
      </c>
      <c r="BT77" s="87" t="str">
        <f t="shared" si="134"/>
        <v/>
      </c>
    </row>
    <row r="78" spans="2:72" s="93" customFormat="1">
      <c r="B78" s="81">
        <f>Weekly!B70</f>
        <v>0</v>
      </c>
      <c r="C78" s="90">
        <f>Weekly!C70</f>
        <v>0</v>
      </c>
      <c r="D78" s="90">
        <f>Weekly!D71</f>
        <v>0</v>
      </c>
      <c r="E78" s="91" t="e">
        <f>VLOOKUP(B78,Team!$B$4:$E$183,4,FALSE)</f>
        <v>#N/A</v>
      </c>
      <c r="F78" s="92" t="str">
        <f>Weekly!J70</f>
        <v/>
      </c>
      <c r="G78" s="92" t="str">
        <f>Weekly!K70</f>
        <v/>
      </c>
      <c r="H78" s="48" t="str">
        <f t="shared" si="70"/>
        <v/>
      </c>
      <c r="I78" s="48" t="str">
        <f t="shared" si="71"/>
        <v/>
      </c>
      <c r="J78" s="48" t="str">
        <f t="shared" si="72"/>
        <v/>
      </c>
      <c r="K78" s="84" t="str">
        <f t="shared" si="73"/>
        <v/>
      </c>
      <c r="L78" s="82" t="str">
        <f t="shared" si="74"/>
        <v/>
      </c>
      <c r="M78" s="48" t="str">
        <f t="shared" si="75"/>
        <v/>
      </c>
      <c r="N78" s="48" t="str">
        <f t="shared" si="76"/>
        <v/>
      </c>
      <c r="O78" s="84" t="str">
        <f t="shared" si="77"/>
        <v/>
      </c>
      <c r="P78" s="82" t="str">
        <f t="shared" si="78"/>
        <v/>
      </c>
      <c r="Q78" s="48" t="str">
        <f t="shared" si="79"/>
        <v/>
      </c>
      <c r="R78" s="48" t="str">
        <f t="shared" si="80"/>
        <v/>
      </c>
      <c r="S78" s="84" t="str">
        <f t="shared" si="81"/>
        <v/>
      </c>
      <c r="T78" s="82" t="str">
        <f t="shared" si="82"/>
        <v/>
      </c>
      <c r="U78" s="48" t="str">
        <f t="shared" si="83"/>
        <v/>
      </c>
      <c r="V78" s="48" t="str">
        <f t="shared" si="84"/>
        <v/>
      </c>
      <c r="W78" s="84" t="str">
        <f t="shared" si="85"/>
        <v/>
      </c>
      <c r="X78" s="82" t="str">
        <f t="shared" si="86"/>
        <v/>
      </c>
      <c r="Y78" s="48" t="str">
        <f t="shared" si="87"/>
        <v/>
      </c>
      <c r="Z78" s="48" t="str">
        <f t="shared" si="88"/>
        <v/>
      </c>
      <c r="AA78" s="84" t="str">
        <f t="shared" si="89"/>
        <v/>
      </c>
      <c r="AB78" s="82" t="str">
        <f t="shared" si="90"/>
        <v/>
      </c>
      <c r="AC78" s="48" t="str">
        <f t="shared" si="91"/>
        <v/>
      </c>
      <c r="AD78" s="48" t="str">
        <f t="shared" si="92"/>
        <v/>
      </c>
      <c r="AE78" s="84" t="str">
        <f t="shared" si="93"/>
        <v/>
      </c>
      <c r="AF78" s="82" t="str">
        <f t="shared" si="94"/>
        <v/>
      </c>
      <c r="AG78" s="48" t="str">
        <f t="shared" si="95"/>
        <v/>
      </c>
      <c r="AH78" s="48" t="str">
        <f t="shared" si="96"/>
        <v/>
      </c>
      <c r="AI78" s="84" t="str">
        <f t="shared" si="97"/>
        <v/>
      </c>
      <c r="AJ78" s="82" t="str">
        <f t="shared" si="98"/>
        <v/>
      </c>
      <c r="AK78" s="48" t="str">
        <f t="shared" si="99"/>
        <v/>
      </c>
      <c r="AL78" s="48" t="str">
        <f t="shared" si="100"/>
        <v/>
      </c>
      <c r="AM78" s="84" t="str">
        <f t="shared" si="101"/>
        <v/>
      </c>
      <c r="AN78" s="82" t="str">
        <f t="shared" si="102"/>
        <v/>
      </c>
      <c r="AO78" s="48" t="str">
        <f t="shared" si="103"/>
        <v/>
      </c>
      <c r="AP78" s="48" t="str">
        <f t="shared" si="104"/>
        <v/>
      </c>
      <c r="AQ78" s="84" t="str">
        <f t="shared" si="105"/>
        <v/>
      </c>
      <c r="AR78" s="82" t="str">
        <f t="shared" si="106"/>
        <v/>
      </c>
      <c r="AS78" s="48" t="str">
        <f t="shared" si="107"/>
        <v/>
      </c>
      <c r="AT78" s="48" t="str">
        <f t="shared" si="108"/>
        <v/>
      </c>
      <c r="AU78" s="84" t="str">
        <f t="shared" si="109"/>
        <v/>
      </c>
      <c r="AV78" s="82" t="str">
        <f t="shared" si="110"/>
        <v/>
      </c>
      <c r="AW78" s="48" t="str">
        <f t="shared" si="111"/>
        <v/>
      </c>
      <c r="AX78" s="48" t="str">
        <f t="shared" si="112"/>
        <v/>
      </c>
      <c r="AY78" s="84" t="str">
        <f t="shared" si="113"/>
        <v/>
      </c>
      <c r="AZ78" s="82" t="str">
        <f t="shared" si="114"/>
        <v/>
      </c>
      <c r="BA78" s="48" t="str">
        <f t="shared" si="115"/>
        <v/>
      </c>
      <c r="BB78" s="48" t="str">
        <f t="shared" si="116"/>
        <v/>
      </c>
      <c r="BC78" s="84" t="str">
        <f t="shared" si="117"/>
        <v/>
      </c>
      <c r="BD78" s="82" t="str">
        <f t="shared" si="118"/>
        <v/>
      </c>
      <c r="BE78" s="48" t="str">
        <f t="shared" si="119"/>
        <v/>
      </c>
      <c r="BF78" s="48" t="str">
        <f t="shared" si="120"/>
        <v/>
      </c>
      <c r="BG78" s="84" t="str">
        <f t="shared" si="121"/>
        <v/>
      </c>
      <c r="BH78" s="87" t="str">
        <f t="shared" si="122"/>
        <v/>
      </c>
      <c r="BI78" s="49" t="str">
        <f t="shared" si="123"/>
        <v/>
      </c>
      <c r="BJ78" s="49" t="str">
        <f t="shared" si="124"/>
        <v/>
      </c>
      <c r="BK78" s="89" t="str">
        <f t="shared" si="125"/>
        <v/>
      </c>
      <c r="BL78" s="87" t="str">
        <f t="shared" si="126"/>
        <v/>
      </c>
      <c r="BM78" s="49" t="str">
        <f t="shared" si="127"/>
        <v/>
      </c>
      <c r="BN78" s="49" t="str">
        <f t="shared" si="128"/>
        <v/>
      </c>
      <c r="BO78" s="89" t="str">
        <f t="shared" si="129"/>
        <v/>
      </c>
      <c r="BP78" s="87" t="str">
        <f t="shared" si="130"/>
        <v/>
      </c>
      <c r="BQ78" s="49" t="str">
        <f t="shared" si="131"/>
        <v/>
      </c>
      <c r="BR78" s="49" t="str">
        <f t="shared" si="132"/>
        <v/>
      </c>
      <c r="BS78" s="89" t="str">
        <f t="shared" si="133"/>
        <v/>
      </c>
      <c r="BT78" s="87" t="str">
        <f t="shared" si="134"/>
        <v/>
      </c>
    </row>
    <row r="79" spans="2:72" s="93" customFormat="1">
      <c r="B79" s="81">
        <f>Weekly!B71</f>
        <v>0</v>
      </c>
      <c r="C79" s="90">
        <f>Weekly!C71</f>
        <v>0</v>
      </c>
      <c r="D79" s="90">
        <f>Weekly!D72</f>
        <v>0</v>
      </c>
      <c r="E79" s="91" t="e">
        <f>VLOOKUP(B79,Team!$B$4:$E$183,4,FALSE)</f>
        <v>#N/A</v>
      </c>
      <c r="F79" s="92" t="str">
        <f>Weekly!J71</f>
        <v/>
      </c>
      <c r="G79" s="92" t="str">
        <f>Weekly!K71</f>
        <v/>
      </c>
      <c r="H79" s="48" t="str">
        <f t="shared" si="70"/>
        <v/>
      </c>
      <c r="I79" s="48" t="str">
        <f t="shared" si="71"/>
        <v/>
      </c>
      <c r="J79" s="48" t="str">
        <f t="shared" si="72"/>
        <v/>
      </c>
      <c r="K79" s="84" t="str">
        <f t="shared" si="73"/>
        <v/>
      </c>
      <c r="L79" s="82" t="str">
        <f t="shared" si="74"/>
        <v/>
      </c>
      <c r="M79" s="48" t="str">
        <f t="shared" si="75"/>
        <v/>
      </c>
      <c r="N79" s="48" t="str">
        <f t="shared" si="76"/>
        <v/>
      </c>
      <c r="O79" s="84" t="str">
        <f t="shared" si="77"/>
        <v/>
      </c>
      <c r="P79" s="82" t="str">
        <f t="shared" si="78"/>
        <v/>
      </c>
      <c r="Q79" s="48" t="str">
        <f t="shared" si="79"/>
        <v/>
      </c>
      <c r="R79" s="48" t="str">
        <f t="shared" si="80"/>
        <v/>
      </c>
      <c r="S79" s="84" t="str">
        <f t="shared" si="81"/>
        <v/>
      </c>
      <c r="T79" s="82" t="str">
        <f t="shared" si="82"/>
        <v/>
      </c>
      <c r="U79" s="48" t="str">
        <f t="shared" si="83"/>
        <v/>
      </c>
      <c r="V79" s="48" t="str">
        <f t="shared" si="84"/>
        <v/>
      </c>
      <c r="W79" s="84" t="str">
        <f t="shared" si="85"/>
        <v/>
      </c>
      <c r="X79" s="82" t="str">
        <f t="shared" si="86"/>
        <v/>
      </c>
      <c r="Y79" s="48" t="str">
        <f t="shared" si="87"/>
        <v/>
      </c>
      <c r="Z79" s="48" t="str">
        <f t="shared" si="88"/>
        <v/>
      </c>
      <c r="AA79" s="84" t="str">
        <f t="shared" si="89"/>
        <v/>
      </c>
      <c r="AB79" s="82" t="str">
        <f t="shared" si="90"/>
        <v/>
      </c>
      <c r="AC79" s="48" t="str">
        <f t="shared" si="91"/>
        <v/>
      </c>
      <c r="AD79" s="48" t="str">
        <f t="shared" si="92"/>
        <v/>
      </c>
      <c r="AE79" s="84" t="str">
        <f t="shared" si="93"/>
        <v/>
      </c>
      <c r="AF79" s="82" t="str">
        <f t="shared" si="94"/>
        <v/>
      </c>
      <c r="AG79" s="48" t="str">
        <f t="shared" si="95"/>
        <v/>
      </c>
      <c r="AH79" s="48" t="str">
        <f t="shared" si="96"/>
        <v/>
      </c>
      <c r="AI79" s="84" t="str">
        <f t="shared" si="97"/>
        <v/>
      </c>
      <c r="AJ79" s="82" t="str">
        <f t="shared" si="98"/>
        <v/>
      </c>
      <c r="AK79" s="48" t="str">
        <f t="shared" si="99"/>
        <v/>
      </c>
      <c r="AL79" s="48" t="str">
        <f t="shared" si="100"/>
        <v/>
      </c>
      <c r="AM79" s="84" t="str">
        <f t="shared" si="101"/>
        <v/>
      </c>
      <c r="AN79" s="82" t="str">
        <f t="shared" si="102"/>
        <v/>
      </c>
      <c r="AO79" s="48" t="str">
        <f t="shared" si="103"/>
        <v/>
      </c>
      <c r="AP79" s="48" t="str">
        <f t="shared" si="104"/>
        <v/>
      </c>
      <c r="AQ79" s="84" t="str">
        <f t="shared" si="105"/>
        <v/>
      </c>
      <c r="AR79" s="82" t="str">
        <f t="shared" si="106"/>
        <v/>
      </c>
      <c r="AS79" s="48" t="str">
        <f t="shared" si="107"/>
        <v/>
      </c>
      <c r="AT79" s="48" t="str">
        <f t="shared" si="108"/>
        <v/>
      </c>
      <c r="AU79" s="84" t="str">
        <f t="shared" si="109"/>
        <v/>
      </c>
      <c r="AV79" s="82" t="str">
        <f t="shared" si="110"/>
        <v/>
      </c>
      <c r="AW79" s="48" t="str">
        <f t="shared" si="111"/>
        <v/>
      </c>
      <c r="AX79" s="48" t="str">
        <f t="shared" si="112"/>
        <v/>
      </c>
      <c r="AY79" s="84" t="str">
        <f t="shared" si="113"/>
        <v/>
      </c>
      <c r="AZ79" s="82" t="str">
        <f t="shared" si="114"/>
        <v/>
      </c>
      <c r="BA79" s="48" t="str">
        <f t="shared" si="115"/>
        <v/>
      </c>
      <c r="BB79" s="48" t="str">
        <f t="shared" si="116"/>
        <v/>
      </c>
      <c r="BC79" s="84" t="str">
        <f t="shared" si="117"/>
        <v/>
      </c>
      <c r="BD79" s="82" t="str">
        <f t="shared" si="118"/>
        <v/>
      </c>
      <c r="BE79" s="48" t="str">
        <f t="shared" si="119"/>
        <v/>
      </c>
      <c r="BF79" s="48" t="str">
        <f t="shared" si="120"/>
        <v/>
      </c>
      <c r="BG79" s="84" t="str">
        <f t="shared" si="121"/>
        <v/>
      </c>
      <c r="BH79" s="87" t="str">
        <f t="shared" si="122"/>
        <v/>
      </c>
      <c r="BI79" s="49" t="str">
        <f t="shared" si="123"/>
        <v/>
      </c>
      <c r="BJ79" s="49" t="str">
        <f t="shared" si="124"/>
        <v/>
      </c>
      <c r="BK79" s="89" t="str">
        <f t="shared" si="125"/>
        <v/>
      </c>
      <c r="BL79" s="87" t="str">
        <f t="shared" si="126"/>
        <v/>
      </c>
      <c r="BM79" s="49" t="str">
        <f t="shared" si="127"/>
        <v/>
      </c>
      <c r="BN79" s="49" t="str">
        <f t="shared" si="128"/>
        <v/>
      </c>
      <c r="BO79" s="89" t="str">
        <f t="shared" si="129"/>
        <v/>
      </c>
      <c r="BP79" s="87" t="str">
        <f t="shared" si="130"/>
        <v/>
      </c>
      <c r="BQ79" s="49" t="str">
        <f t="shared" si="131"/>
        <v/>
      </c>
      <c r="BR79" s="49" t="str">
        <f t="shared" si="132"/>
        <v/>
      </c>
      <c r="BS79" s="89" t="str">
        <f t="shared" si="133"/>
        <v/>
      </c>
      <c r="BT79" s="87" t="str">
        <f t="shared" si="134"/>
        <v/>
      </c>
    </row>
    <row r="80" spans="2:72" s="93" customFormat="1">
      <c r="B80" s="81">
        <f>Weekly!B72</f>
        <v>0</v>
      </c>
      <c r="C80" s="90">
        <f>Weekly!C72</f>
        <v>0</v>
      </c>
      <c r="D80" s="90">
        <f>Weekly!D73</f>
        <v>0</v>
      </c>
      <c r="E80" s="91" t="e">
        <f>VLOOKUP(B80,Team!$B$4:$E$183,4,FALSE)</f>
        <v>#N/A</v>
      </c>
      <c r="F80" s="92" t="str">
        <f>Weekly!J72</f>
        <v/>
      </c>
      <c r="G80" s="92" t="str">
        <f>Weekly!K72</f>
        <v/>
      </c>
      <c r="H80" s="48" t="str">
        <f t="shared" si="70"/>
        <v/>
      </c>
      <c r="I80" s="48" t="str">
        <f t="shared" si="71"/>
        <v/>
      </c>
      <c r="J80" s="48" t="str">
        <f t="shared" si="72"/>
        <v/>
      </c>
      <c r="K80" s="84" t="str">
        <f t="shared" si="73"/>
        <v/>
      </c>
      <c r="L80" s="82" t="str">
        <f t="shared" si="74"/>
        <v/>
      </c>
      <c r="M80" s="48" t="str">
        <f t="shared" si="75"/>
        <v/>
      </c>
      <c r="N80" s="48" t="str">
        <f t="shared" si="76"/>
        <v/>
      </c>
      <c r="O80" s="84" t="str">
        <f t="shared" si="77"/>
        <v/>
      </c>
      <c r="P80" s="82" t="str">
        <f t="shared" si="78"/>
        <v/>
      </c>
      <c r="Q80" s="48" t="str">
        <f t="shared" si="79"/>
        <v/>
      </c>
      <c r="R80" s="48" t="str">
        <f t="shared" si="80"/>
        <v/>
      </c>
      <c r="S80" s="84" t="str">
        <f t="shared" si="81"/>
        <v/>
      </c>
      <c r="T80" s="82" t="str">
        <f t="shared" si="82"/>
        <v/>
      </c>
      <c r="U80" s="48" t="str">
        <f t="shared" si="83"/>
        <v/>
      </c>
      <c r="V80" s="48" t="str">
        <f t="shared" si="84"/>
        <v/>
      </c>
      <c r="W80" s="84" t="str">
        <f t="shared" si="85"/>
        <v/>
      </c>
      <c r="X80" s="82" t="str">
        <f t="shared" si="86"/>
        <v/>
      </c>
      <c r="Y80" s="48" t="str">
        <f t="shared" si="87"/>
        <v/>
      </c>
      <c r="Z80" s="48" t="str">
        <f t="shared" si="88"/>
        <v/>
      </c>
      <c r="AA80" s="84" t="str">
        <f t="shared" si="89"/>
        <v/>
      </c>
      <c r="AB80" s="82" t="str">
        <f t="shared" si="90"/>
        <v/>
      </c>
      <c r="AC80" s="48" t="str">
        <f t="shared" si="91"/>
        <v/>
      </c>
      <c r="AD80" s="48" t="str">
        <f t="shared" si="92"/>
        <v/>
      </c>
      <c r="AE80" s="84" t="str">
        <f t="shared" si="93"/>
        <v/>
      </c>
      <c r="AF80" s="82" t="str">
        <f t="shared" si="94"/>
        <v/>
      </c>
      <c r="AG80" s="48" t="str">
        <f t="shared" si="95"/>
        <v/>
      </c>
      <c r="AH80" s="48" t="str">
        <f t="shared" si="96"/>
        <v/>
      </c>
      <c r="AI80" s="84" t="str">
        <f t="shared" si="97"/>
        <v/>
      </c>
      <c r="AJ80" s="82" t="str">
        <f t="shared" si="98"/>
        <v/>
      </c>
      <c r="AK80" s="48" t="str">
        <f t="shared" si="99"/>
        <v/>
      </c>
      <c r="AL80" s="48" t="str">
        <f t="shared" si="100"/>
        <v/>
      </c>
      <c r="AM80" s="84" t="str">
        <f t="shared" si="101"/>
        <v/>
      </c>
      <c r="AN80" s="82" t="str">
        <f t="shared" si="102"/>
        <v/>
      </c>
      <c r="AO80" s="48" t="str">
        <f t="shared" si="103"/>
        <v/>
      </c>
      <c r="AP80" s="48" t="str">
        <f t="shared" si="104"/>
        <v/>
      </c>
      <c r="AQ80" s="84" t="str">
        <f t="shared" si="105"/>
        <v/>
      </c>
      <c r="AR80" s="82" t="str">
        <f t="shared" si="106"/>
        <v/>
      </c>
      <c r="AS80" s="48" t="str">
        <f t="shared" si="107"/>
        <v/>
      </c>
      <c r="AT80" s="48" t="str">
        <f t="shared" si="108"/>
        <v/>
      </c>
      <c r="AU80" s="84" t="str">
        <f t="shared" si="109"/>
        <v/>
      </c>
      <c r="AV80" s="82" t="str">
        <f t="shared" si="110"/>
        <v/>
      </c>
      <c r="AW80" s="48" t="str">
        <f t="shared" si="111"/>
        <v/>
      </c>
      <c r="AX80" s="48" t="str">
        <f t="shared" si="112"/>
        <v/>
      </c>
      <c r="AY80" s="84" t="str">
        <f t="shared" si="113"/>
        <v/>
      </c>
      <c r="AZ80" s="82" t="str">
        <f t="shared" si="114"/>
        <v/>
      </c>
      <c r="BA80" s="48" t="str">
        <f t="shared" si="115"/>
        <v/>
      </c>
      <c r="BB80" s="48" t="str">
        <f t="shared" si="116"/>
        <v/>
      </c>
      <c r="BC80" s="84" t="str">
        <f t="shared" si="117"/>
        <v/>
      </c>
      <c r="BD80" s="82" t="str">
        <f t="shared" si="118"/>
        <v/>
      </c>
      <c r="BE80" s="48" t="str">
        <f t="shared" si="119"/>
        <v/>
      </c>
      <c r="BF80" s="48" t="str">
        <f t="shared" si="120"/>
        <v/>
      </c>
      <c r="BG80" s="84" t="str">
        <f t="shared" si="121"/>
        <v/>
      </c>
      <c r="BH80" s="87" t="str">
        <f t="shared" si="122"/>
        <v/>
      </c>
      <c r="BI80" s="49" t="str">
        <f t="shared" si="123"/>
        <v/>
      </c>
      <c r="BJ80" s="49" t="str">
        <f t="shared" si="124"/>
        <v/>
      </c>
      <c r="BK80" s="89" t="str">
        <f t="shared" si="125"/>
        <v/>
      </c>
      <c r="BL80" s="87" t="str">
        <f t="shared" si="126"/>
        <v/>
      </c>
      <c r="BM80" s="49" t="str">
        <f t="shared" si="127"/>
        <v/>
      </c>
      <c r="BN80" s="49" t="str">
        <f t="shared" si="128"/>
        <v/>
      </c>
      <c r="BO80" s="89" t="str">
        <f t="shared" si="129"/>
        <v/>
      </c>
      <c r="BP80" s="87" t="str">
        <f t="shared" si="130"/>
        <v/>
      </c>
      <c r="BQ80" s="49" t="str">
        <f t="shared" si="131"/>
        <v/>
      </c>
      <c r="BR80" s="49" t="str">
        <f t="shared" si="132"/>
        <v/>
      </c>
      <c r="BS80" s="89" t="str">
        <f t="shared" si="133"/>
        <v/>
      </c>
      <c r="BT80" s="87" t="str">
        <f t="shared" si="134"/>
        <v/>
      </c>
    </row>
    <row r="81" spans="2:72" s="93" customFormat="1">
      <c r="B81" s="81">
        <f>Weekly!B73</f>
        <v>0</v>
      </c>
      <c r="C81" s="90">
        <f>Weekly!C73</f>
        <v>0</v>
      </c>
      <c r="D81" s="90">
        <f>Weekly!D74</f>
        <v>0</v>
      </c>
      <c r="E81" s="91" t="e">
        <f>VLOOKUP(B81,Team!$B$4:$E$183,4,FALSE)</f>
        <v>#N/A</v>
      </c>
      <c r="F81" s="92" t="str">
        <f>Weekly!J73</f>
        <v/>
      </c>
      <c r="G81" s="92" t="str">
        <f>Weekly!K73</f>
        <v/>
      </c>
      <c r="H81" s="48" t="str">
        <f t="shared" ref="H81:H103" si="135">IF(AND($H$12&gt;=$F81,$H$12&lt;$G81),$E81,"")</f>
        <v/>
      </c>
      <c r="I81" s="48" t="str">
        <f t="shared" ref="I81:I103" si="136">IF(AND($I$12&gt;=$F81,$I$12&lt;$G81),$E81,"")</f>
        <v/>
      </c>
      <c r="J81" s="48" t="str">
        <f t="shared" ref="J81:J103" si="137">IF(AND($J$12&gt;=$F81,$J$12&lt;$G81),$E81,"")</f>
        <v/>
      </c>
      <c r="K81" s="84" t="str">
        <f t="shared" ref="K81:K103" si="138">IF(AND($K$12&gt;=$F81,$K$12&lt;$G81),$E81,"")</f>
        <v/>
      </c>
      <c r="L81" s="82" t="str">
        <f t="shared" ref="L81:L103" si="139">IF(AND($L$12&gt;=$F81,$L$12&lt;$G81),$E81,"")</f>
        <v/>
      </c>
      <c r="M81" s="48" t="str">
        <f t="shared" ref="M81:M103" si="140">IF(AND($M$12&gt;=$F81,$M$12&lt;$G81),$E81,"")</f>
        <v/>
      </c>
      <c r="N81" s="48" t="str">
        <f t="shared" ref="N81:N103" si="141">IF(AND($N$12&gt;=$F81,$N$12&lt;$G81),$E81,"")</f>
        <v/>
      </c>
      <c r="O81" s="84" t="str">
        <f t="shared" ref="O81:O103" si="142">IF(AND($O$12&gt;=$F81,$O$12&lt;$G81),$E81,"")</f>
        <v/>
      </c>
      <c r="P81" s="82" t="str">
        <f t="shared" ref="P81:P103" si="143">IF(AND($P$12&gt;=$F81,$P$12&lt;$G81),$E81,"")</f>
        <v/>
      </c>
      <c r="Q81" s="48" t="str">
        <f t="shared" ref="Q81:Q103" si="144">IF(AND($Q$12&gt;=$F81,$Q$12&lt;$G81),$E81,"")</f>
        <v/>
      </c>
      <c r="R81" s="48" t="str">
        <f t="shared" ref="R81:R103" si="145">IF(AND($R$12&gt;=$F81,$R$12&lt;$G81),$E81,"")</f>
        <v/>
      </c>
      <c r="S81" s="84" t="str">
        <f t="shared" ref="S81:S103" si="146">IF(AND($S$12&gt;=$F81,$S$12&lt;$G81),$E81,"")</f>
        <v/>
      </c>
      <c r="T81" s="82" t="str">
        <f t="shared" ref="T81:T103" si="147">IF(AND($T$12&gt;=$F81,$T$12&lt;$G81),$E81,"")</f>
        <v/>
      </c>
      <c r="U81" s="48" t="str">
        <f t="shared" ref="U81:U103" si="148">IF(AND($U$12&gt;=$F81,$U$12&lt;$G81),$E81,"")</f>
        <v/>
      </c>
      <c r="V81" s="48" t="str">
        <f t="shared" ref="V81:V103" si="149">IF(AND($V$12&gt;=$F81,$V$12&lt;$G81),$E81,"")</f>
        <v/>
      </c>
      <c r="W81" s="84" t="str">
        <f t="shared" ref="W81:W103" si="150">IF(AND($W$12&gt;=$F81,$W$12&lt;$G81),$E81,"")</f>
        <v/>
      </c>
      <c r="X81" s="82" t="str">
        <f t="shared" ref="X81:X103" si="151">IF(AND($X$12&gt;=$F81,$X$12&lt;$G81),$E81,"")</f>
        <v/>
      </c>
      <c r="Y81" s="48" t="str">
        <f t="shared" ref="Y81:Y103" si="152">IF(AND($Y$12&gt;=$F81,$Y$12&lt;$G81),$E81,"")</f>
        <v/>
      </c>
      <c r="Z81" s="48" t="str">
        <f t="shared" ref="Z81:Z103" si="153">IF(AND($Z$12&gt;=$F81,$Z$12&lt;$G81),$E81,"")</f>
        <v/>
      </c>
      <c r="AA81" s="84" t="str">
        <f t="shared" ref="AA81:AA103" si="154">IF(AND($AA$12&gt;=$F81,$AA$12&lt;$G81),$E81,"")</f>
        <v/>
      </c>
      <c r="AB81" s="82" t="str">
        <f t="shared" ref="AB81:AB103" si="155">IF(AND($AB$12&gt;=$F81,$AB$12&lt;$G81),$E81,"")</f>
        <v/>
      </c>
      <c r="AC81" s="48" t="str">
        <f t="shared" ref="AC81:AC103" si="156">IF(AND($AC$12&gt;=$F81,$AC$12&lt;$G81),$E81,"")</f>
        <v/>
      </c>
      <c r="AD81" s="48" t="str">
        <f t="shared" ref="AD81:AD103" si="157">IF(AND($AD$12&gt;=$F81,$AD$12&lt;$G81),$E81,"")</f>
        <v/>
      </c>
      <c r="AE81" s="84" t="str">
        <f t="shared" ref="AE81:AE103" si="158">IF(AND($AE$12&gt;=$F81,$AE$12&lt;$G81),$E81,"")</f>
        <v/>
      </c>
      <c r="AF81" s="82" t="str">
        <f t="shared" ref="AF81:AF103" si="159">IF(AND($AF$12&gt;=$F81,$AF$12&lt;$G81),$E81,"")</f>
        <v/>
      </c>
      <c r="AG81" s="48" t="str">
        <f t="shared" ref="AG81:AG103" si="160">IF(AND($AG$12&gt;=$F81,$AG$12&lt;$G81),$E81,"")</f>
        <v/>
      </c>
      <c r="AH81" s="48" t="str">
        <f t="shared" ref="AH81:AH103" si="161">IF(AND($AH$12&gt;=$F81,$AH$12&lt;$G81),$E81,"")</f>
        <v/>
      </c>
      <c r="AI81" s="84" t="str">
        <f t="shared" ref="AI81:AI103" si="162">IF(AND($AI$12&gt;=$F81,$AI$12&lt;$G81),$E81,"")</f>
        <v/>
      </c>
      <c r="AJ81" s="82" t="str">
        <f t="shared" ref="AJ81:AJ103" si="163">IF(AND($AJ$12&gt;=$F81,$AJ$12&lt;$G81),$E81,"")</f>
        <v/>
      </c>
      <c r="AK81" s="48" t="str">
        <f t="shared" ref="AK81:AK103" si="164">IF(AND($AK$12&gt;=$F81,$AK$12&lt;$G81),$E81,"")</f>
        <v/>
      </c>
      <c r="AL81" s="48" t="str">
        <f t="shared" ref="AL81:AL103" si="165">IF(AND($AL$12&gt;=$F81,$AL$12&lt;$G81),$E81,"")</f>
        <v/>
      </c>
      <c r="AM81" s="84" t="str">
        <f t="shared" ref="AM81:AM103" si="166">IF(AND($AM$12&gt;=$F81,$AM$12&lt;$G81),$E81,"")</f>
        <v/>
      </c>
      <c r="AN81" s="82" t="str">
        <f t="shared" ref="AN81:AN103" si="167">IF(AND($AN$12&gt;=$F81,$AN$12&lt;$G81),$E81,"")</f>
        <v/>
      </c>
      <c r="AO81" s="48" t="str">
        <f t="shared" ref="AO81:AO103" si="168">IF(AND($AO$12&gt;=$F81,$AO$12&lt;$G81),$E81,"")</f>
        <v/>
      </c>
      <c r="AP81" s="48" t="str">
        <f t="shared" ref="AP81:AP103" si="169">IF(AND($AP$12&gt;=$F81,$AP$12&lt;$G81),$E81,"")</f>
        <v/>
      </c>
      <c r="AQ81" s="84" t="str">
        <f t="shared" ref="AQ81:AQ103" si="170">IF(AND($AQ$12&gt;=$F81,$AQ$12&lt;$G81),$E81,"")</f>
        <v/>
      </c>
      <c r="AR81" s="82" t="str">
        <f t="shared" ref="AR81:AR103" si="171">IF(AND($AR$12&gt;=$F81,$AR$12&lt;$G81),$E81,"")</f>
        <v/>
      </c>
      <c r="AS81" s="48" t="str">
        <f t="shared" ref="AS81:AS103" si="172">IF(AND($AS$12&gt;=$F81,$AS$12&lt;$G81),$E81,"")</f>
        <v/>
      </c>
      <c r="AT81" s="48" t="str">
        <f t="shared" ref="AT81:AT103" si="173">IF(AND($AT$12&gt;=$F81,$AT$12&lt;$G81),$E81,"")</f>
        <v/>
      </c>
      <c r="AU81" s="84" t="str">
        <f t="shared" ref="AU81:AU103" si="174">IF(AND($AU$12&gt;=$F81,$AU$12&lt;$G81),$E81,"")</f>
        <v/>
      </c>
      <c r="AV81" s="82" t="str">
        <f t="shared" ref="AV81:AV103" si="175">IF(AND($AV$12&gt;=$F81,$AV$12&lt;$G81),$E81,"")</f>
        <v/>
      </c>
      <c r="AW81" s="48" t="str">
        <f t="shared" ref="AW81:AW103" si="176">IF(AND($AW$12&gt;=$F81,$AW$12&lt;$G81),$E81,"")</f>
        <v/>
      </c>
      <c r="AX81" s="48" t="str">
        <f t="shared" ref="AX81:AX103" si="177">IF(AND($AX$12&gt;=$F81,$AX$12&lt;$G81),$E81,"")</f>
        <v/>
      </c>
      <c r="AY81" s="84" t="str">
        <f t="shared" ref="AY81:AY103" si="178">IF(AND($AY$12&gt;=$F81,$AY$12&lt;$G81),$E81,"")</f>
        <v/>
      </c>
      <c r="AZ81" s="82" t="str">
        <f t="shared" ref="AZ81:AZ103" si="179">IF(AND($AZ$12&gt;=$F81,$AZ$12&lt;$G81),$E81,"")</f>
        <v/>
      </c>
      <c r="BA81" s="48" t="str">
        <f t="shared" ref="BA81:BA103" si="180">IF(AND($BA$12&gt;=$F81,$BA$12&lt;$G81),$E81,"")</f>
        <v/>
      </c>
      <c r="BB81" s="48" t="str">
        <f t="shared" ref="BB81:BB103" si="181">IF(AND($BB$12&gt;=$F81,$BB$12&lt;$G81),$E81,"")</f>
        <v/>
      </c>
      <c r="BC81" s="84" t="str">
        <f t="shared" ref="BC81:BC103" si="182">IF(AND($BC$12&gt;=$F81,$BC$12&lt;$G81),$E81,"")</f>
        <v/>
      </c>
      <c r="BD81" s="82" t="str">
        <f t="shared" ref="BD81:BD103" si="183">IF(AND($BD$12&gt;=$F81,$BD$12&lt;$G81),$E81,"")</f>
        <v/>
      </c>
      <c r="BE81" s="48" t="str">
        <f t="shared" ref="BE81:BE103" si="184">IF(AND($BE$12&gt;=$F81,$BE$12&lt;$G81),$E81,"")</f>
        <v/>
      </c>
      <c r="BF81" s="48" t="str">
        <f t="shared" ref="BF81:BF103" si="185">IF(AND($BF$12&gt;=$F81,$BF$12&lt;$G81),$E81,"")</f>
        <v/>
      </c>
      <c r="BG81" s="84" t="str">
        <f t="shared" ref="BG81:BG103" si="186">IF(AND($BG$12&gt;=$F81,$BG$12&lt;$G81),$E81,"")</f>
        <v/>
      </c>
      <c r="BH81" s="87" t="str">
        <f t="shared" ref="BH81:BH103" si="187">IF(AND($BH$12&gt;=$F81,$BH$12&lt;$G81),$E81,"")</f>
        <v/>
      </c>
      <c r="BI81" s="49" t="str">
        <f t="shared" ref="BI81:BI103" si="188">IF(AND($BI$12&gt;=$F81,$BI$12&lt;$G81),$E81,"")</f>
        <v/>
      </c>
      <c r="BJ81" s="49" t="str">
        <f t="shared" ref="BJ81:BJ103" si="189">IF(AND($BJ$12&gt;=$F81,$BJ$12&lt;$G81),$E81,"")</f>
        <v/>
      </c>
      <c r="BK81" s="89" t="str">
        <f t="shared" ref="BK81:BK103" si="190">IF(AND($BK$12&gt;=$F81,$BK$12&lt;$G81),$E81,"")</f>
        <v/>
      </c>
      <c r="BL81" s="87" t="str">
        <f t="shared" ref="BL81:BL103" si="191">IF(AND($BL$12&gt;=$F81,$BL$12&lt;$G81),$E81,"")</f>
        <v/>
      </c>
      <c r="BM81" s="49" t="str">
        <f t="shared" ref="BM81:BM103" si="192">IF(AND($BM$12&gt;=$F81,$BM$12&lt;$G81),$E81,"")</f>
        <v/>
      </c>
      <c r="BN81" s="49" t="str">
        <f t="shared" ref="BN81:BN103" si="193">IF(AND($BN$12&gt;=$F81,$BN$12&lt;$G81),$E81,"")</f>
        <v/>
      </c>
      <c r="BO81" s="89" t="str">
        <f t="shared" ref="BO81:BO103" si="194">IF(AND($BO$12&gt;=$F81,$BO$12&lt;$G81),$E81,"")</f>
        <v/>
      </c>
      <c r="BP81" s="87" t="str">
        <f t="shared" ref="BP81:BP103" si="195">IF(AND($BP$12&gt;=$F81,$BP$12&lt;$G81),$E81,"")</f>
        <v/>
      </c>
      <c r="BQ81" s="49" t="str">
        <f t="shared" ref="BQ81:BQ103" si="196">IF(AND($BQ$12&gt;=$F81,$BQ$12&lt;$G81),$E81,"")</f>
        <v/>
      </c>
      <c r="BR81" s="49" t="str">
        <f t="shared" ref="BR81:BR103" si="197">IF(AND($BR$12&gt;=$F81,$BR$12&lt;$G81),$E81,"")</f>
        <v/>
      </c>
      <c r="BS81" s="89" t="str">
        <f t="shared" ref="BS81:BS103" si="198">IF(AND($BS$12&gt;=$F81,$BS$12&lt;$G81),$E81,"")</f>
        <v/>
      </c>
      <c r="BT81" s="87" t="str">
        <f t="shared" ref="BT81:BT103" si="199">IF(AND($BT$12&gt;=$F81,$BT$12&lt;$G81),$E81,"")</f>
        <v/>
      </c>
    </row>
    <row r="82" spans="2:72" s="93" customFormat="1">
      <c r="B82" s="81">
        <f>Weekly!B74</f>
        <v>0</v>
      </c>
      <c r="C82" s="90">
        <f>Weekly!C74</f>
        <v>0</v>
      </c>
      <c r="D82" s="90">
        <f>Weekly!D75</f>
        <v>0</v>
      </c>
      <c r="E82" s="91" t="e">
        <f>VLOOKUP(B82,Team!$B$4:$E$183,4,FALSE)</f>
        <v>#N/A</v>
      </c>
      <c r="F82" s="92" t="str">
        <f>Weekly!J74</f>
        <v/>
      </c>
      <c r="G82" s="92" t="str">
        <f>Weekly!K74</f>
        <v/>
      </c>
      <c r="H82" s="48" t="str">
        <f t="shared" si="135"/>
        <v/>
      </c>
      <c r="I82" s="48" t="str">
        <f t="shared" si="136"/>
        <v/>
      </c>
      <c r="J82" s="48" t="str">
        <f t="shared" si="137"/>
        <v/>
      </c>
      <c r="K82" s="84" t="str">
        <f t="shared" si="138"/>
        <v/>
      </c>
      <c r="L82" s="82" t="str">
        <f t="shared" si="139"/>
        <v/>
      </c>
      <c r="M82" s="48" t="str">
        <f t="shared" si="140"/>
        <v/>
      </c>
      <c r="N82" s="48" t="str">
        <f t="shared" si="141"/>
        <v/>
      </c>
      <c r="O82" s="84" t="str">
        <f t="shared" si="142"/>
        <v/>
      </c>
      <c r="P82" s="82" t="str">
        <f t="shared" si="143"/>
        <v/>
      </c>
      <c r="Q82" s="48" t="str">
        <f t="shared" si="144"/>
        <v/>
      </c>
      <c r="R82" s="48" t="str">
        <f t="shared" si="145"/>
        <v/>
      </c>
      <c r="S82" s="84" t="str">
        <f t="shared" si="146"/>
        <v/>
      </c>
      <c r="T82" s="82" t="str">
        <f t="shared" si="147"/>
        <v/>
      </c>
      <c r="U82" s="48" t="str">
        <f t="shared" si="148"/>
        <v/>
      </c>
      <c r="V82" s="48" t="str">
        <f t="shared" si="149"/>
        <v/>
      </c>
      <c r="W82" s="84" t="str">
        <f t="shared" si="150"/>
        <v/>
      </c>
      <c r="X82" s="82" t="str">
        <f t="shared" si="151"/>
        <v/>
      </c>
      <c r="Y82" s="48" t="str">
        <f t="shared" si="152"/>
        <v/>
      </c>
      <c r="Z82" s="48" t="str">
        <f t="shared" si="153"/>
        <v/>
      </c>
      <c r="AA82" s="84" t="str">
        <f t="shared" si="154"/>
        <v/>
      </c>
      <c r="AB82" s="82" t="str">
        <f t="shared" si="155"/>
        <v/>
      </c>
      <c r="AC82" s="48" t="str">
        <f t="shared" si="156"/>
        <v/>
      </c>
      <c r="AD82" s="48" t="str">
        <f t="shared" si="157"/>
        <v/>
      </c>
      <c r="AE82" s="84" t="str">
        <f t="shared" si="158"/>
        <v/>
      </c>
      <c r="AF82" s="82" t="str">
        <f t="shared" si="159"/>
        <v/>
      </c>
      <c r="AG82" s="48" t="str">
        <f t="shared" si="160"/>
        <v/>
      </c>
      <c r="AH82" s="48" t="str">
        <f t="shared" si="161"/>
        <v/>
      </c>
      <c r="AI82" s="84" t="str">
        <f t="shared" si="162"/>
        <v/>
      </c>
      <c r="AJ82" s="82" t="str">
        <f t="shared" si="163"/>
        <v/>
      </c>
      <c r="AK82" s="48" t="str">
        <f t="shared" si="164"/>
        <v/>
      </c>
      <c r="AL82" s="48" t="str">
        <f t="shared" si="165"/>
        <v/>
      </c>
      <c r="AM82" s="84" t="str">
        <f t="shared" si="166"/>
        <v/>
      </c>
      <c r="AN82" s="82" t="str">
        <f t="shared" si="167"/>
        <v/>
      </c>
      <c r="AO82" s="48" t="str">
        <f t="shared" si="168"/>
        <v/>
      </c>
      <c r="AP82" s="48" t="str">
        <f t="shared" si="169"/>
        <v/>
      </c>
      <c r="AQ82" s="84" t="str">
        <f t="shared" si="170"/>
        <v/>
      </c>
      <c r="AR82" s="82" t="str">
        <f t="shared" si="171"/>
        <v/>
      </c>
      <c r="AS82" s="48" t="str">
        <f t="shared" si="172"/>
        <v/>
      </c>
      <c r="AT82" s="48" t="str">
        <f t="shared" si="173"/>
        <v/>
      </c>
      <c r="AU82" s="84" t="str">
        <f t="shared" si="174"/>
        <v/>
      </c>
      <c r="AV82" s="82" t="str">
        <f t="shared" si="175"/>
        <v/>
      </c>
      <c r="AW82" s="48" t="str">
        <f t="shared" si="176"/>
        <v/>
      </c>
      <c r="AX82" s="48" t="str">
        <f t="shared" si="177"/>
        <v/>
      </c>
      <c r="AY82" s="84" t="str">
        <f t="shared" si="178"/>
        <v/>
      </c>
      <c r="AZ82" s="82" t="str">
        <f t="shared" si="179"/>
        <v/>
      </c>
      <c r="BA82" s="48" t="str">
        <f t="shared" si="180"/>
        <v/>
      </c>
      <c r="BB82" s="48" t="str">
        <f t="shared" si="181"/>
        <v/>
      </c>
      <c r="BC82" s="84" t="str">
        <f t="shared" si="182"/>
        <v/>
      </c>
      <c r="BD82" s="82" t="str">
        <f t="shared" si="183"/>
        <v/>
      </c>
      <c r="BE82" s="48" t="str">
        <f t="shared" si="184"/>
        <v/>
      </c>
      <c r="BF82" s="48" t="str">
        <f t="shared" si="185"/>
        <v/>
      </c>
      <c r="BG82" s="84" t="str">
        <f t="shared" si="186"/>
        <v/>
      </c>
      <c r="BH82" s="87" t="str">
        <f t="shared" si="187"/>
        <v/>
      </c>
      <c r="BI82" s="49" t="str">
        <f t="shared" si="188"/>
        <v/>
      </c>
      <c r="BJ82" s="49" t="str">
        <f t="shared" si="189"/>
        <v/>
      </c>
      <c r="BK82" s="89" t="str">
        <f t="shared" si="190"/>
        <v/>
      </c>
      <c r="BL82" s="87" t="str">
        <f t="shared" si="191"/>
        <v/>
      </c>
      <c r="BM82" s="49" t="str">
        <f t="shared" si="192"/>
        <v/>
      </c>
      <c r="BN82" s="49" t="str">
        <f t="shared" si="193"/>
        <v/>
      </c>
      <c r="BO82" s="89" t="str">
        <f t="shared" si="194"/>
        <v/>
      </c>
      <c r="BP82" s="87" t="str">
        <f t="shared" si="195"/>
        <v/>
      </c>
      <c r="BQ82" s="49" t="str">
        <f t="shared" si="196"/>
        <v/>
      </c>
      <c r="BR82" s="49" t="str">
        <f t="shared" si="197"/>
        <v/>
      </c>
      <c r="BS82" s="89" t="str">
        <f t="shared" si="198"/>
        <v/>
      </c>
      <c r="BT82" s="87" t="str">
        <f t="shared" si="199"/>
        <v/>
      </c>
    </row>
    <row r="83" spans="2:72" s="93" customFormat="1">
      <c r="B83" s="81">
        <f>Weekly!B75</f>
        <v>0</v>
      </c>
      <c r="C83" s="90">
        <f>Weekly!C75</f>
        <v>0</v>
      </c>
      <c r="D83" s="90">
        <f>Weekly!D76</f>
        <v>0</v>
      </c>
      <c r="E83" s="91" t="e">
        <f>VLOOKUP(B83,Team!$B$4:$E$183,4,FALSE)</f>
        <v>#N/A</v>
      </c>
      <c r="F83" s="92" t="str">
        <f>Weekly!J75</f>
        <v/>
      </c>
      <c r="G83" s="92" t="str">
        <f>Weekly!K75</f>
        <v/>
      </c>
      <c r="H83" s="48" t="str">
        <f t="shared" si="135"/>
        <v/>
      </c>
      <c r="I83" s="48" t="str">
        <f t="shared" si="136"/>
        <v/>
      </c>
      <c r="J83" s="48" t="str">
        <f t="shared" si="137"/>
        <v/>
      </c>
      <c r="K83" s="84" t="str">
        <f t="shared" si="138"/>
        <v/>
      </c>
      <c r="L83" s="82" t="str">
        <f t="shared" si="139"/>
        <v/>
      </c>
      <c r="M83" s="48" t="str">
        <f t="shared" si="140"/>
        <v/>
      </c>
      <c r="N83" s="48" t="str">
        <f t="shared" si="141"/>
        <v/>
      </c>
      <c r="O83" s="84" t="str">
        <f t="shared" si="142"/>
        <v/>
      </c>
      <c r="P83" s="82" t="str">
        <f t="shared" si="143"/>
        <v/>
      </c>
      <c r="Q83" s="48" t="str">
        <f t="shared" si="144"/>
        <v/>
      </c>
      <c r="R83" s="48" t="str">
        <f t="shared" si="145"/>
        <v/>
      </c>
      <c r="S83" s="84" t="str">
        <f t="shared" si="146"/>
        <v/>
      </c>
      <c r="T83" s="82" t="str">
        <f t="shared" si="147"/>
        <v/>
      </c>
      <c r="U83" s="48" t="str">
        <f t="shared" si="148"/>
        <v/>
      </c>
      <c r="V83" s="48" t="str">
        <f t="shared" si="149"/>
        <v/>
      </c>
      <c r="W83" s="84" t="str">
        <f t="shared" si="150"/>
        <v/>
      </c>
      <c r="X83" s="82" t="str">
        <f t="shared" si="151"/>
        <v/>
      </c>
      <c r="Y83" s="48" t="str">
        <f t="shared" si="152"/>
        <v/>
      </c>
      <c r="Z83" s="48" t="str">
        <f t="shared" si="153"/>
        <v/>
      </c>
      <c r="AA83" s="84" t="str">
        <f t="shared" si="154"/>
        <v/>
      </c>
      <c r="AB83" s="82" t="str">
        <f t="shared" si="155"/>
        <v/>
      </c>
      <c r="AC83" s="48" t="str">
        <f t="shared" si="156"/>
        <v/>
      </c>
      <c r="AD83" s="48" t="str">
        <f t="shared" si="157"/>
        <v/>
      </c>
      <c r="AE83" s="84" t="str">
        <f t="shared" si="158"/>
        <v/>
      </c>
      <c r="AF83" s="82" t="str">
        <f t="shared" si="159"/>
        <v/>
      </c>
      <c r="AG83" s="48" t="str">
        <f t="shared" si="160"/>
        <v/>
      </c>
      <c r="AH83" s="48" t="str">
        <f t="shared" si="161"/>
        <v/>
      </c>
      <c r="AI83" s="84" t="str">
        <f t="shared" si="162"/>
        <v/>
      </c>
      <c r="AJ83" s="82" t="str">
        <f t="shared" si="163"/>
        <v/>
      </c>
      <c r="AK83" s="48" t="str">
        <f t="shared" si="164"/>
        <v/>
      </c>
      <c r="AL83" s="48" t="str">
        <f t="shared" si="165"/>
        <v/>
      </c>
      <c r="AM83" s="84" t="str">
        <f t="shared" si="166"/>
        <v/>
      </c>
      <c r="AN83" s="82" t="str">
        <f t="shared" si="167"/>
        <v/>
      </c>
      <c r="AO83" s="48" t="str">
        <f t="shared" si="168"/>
        <v/>
      </c>
      <c r="AP83" s="48" t="str">
        <f t="shared" si="169"/>
        <v/>
      </c>
      <c r="AQ83" s="84" t="str">
        <f t="shared" si="170"/>
        <v/>
      </c>
      <c r="AR83" s="82" t="str">
        <f t="shared" si="171"/>
        <v/>
      </c>
      <c r="AS83" s="48" t="str">
        <f t="shared" si="172"/>
        <v/>
      </c>
      <c r="AT83" s="48" t="str">
        <f t="shared" si="173"/>
        <v/>
      </c>
      <c r="AU83" s="84" t="str">
        <f t="shared" si="174"/>
        <v/>
      </c>
      <c r="AV83" s="82" t="str">
        <f t="shared" si="175"/>
        <v/>
      </c>
      <c r="AW83" s="48" t="str">
        <f t="shared" si="176"/>
        <v/>
      </c>
      <c r="AX83" s="48" t="str">
        <f t="shared" si="177"/>
        <v/>
      </c>
      <c r="AY83" s="84" t="str">
        <f t="shared" si="178"/>
        <v/>
      </c>
      <c r="AZ83" s="82" t="str">
        <f t="shared" si="179"/>
        <v/>
      </c>
      <c r="BA83" s="48" t="str">
        <f t="shared" si="180"/>
        <v/>
      </c>
      <c r="BB83" s="48" t="str">
        <f t="shared" si="181"/>
        <v/>
      </c>
      <c r="BC83" s="84" t="str">
        <f t="shared" si="182"/>
        <v/>
      </c>
      <c r="BD83" s="82" t="str">
        <f t="shared" si="183"/>
        <v/>
      </c>
      <c r="BE83" s="48" t="str">
        <f t="shared" si="184"/>
        <v/>
      </c>
      <c r="BF83" s="48" t="str">
        <f t="shared" si="185"/>
        <v/>
      </c>
      <c r="BG83" s="84" t="str">
        <f t="shared" si="186"/>
        <v/>
      </c>
      <c r="BH83" s="87" t="str">
        <f t="shared" si="187"/>
        <v/>
      </c>
      <c r="BI83" s="49" t="str">
        <f t="shared" si="188"/>
        <v/>
      </c>
      <c r="BJ83" s="49" t="str">
        <f t="shared" si="189"/>
        <v/>
      </c>
      <c r="BK83" s="89" t="str">
        <f t="shared" si="190"/>
        <v/>
      </c>
      <c r="BL83" s="87" t="str">
        <f t="shared" si="191"/>
        <v/>
      </c>
      <c r="BM83" s="49" t="str">
        <f t="shared" si="192"/>
        <v/>
      </c>
      <c r="BN83" s="49" t="str">
        <f t="shared" si="193"/>
        <v/>
      </c>
      <c r="BO83" s="89" t="str">
        <f t="shared" si="194"/>
        <v/>
      </c>
      <c r="BP83" s="87" t="str">
        <f t="shared" si="195"/>
        <v/>
      </c>
      <c r="BQ83" s="49" t="str">
        <f t="shared" si="196"/>
        <v/>
      </c>
      <c r="BR83" s="49" t="str">
        <f t="shared" si="197"/>
        <v/>
      </c>
      <c r="BS83" s="89" t="str">
        <f t="shared" si="198"/>
        <v/>
      </c>
      <c r="BT83" s="87" t="str">
        <f t="shared" si="199"/>
        <v/>
      </c>
    </row>
    <row r="84" spans="2:72" s="93" customFormat="1">
      <c r="B84" s="81">
        <f>Weekly!B76</f>
        <v>0</v>
      </c>
      <c r="C84" s="90">
        <f>Weekly!C76</f>
        <v>0</v>
      </c>
      <c r="D84" s="90">
        <f>Weekly!D77</f>
        <v>0</v>
      </c>
      <c r="E84" s="91" t="e">
        <f>VLOOKUP(B84,Team!$B$4:$E$183,4,FALSE)</f>
        <v>#N/A</v>
      </c>
      <c r="F84" s="92" t="str">
        <f>Weekly!J76</f>
        <v/>
      </c>
      <c r="G84" s="92" t="str">
        <f>Weekly!K76</f>
        <v/>
      </c>
      <c r="H84" s="48" t="str">
        <f t="shared" si="135"/>
        <v/>
      </c>
      <c r="I84" s="48" t="str">
        <f t="shared" si="136"/>
        <v/>
      </c>
      <c r="J84" s="48" t="str">
        <f t="shared" si="137"/>
        <v/>
      </c>
      <c r="K84" s="84" t="str">
        <f t="shared" si="138"/>
        <v/>
      </c>
      <c r="L84" s="82" t="str">
        <f t="shared" si="139"/>
        <v/>
      </c>
      <c r="M84" s="48" t="str">
        <f t="shared" si="140"/>
        <v/>
      </c>
      <c r="N84" s="48" t="str">
        <f t="shared" si="141"/>
        <v/>
      </c>
      <c r="O84" s="84" t="str">
        <f t="shared" si="142"/>
        <v/>
      </c>
      <c r="P84" s="82" t="str">
        <f t="shared" si="143"/>
        <v/>
      </c>
      <c r="Q84" s="48" t="str">
        <f t="shared" si="144"/>
        <v/>
      </c>
      <c r="R84" s="48" t="str">
        <f t="shared" si="145"/>
        <v/>
      </c>
      <c r="S84" s="84" t="str">
        <f t="shared" si="146"/>
        <v/>
      </c>
      <c r="T84" s="82" t="str">
        <f t="shared" si="147"/>
        <v/>
      </c>
      <c r="U84" s="48" t="str">
        <f t="shared" si="148"/>
        <v/>
      </c>
      <c r="V84" s="48" t="str">
        <f t="shared" si="149"/>
        <v/>
      </c>
      <c r="W84" s="84" t="str">
        <f t="shared" si="150"/>
        <v/>
      </c>
      <c r="X84" s="82" t="str">
        <f t="shared" si="151"/>
        <v/>
      </c>
      <c r="Y84" s="48" t="str">
        <f t="shared" si="152"/>
        <v/>
      </c>
      <c r="Z84" s="48" t="str">
        <f t="shared" si="153"/>
        <v/>
      </c>
      <c r="AA84" s="84" t="str">
        <f t="shared" si="154"/>
        <v/>
      </c>
      <c r="AB84" s="82" t="str">
        <f t="shared" si="155"/>
        <v/>
      </c>
      <c r="AC84" s="48" t="str">
        <f t="shared" si="156"/>
        <v/>
      </c>
      <c r="AD84" s="48" t="str">
        <f t="shared" si="157"/>
        <v/>
      </c>
      <c r="AE84" s="84" t="str">
        <f t="shared" si="158"/>
        <v/>
      </c>
      <c r="AF84" s="82" t="str">
        <f t="shared" si="159"/>
        <v/>
      </c>
      <c r="AG84" s="48" t="str">
        <f t="shared" si="160"/>
        <v/>
      </c>
      <c r="AH84" s="48" t="str">
        <f t="shared" si="161"/>
        <v/>
      </c>
      <c r="AI84" s="84" t="str">
        <f t="shared" si="162"/>
        <v/>
      </c>
      <c r="AJ84" s="82" t="str">
        <f t="shared" si="163"/>
        <v/>
      </c>
      <c r="AK84" s="48" t="str">
        <f t="shared" si="164"/>
        <v/>
      </c>
      <c r="AL84" s="48" t="str">
        <f t="shared" si="165"/>
        <v/>
      </c>
      <c r="AM84" s="84" t="str">
        <f t="shared" si="166"/>
        <v/>
      </c>
      <c r="AN84" s="82" t="str">
        <f t="shared" si="167"/>
        <v/>
      </c>
      <c r="AO84" s="48" t="str">
        <f t="shared" si="168"/>
        <v/>
      </c>
      <c r="AP84" s="48" t="str">
        <f t="shared" si="169"/>
        <v/>
      </c>
      <c r="AQ84" s="84" t="str">
        <f t="shared" si="170"/>
        <v/>
      </c>
      <c r="AR84" s="82" t="str">
        <f t="shared" si="171"/>
        <v/>
      </c>
      <c r="AS84" s="48" t="str">
        <f t="shared" si="172"/>
        <v/>
      </c>
      <c r="AT84" s="48" t="str">
        <f t="shared" si="173"/>
        <v/>
      </c>
      <c r="AU84" s="84" t="str">
        <f t="shared" si="174"/>
        <v/>
      </c>
      <c r="AV84" s="82" t="str">
        <f t="shared" si="175"/>
        <v/>
      </c>
      <c r="AW84" s="48" t="str">
        <f t="shared" si="176"/>
        <v/>
      </c>
      <c r="AX84" s="48" t="str">
        <f t="shared" si="177"/>
        <v/>
      </c>
      <c r="AY84" s="84" t="str">
        <f t="shared" si="178"/>
        <v/>
      </c>
      <c r="AZ84" s="82" t="str">
        <f t="shared" si="179"/>
        <v/>
      </c>
      <c r="BA84" s="48" t="str">
        <f t="shared" si="180"/>
        <v/>
      </c>
      <c r="BB84" s="48" t="str">
        <f t="shared" si="181"/>
        <v/>
      </c>
      <c r="BC84" s="84" t="str">
        <f t="shared" si="182"/>
        <v/>
      </c>
      <c r="BD84" s="82" t="str">
        <f t="shared" si="183"/>
        <v/>
      </c>
      <c r="BE84" s="48" t="str">
        <f t="shared" si="184"/>
        <v/>
      </c>
      <c r="BF84" s="48" t="str">
        <f t="shared" si="185"/>
        <v/>
      </c>
      <c r="BG84" s="84" t="str">
        <f t="shared" si="186"/>
        <v/>
      </c>
      <c r="BH84" s="87" t="str">
        <f t="shared" si="187"/>
        <v/>
      </c>
      <c r="BI84" s="49" t="str">
        <f t="shared" si="188"/>
        <v/>
      </c>
      <c r="BJ84" s="49" t="str">
        <f t="shared" si="189"/>
        <v/>
      </c>
      <c r="BK84" s="89" t="str">
        <f t="shared" si="190"/>
        <v/>
      </c>
      <c r="BL84" s="87" t="str">
        <f t="shared" si="191"/>
        <v/>
      </c>
      <c r="BM84" s="49" t="str">
        <f t="shared" si="192"/>
        <v/>
      </c>
      <c r="BN84" s="49" t="str">
        <f t="shared" si="193"/>
        <v/>
      </c>
      <c r="BO84" s="89" t="str">
        <f t="shared" si="194"/>
        <v/>
      </c>
      <c r="BP84" s="87" t="str">
        <f t="shared" si="195"/>
        <v/>
      </c>
      <c r="BQ84" s="49" t="str">
        <f t="shared" si="196"/>
        <v/>
      </c>
      <c r="BR84" s="49" t="str">
        <f t="shared" si="197"/>
        <v/>
      </c>
      <c r="BS84" s="89" t="str">
        <f t="shared" si="198"/>
        <v/>
      </c>
      <c r="BT84" s="87" t="str">
        <f t="shared" si="199"/>
        <v/>
      </c>
    </row>
    <row r="85" spans="2:72" s="93" customFormat="1">
      <c r="B85" s="81">
        <f>Weekly!B77</f>
        <v>0</v>
      </c>
      <c r="C85" s="90">
        <f>Weekly!C77</f>
        <v>0</v>
      </c>
      <c r="D85" s="90">
        <f>Weekly!D78</f>
        <v>0</v>
      </c>
      <c r="E85" s="91" t="e">
        <f>VLOOKUP(B85,Team!$B$4:$E$183,4,FALSE)</f>
        <v>#N/A</v>
      </c>
      <c r="F85" s="92" t="str">
        <f>Weekly!J77</f>
        <v/>
      </c>
      <c r="G85" s="92" t="str">
        <f>Weekly!K77</f>
        <v/>
      </c>
      <c r="H85" s="48" t="str">
        <f t="shared" si="135"/>
        <v/>
      </c>
      <c r="I85" s="48" t="str">
        <f t="shared" si="136"/>
        <v/>
      </c>
      <c r="J85" s="48" t="str">
        <f t="shared" si="137"/>
        <v/>
      </c>
      <c r="K85" s="84" t="str">
        <f t="shared" si="138"/>
        <v/>
      </c>
      <c r="L85" s="82" t="str">
        <f t="shared" si="139"/>
        <v/>
      </c>
      <c r="M85" s="48" t="str">
        <f t="shared" si="140"/>
        <v/>
      </c>
      <c r="N85" s="48" t="str">
        <f t="shared" si="141"/>
        <v/>
      </c>
      <c r="O85" s="84" t="str">
        <f t="shared" si="142"/>
        <v/>
      </c>
      <c r="P85" s="82" t="str">
        <f t="shared" si="143"/>
        <v/>
      </c>
      <c r="Q85" s="48" t="str">
        <f t="shared" si="144"/>
        <v/>
      </c>
      <c r="R85" s="48" t="str">
        <f t="shared" si="145"/>
        <v/>
      </c>
      <c r="S85" s="84" t="str">
        <f t="shared" si="146"/>
        <v/>
      </c>
      <c r="T85" s="82" t="str">
        <f t="shared" si="147"/>
        <v/>
      </c>
      <c r="U85" s="48" t="str">
        <f t="shared" si="148"/>
        <v/>
      </c>
      <c r="V85" s="48" t="str">
        <f t="shared" si="149"/>
        <v/>
      </c>
      <c r="W85" s="84" t="str">
        <f t="shared" si="150"/>
        <v/>
      </c>
      <c r="X85" s="82" t="str">
        <f t="shared" si="151"/>
        <v/>
      </c>
      <c r="Y85" s="48" t="str">
        <f t="shared" si="152"/>
        <v/>
      </c>
      <c r="Z85" s="48" t="str">
        <f t="shared" si="153"/>
        <v/>
      </c>
      <c r="AA85" s="84" t="str">
        <f t="shared" si="154"/>
        <v/>
      </c>
      <c r="AB85" s="82" t="str">
        <f t="shared" si="155"/>
        <v/>
      </c>
      <c r="AC85" s="48" t="str">
        <f t="shared" si="156"/>
        <v/>
      </c>
      <c r="AD85" s="48" t="str">
        <f t="shared" si="157"/>
        <v/>
      </c>
      <c r="AE85" s="84" t="str">
        <f t="shared" si="158"/>
        <v/>
      </c>
      <c r="AF85" s="82" t="str">
        <f t="shared" si="159"/>
        <v/>
      </c>
      <c r="AG85" s="48" t="str">
        <f t="shared" si="160"/>
        <v/>
      </c>
      <c r="AH85" s="48" t="str">
        <f t="shared" si="161"/>
        <v/>
      </c>
      <c r="AI85" s="84" t="str">
        <f t="shared" si="162"/>
        <v/>
      </c>
      <c r="AJ85" s="82" t="str">
        <f t="shared" si="163"/>
        <v/>
      </c>
      <c r="AK85" s="48" t="str">
        <f t="shared" si="164"/>
        <v/>
      </c>
      <c r="AL85" s="48" t="str">
        <f t="shared" si="165"/>
        <v/>
      </c>
      <c r="AM85" s="84" t="str">
        <f t="shared" si="166"/>
        <v/>
      </c>
      <c r="AN85" s="82" t="str">
        <f t="shared" si="167"/>
        <v/>
      </c>
      <c r="AO85" s="48" t="str">
        <f t="shared" si="168"/>
        <v/>
      </c>
      <c r="AP85" s="48" t="str">
        <f t="shared" si="169"/>
        <v/>
      </c>
      <c r="AQ85" s="84" t="str">
        <f t="shared" si="170"/>
        <v/>
      </c>
      <c r="AR85" s="82" t="str">
        <f t="shared" si="171"/>
        <v/>
      </c>
      <c r="AS85" s="48" t="str">
        <f t="shared" si="172"/>
        <v/>
      </c>
      <c r="AT85" s="48" t="str">
        <f t="shared" si="173"/>
        <v/>
      </c>
      <c r="AU85" s="84" t="str">
        <f t="shared" si="174"/>
        <v/>
      </c>
      <c r="AV85" s="82" t="str">
        <f t="shared" si="175"/>
        <v/>
      </c>
      <c r="AW85" s="48" t="str">
        <f t="shared" si="176"/>
        <v/>
      </c>
      <c r="AX85" s="48" t="str">
        <f t="shared" si="177"/>
        <v/>
      </c>
      <c r="AY85" s="84" t="str">
        <f t="shared" si="178"/>
        <v/>
      </c>
      <c r="AZ85" s="82" t="str">
        <f t="shared" si="179"/>
        <v/>
      </c>
      <c r="BA85" s="48" t="str">
        <f t="shared" si="180"/>
        <v/>
      </c>
      <c r="BB85" s="48" t="str">
        <f t="shared" si="181"/>
        <v/>
      </c>
      <c r="BC85" s="84" t="str">
        <f t="shared" si="182"/>
        <v/>
      </c>
      <c r="BD85" s="82" t="str">
        <f t="shared" si="183"/>
        <v/>
      </c>
      <c r="BE85" s="48" t="str">
        <f t="shared" si="184"/>
        <v/>
      </c>
      <c r="BF85" s="48" t="str">
        <f t="shared" si="185"/>
        <v/>
      </c>
      <c r="BG85" s="84" t="str">
        <f t="shared" si="186"/>
        <v/>
      </c>
      <c r="BH85" s="87" t="str">
        <f t="shared" si="187"/>
        <v/>
      </c>
      <c r="BI85" s="49" t="str">
        <f t="shared" si="188"/>
        <v/>
      </c>
      <c r="BJ85" s="49" t="str">
        <f t="shared" si="189"/>
        <v/>
      </c>
      <c r="BK85" s="89" t="str">
        <f t="shared" si="190"/>
        <v/>
      </c>
      <c r="BL85" s="87" t="str">
        <f t="shared" si="191"/>
        <v/>
      </c>
      <c r="BM85" s="49" t="str">
        <f t="shared" si="192"/>
        <v/>
      </c>
      <c r="BN85" s="49" t="str">
        <f t="shared" si="193"/>
        <v/>
      </c>
      <c r="BO85" s="89" t="str">
        <f t="shared" si="194"/>
        <v/>
      </c>
      <c r="BP85" s="87" t="str">
        <f t="shared" si="195"/>
        <v/>
      </c>
      <c r="BQ85" s="49" t="str">
        <f t="shared" si="196"/>
        <v/>
      </c>
      <c r="BR85" s="49" t="str">
        <f t="shared" si="197"/>
        <v/>
      </c>
      <c r="BS85" s="89" t="str">
        <f t="shared" si="198"/>
        <v/>
      </c>
      <c r="BT85" s="87" t="str">
        <f t="shared" si="199"/>
        <v/>
      </c>
    </row>
    <row r="86" spans="2:72" s="93" customFormat="1">
      <c r="B86" s="81">
        <f>Weekly!B78</f>
        <v>0</v>
      </c>
      <c r="C86" s="90">
        <f>Weekly!C78</f>
        <v>0</v>
      </c>
      <c r="D86" s="90">
        <f>Weekly!D79</f>
        <v>0</v>
      </c>
      <c r="E86" s="91" t="e">
        <f>VLOOKUP(B86,Team!$B$4:$E$183,4,FALSE)</f>
        <v>#N/A</v>
      </c>
      <c r="F86" s="92" t="str">
        <f>Weekly!J78</f>
        <v/>
      </c>
      <c r="G86" s="92" t="str">
        <f>Weekly!K78</f>
        <v/>
      </c>
      <c r="H86" s="48" t="str">
        <f t="shared" si="135"/>
        <v/>
      </c>
      <c r="I86" s="48" t="str">
        <f t="shared" si="136"/>
        <v/>
      </c>
      <c r="J86" s="48" t="str">
        <f t="shared" si="137"/>
        <v/>
      </c>
      <c r="K86" s="84" t="str">
        <f t="shared" si="138"/>
        <v/>
      </c>
      <c r="L86" s="82" t="str">
        <f t="shared" si="139"/>
        <v/>
      </c>
      <c r="M86" s="48" t="str">
        <f t="shared" si="140"/>
        <v/>
      </c>
      <c r="N86" s="48" t="str">
        <f t="shared" si="141"/>
        <v/>
      </c>
      <c r="O86" s="84" t="str">
        <f t="shared" si="142"/>
        <v/>
      </c>
      <c r="P86" s="82" t="str">
        <f t="shared" si="143"/>
        <v/>
      </c>
      <c r="Q86" s="48" t="str">
        <f t="shared" si="144"/>
        <v/>
      </c>
      <c r="R86" s="48" t="str">
        <f t="shared" si="145"/>
        <v/>
      </c>
      <c r="S86" s="84" t="str">
        <f t="shared" si="146"/>
        <v/>
      </c>
      <c r="T86" s="82" t="str">
        <f t="shared" si="147"/>
        <v/>
      </c>
      <c r="U86" s="48" t="str">
        <f t="shared" si="148"/>
        <v/>
      </c>
      <c r="V86" s="48" t="str">
        <f t="shared" si="149"/>
        <v/>
      </c>
      <c r="W86" s="84" t="str">
        <f t="shared" si="150"/>
        <v/>
      </c>
      <c r="X86" s="82" t="str">
        <f t="shared" si="151"/>
        <v/>
      </c>
      <c r="Y86" s="48" t="str">
        <f t="shared" si="152"/>
        <v/>
      </c>
      <c r="Z86" s="48" t="str">
        <f t="shared" si="153"/>
        <v/>
      </c>
      <c r="AA86" s="84" t="str">
        <f t="shared" si="154"/>
        <v/>
      </c>
      <c r="AB86" s="82" t="str">
        <f t="shared" si="155"/>
        <v/>
      </c>
      <c r="AC86" s="48" t="str">
        <f t="shared" si="156"/>
        <v/>
      </c>
      <c r="AD86" s="48" t="str">
        <f t="shared" si="157"/>
        <v/>
      </c>
      <c r="AE86" s="84" t="str">
        <f t="shared" si="158"/>
        <v/>
      </c>
      <c r="AF86" s="82" t="str">
        <f t="shared" si="159"/>
        <v/>
      </c>
      <c r="AG86" s="48" t="str">
        <f t="shared" si="160"/>
        <v/>
      </c>
      <c r="AH86" s="48" t="str">
        <f t="shared" si="161"/>
        <v/>
      </c>
      <c r="AI86" s="84" t="str">
        <f t="shared" si="162"/>
        <v/>
      </c>
      <c r="AJ86" s="82" t="str">
        <f t="shared" si="163"/>
        <v/>
      </c>
      <c r="AK86" s="48" t="str">
        <f t="shared" si="164"/>
        <v/>
      </c>
      <c r="AL86" s="48" t="str">
        <f t="shared" si="165"/>
        <v/>
      </c>
      <c r="AM86" s="84" t="str">
        <f t="shared" si="166"/>
        <v/>
      </c>
      <c r="AN86" s="82" t="str">
        <f t="shared" si="167"/>
        <v/>
      </c>
      <c r="AO86" s="48" t="str">
        <f t="shared" si="168"/>
        <v/>
      </c>
      <c r="AP86" s="48" t="str">
        <f t="shared" si="169"/>
        <v/>
      </c>
      <c r="AQ86" s="84" t="str">
        <f t="shared" si="170"/>
        <v/>
      </c>
      <c r="AR86" s="82" t="str">
        <f t="shared" si="171"/>
        <v/>
      </c>
      <c r="AS86" s="48" t="str">
        <f t="shared" si="172"/>
        <v/>
      </c>
      <c r="AT86" s="48" t="str">
        <f t="shared" si="173"/>
        <v/>
      </c>
      <c r="AU86" s="84" t="str">
        <f t="shared" si="174"/>
        <v/>
      </c>
      <c r="AV86" s="82" t="str">
        <f t="shared" si="175"/>
        <v/>
      </c>
      <c r="AW86" s="48" t="str">
        <f t="shared" si="176"/>
        <v/>
      </c>
      <c r="AX86" s="48" t="str">
        <f t="shared" si="177"/>
        <v/>
      </c>
      <c r="AY86" s="84" t="str">
        <f t="shared" si="178"/>
        <v/>
      </c>
      <c r="AZ86" s="82" t="str">
        <f t="shared" si="179"/>
        <v/>
      </c>
      <c r="BA86" s="48" t="str">
        <f t="shared" si="180"/>
        <v/>
      </c>
      <c r="BB86" s="48" t="str">
        <f t="shared" si="181"/>
        <v/>
      </c>
      <c r="BC86" s="84" t="str">
        <f t="shared" si="182"/>
        <v/>
      </c>
      <c r="BD86" s="82" t="str">
        <f t="shared" si="183"/>
        <v/>
      </c>
      <c r="BE86" s="48" t="str">
        <f t="shared" si="184"/>
        <v/>
      </c>
      <c r="BF86" s="48" t="str">
        <f t="shared" si="185"/>
        <v/>
      </c>
      <c r="BG86" s="84" t="str">
        <f t="shared" si="186"/>
        <v/>
      </c>
      <c r="BH86" s="87" t="str">
        <f t="shared" si="187"/>
        <v/>
      </c>
      <c r="BI86" s="49" t="str">
        <f t="shared" si="188"/>
        <v/>
      </c>
      <c r="BJ86" s="49" t="str">
        <f t="shared" si="189"/>
        <v/>
      </c>
      <c r="BK86" s="89" t="str">
        <f t="shared" si="190"/>
        <v/>
      </c>
      <c r="BL86" s="87" t="str">
        <f t="shared" si="191"/>
        <v/>
      </c>
      <c r="BM86" s="49" t="str">
        <f t="shared" si="192"/>
        <v/>
      </c>
      <c r="BN86" s="49" t="str">
        <f t="shared" si="193"/>
        <v/>
      </c>
      <c r="BO86" s="89" t="str">
        <f t="shared" si="194"/>
        <v/>
      </c>
      <c r="BP86" s="87" t="str">
        <f t="shared" si="195"/>
        <v/>
      </c>
      <c r="BQ86" s="49" t="str">
        <f t="shared" si="196"/>
        <v/>
      </c>
      <c r="BR86" s="49" t="str">
        <f t="shared" si="197"/>
        <v/>
      </c>
      <c r="BS86" s="89" t="str">
        <f t="shared" si="198"/>
        <v/>
      </c>
      <c r="BT86" s="87" t="str">
        <f t="shared" si="199"/>
        <v/>
      </c>
    </row>
    <row r="87" spans="2:72" s="93" customFormat="1">
      <c r="B87" s="81">
        <f>Weekly!B79</f>
        <v>0</v>
      </c>
      <c r="C87" s="90">
        <f>Weekly!C79</f>
        <v>0</v>
      </c>
      <c r="D87" s="90">
        <f>Weekly!D80</f>
        <v>0</v>
      </c>
      <c r="E87" s="91" t="e">
        <f>VLOOKUP(B87,Team!$B$4:$E$183,4,FALSE)</f>
        <v>#N/A</v>
      </c>
      <c r="F87" s="92" t="str">
        <f>Weekly!J79</f>
        <v/>
      </c>
      <c r="G87" s="92" t="str">
        <f>Weekly!K79</f>
        <v/>
      </c>
      <c r="H87" s="48" t="str">
        <f t="shared" si="135"/>
        <v/>
      </c>
      <c r="I87" s="48" t="str">
        <f t="shared" si="136"/>
        <v/>
      </c>
      <c r="J87" s="48" t="str">
        <f t="shared" si="137"/>
        <v/>
      </c>
      <c r="K87" s="84" t="str">
        <f t="shared" si="138"/>
        <v/>
      </c>
      <c r="L87" s="82" t="str">
        <f t="shared" si="139"/>
        <v/>
      </c>
      <c r="M87" s="48" t="str">
        <f t="shared" si="140"/>
        <v/>
      </c>
      <c r="N87" s="48" t="str">
        <f t="shared" si="141"/>
        <v/>
      </c>
      <c r="O87" s="84" t="str">
        <f t="shared" si="142"/>
        <v/>
      </c>
      <c r="P87" s="82" t="str">
        <f t="shared" si="143"/>
        <v/>
      </c>
      <c r="Q87" s="48" t="str">
        <f t="shared" si="144"/>
        <v/>
      </c>
      <c r="R87" s="48" t="str">
        <f t="shared" si="145"/>
        <v/>
      </c>
      <c r="S87" s="84" t="str">
        <f t="shared" si="146"/>
        <v/>
      </c>
      <c r="T87" s="82" t="str">
        <f t="shared" si="147"/>
        <v/>
      </c>
      <c r="U87" s="48" t="str">
        <f t="shared" si="148"/>
        <v/>
      </c>
      <c r="V87" s="48" t="str">
        <f t="shared" si="149"/>
        <v/>
      </c>
      <c r="W87" s="84" t="str">
        <f t="shared" si="150"/>
        <v/>
      </c>
      <c r="X87" s="82" t="str">
        <f t="shared" si="151"/>
        <v/>
      </c>
      <c r="Y87" s="48" t="str">
        <f t="shared" si="152"/>
        <v/>
      </c>
      <c r="Z87" s="48" t="str">
        <f t="shared" si="153"/>
        <v/>
      </c>
      <c r="AA87" s="84" t="str">
        <f t="shared" si="154"/>
        <v/>
      </c>
      <c r="AB87" s="82" t="str">
        <f t="shared" si="155"/>
        <v/>
      </c>
      <c r="AC87" s="48" t="str">
        <f t="shared" si="156"/>
        <v/>
      </c>
      <c r="AD87" s="48" t="str">
        <f t="shared" si="157"/>
        <v/>
      </c>
      <c r="AE87" s="84" t="str">
        <f t="shared" si="158"/>
        <v/>
      </c>
      <c r="AF87" s="82" t="str">
        <f t="shared" si="159"/>
        <v/>
      </c>
      <c r="AG87" s="48" t="str">
        <f t="shared" si="160"/>
        <v/>
      </c>
      <c r="AH87" s="48" t="str">
        <f t="shared" si="161"/>
        <v/>
      </c>
      <c r="AI87" s="84" t="str">
        <f t="shared" si="162"/>
        <v/>
      </c>
      <c r="AJ87" s="82" t="str">
        <f t="shared" si="163"/>
        <v/>
      </c>
      <c r="AK87" s="48" t="str">
        <f t="shared" si="164"/>
        <v/>
      </c>
      <c r="AL87" s="48" t="str">
        <f t="shared" si="165"/>
        <v/>
      </c>
      <c r="AM87" s="84" t="str">
        <f t="shared" si="166"/>
        <v/>
      </c>
      <c r="AN87" s="82" t="str">
        <f t="shared" si="167"/>
        <v/>
      </c>
      <c r="AO87" s="48" t="str">
        <f t="shared" si="168"/>
        <v/>
      </c>
      <c r="AP87" s="48" t="str">
        <f t="shared" si="169"/>
        <v/>
      </c>
      <c r="AQ87" s="84" t="str">
        <f t="shared" si="170"/>
        <v/>
      </c>
      <c r="AR87" s="82" t="str">
        <f t="shared" si="171"/>
        <v/>
      </c>
      <c r="AS87" s="48" t="str">
        <f t="shared" si="172"/>
        <v/>
      </c>
      <c r="AT87" s="48" t="str">
        <f t="shared" si="173"/>
        <v/>
      </c>
      <c r="AU87" s="84" t="str">
        <f t="shared" si="174"/>
        <v/>
      </c>
      <c r="AV87" s="82" t="str">
        <f t="shared" si="175"/>
        <v/>
      </c>
      <c r="AW87" s="48" t="str">
        <f t="shared" si="176"/>
        <v/>
      </c>
      <c r="AX87" s="48" t="str">
        <f t="shared" si="177"/>
        <v/>
      </c>
      <c r="AY87" s="84" t="str">
        <f t="shared" si="178"/>
        <v/>
      </c>
      <c r="AZ87" s="82" t="str">
        <f t="shared" si="179"/>
        <v/>
      </c>
      <c r="BA87" s="48" t="str">
        <f t="shared" si="180"/>
        <v/>
      </c>
      <c r="BB87" s="48" t="str">
        <f t="shared" si="181"/>
        <v/>
      </c>
      <c r="BC87" s="84" t="str">
        <f t="shared" si="182"/>
        <v/>
      </c>
      <c r="BD87" s="82" t="str">
        <f t="shared" si="183"/>
        <v/>
      </c>
      <c r="BE87" s="48" t="str">
        <f t="shared" si="184"/>
        <v/>
      </c>
      <c r="BF87" s="48" t="str">
        <f t="shared" si="185"/>
        <v/>
      </c>
      <c r="BG87" s="84" t="str">
        <f t="shared" si="186"/>
        <v/>
      </c>
      <c r="BH87" s="87" t="str">
        <f t="shared" si="187"/>
        <v/>
      </c>
      <c r="BI87" s="49" t="str">
        <f t="shared" si="188"/>
        <v/>
      </c>
      <c r="BJ87" s="49" t="str">
        <f t="shared" si="189"/>
        <v/>
      </c>
      <c r="BK87" s="89" t="str">
        <f t="shared" si="190"/>
        <v/>
      </c>
      <c r="BL87" s="87" t="str">
        <f t="shared" si="191"/>
        <v/>
      </c>
      <c r="BM87" s="49" t="str">
        <f t="shared" si="192"/>
        <v/>
      </c>
      <c r="BN87" s="49" t="str">
        <f t="shared" si="193"/>
        <v/>
      </c>
      <c r="BO87" s="89" t="str">
        <f t="shared" si="194"/>
        <v/>
      </c>
      <c r="BP87" s="87" t="str">
        <f t="shared" si="195"/>
        <v/>
      </c>
      <c r="BQ87" s="49" t="str">
        <f t="shared" si="196"/>
        <v/>
      </c>
      <c r="BR87" s="49" t="str">
        <f t="shared" si="197"/>
        <v/>
      </c>
      <c r="BS87" s="89" t="str">
        <f t="shared" si="198"/>
        <v/>
      </c>
      <c r="BT87" s="87" t="str">
        <f t="shared" si="199"/>
        <v/>
      </c>
    </row>
    <row r="88" spans="2:72" s="93" customFormat="1">
      <c r="B88" s="81">
        <f>Weekly!B80</f>
        <v>0</v>
      </c>
      <c r="C88" s="90">
        <f>Weekly!C80</f>
        <v>0</v>
      </c>
      <c r="D88" s="90">
        <f>Weekly!D81</f>
        <v>0</v>
      </c>
      <c r="E88" s="91" t="e">
        <f>VLOOKUP(B88,Team!$B$4:$E$183,4,FALSE)</f>
        <v>#N/A</v>
      </c>
      <c r="F88" s="92" t="str">
        <f>Weekly!J80</f>
        <v/>
      </c>
      <c r="G88" s="92" t="str">
        <f>Weekly!K80</f>
        <v/>
      </c>
      <c r="H88" s="48" t="str">
        <f t="shared" si="135"/>
        <v/>
      </c>
      <c r="I88" s="48" t="str">
        <f t="shared" si="136"/>
        <v/>
      </c>
      <c r="J88" s="48" t="str">
        <f t="shared" si="137"/>
        <v/>
      </c>
      <c r="K88" s="84" t="str">
        <f t="shared" si="138"/>
        <v/>
      </c>
      <c r="L88" s="82" t="str">
        <f t="shared" si="139"/>
        <v/>
      </c>
      <c r="M88" s="48" t="str">
        <f t="shared" si="140"/>
        <v/>
      </c>
      <c r="N88" s="48" t="str">
        <f t="shared" si="141"/>
        <v/>
      </c>
      <c r="O88" s="84" t="str">
        <f t="shared" si="142"/>
        <v/>
      </c>
      <c r="P88" s="82" t="str">
        <f t="shared" si="143"/>
        <v/>
      </c>
      <c r="Q88" s="48" t="str">
        <f t="shared" si="144"/>
        <v/>
      </c>
      <c r="R88" s="48" t="str">
        <f t="shared" si="145"/>
        <v/>
      </c>
      <c r="S88" s="84" t="str">
        <f t="shared" si="146"/>
        <v/>
      </c>
      <c r="T88" s="82" t="str">
        <f t="shared" si="147"/>
        <v/>
      </c>
      <c r="U88" s="48" t="str">
        <f t="shared" si="148"/>
        <v/>
      </c>
      <c r="V88" s="48" t="str">
        <f t="shared" si="149"/>
        <v/>
      </c>
      <c r="W88" s="84" t="str">
        <f t="shared" si="150"/>
        <v/>
      </c>
      <c r="X88" s="82" t="str">
        <f t="shared" si="151"/>
        <v/>
      </c>
      <c r="Y88" s="48" t="str">
        <f t="shared" si="152"/>
        <v/>
      </c>
      <c r="Z88" s="48" t="str">
        <f t="shared" si="153"/>
        <v/>
      </c>
      <c r="AA88" s="84" t="str">
        <f t="shared" si="154"/>
        <v/>
      </c>
      <c r="AB88" s="82" t="str">
        <f t="shared" si="155"/>
        <v/>
      </c>
      <c r="AC88" s="48" t="str">
        <f t="shared" si="156"/>
        <v/>
      </c>
      <c r="AD88" s="48" t="str">
        <f t="shared" si="157"/>
        <v/>
      </c>
      <c r="AE88" s="84" t="str">
        <f t="shared" si="158"/>
        <v/>
      </c>
      <c r="AF88" s="82" t="str">
        <f t="shared" si="159"/>
        <v/>
      </c>
      <c r="AG88" s="48" t="str">
        <f t="shared" si="160"/>
        <v/>
      </c>
      <c r="AH88" s="48" t="str">
        <f t="shared" si="161"/>
        <v/>
      </c>
      <c r="AI88" s="84" t="str">
        <f t="shared" si="162"/>
        <v/>
      </c>
      <c r="AJ88" s="82" t="str">
        <f t="shared" si="163"/>
        <v/>
      </c>
      <c r="AK88" s="48" t="str">
        <f t="shared" si="164"/>
        <v/>
      </c>
      <c r="AL88" s="48" t="str">
        <f t="shared" si="165"/>
        <v/>
      </c>
      <c r="AM88" s="84" t="str">
        <f t="shared" si="166"/>
        <v/>
      </c>
      <c r="AN88" s="82" t="str">
        <f t="shared" si="167"/>
        <v/>
      </c>
      <c r="AO88" s="48" t="str">
        <f t="shared" si="168"/>
        <v/>
      </c>
      <c r="AP88" s="48" t="str">
        <f t="shared" si="169"/>
        <v/>
      </c>
      <c r="AQ88" s="84" t="str">
        <f t="shared" si="170"/>
        <v/>
      </c>
      <c r="AR88" s="82" t="str">
        <f t="shared" si="171"/>
        <v/>
      </c>
      <c r="AS88" s="48" t="str">
        <f t="shared" si="172"/>
        <v/>
      </c>
      <c r="AT88" s="48" t="str">
        <f t="shared" si="173"/>
        <v/>
      </c>
      <c r="AU88" s="84" t="str">
        <f t="shared" si="174"/>
        <v/>
      </c>
      <c r="AV88" s="82" t="str">
        <f t="shared" si="175"/>
        <v/>
      </c>
      <c r="AW88" s="48" t="str">
        <f t="shared" si="176"/>
        <v/>
      </c>
      <c r="AX88" s="48" t="str">
        <f t="shared" si="177"/>
        <v/>
      </c>
      <c r="AY88" s="84" t="str">
        <f t="shared" si="178"/>
        <v/>
      </c>
      <c r="AZ88" s="82" t="str">
        <f t="shared" si="179"/>
        <v/>
      </c>
      <c r="BA88" s="48" t="str">
        <f t="shared" si="180"/>
        <v/>
      </c>
      <c r="BB88" s="48" t="str">
        <f t="shared" si="181"/>
        <v/>
      </c>
      <c r="BC88" s="84" t="str">
        <f t="shared" si="182"/>
        <v/>
      </c>
      <c r="BD88" s="82" t="str">
        <f t="shared" si="183"/>
        <v/>
      </c>
      <c r="BE88" s="48" t="str">
        <f t="shared" si="184"/>
        <v/>
      </c>
      <c r="BF88" s="48" t="str">
        <f t="shared" si="185"/>
        <v/>
      </c>
      <c r="BG88" s="84" t="str">
        <f t="shared" si="186"/>
        <v/>
      </c>
      <c r="BH88" s="87" t="str">
        <f t="shared" si="187"/>
        <v/>
      </c>
      <c r="BI88" s="49" t="str">
        <f t="shared" si="188"/>
        <v/>
      </c>
      <c r="BJ88" s="49" t="str">
        <f t="shared" si="189"/>
        <v/>
      </c>
      <c r="BK88" s="89" t="str">
        <f t="shared" si="190"/>
        <v/>
      </c>
      <c r="BL88" s="87" t="str">
        <f t="shared" si="191"/>
        <v/>
      </c>
      <c r="BM88" s="49" t="str">
        <f t="shared" si="192"/>
        <v/>
      </c>
      <c r="BN88" s="49" t="str">
        <f t="shared" si="193"/>
        <v/>
      </c>
      <c r="BO88" s="89" t="str">
        <f t="shared" si="194"/>
        <v/>
      </c>
      <c r="BP88" s="87" t="str">
        <f t="shared" si="195"/>
        <v/>
      </c>
      <c r="BQ88" s="49" t="str">
        <f t="shared" si="196"/>
        <v/>
      </c>
      <c r="BR88" s="49" t="str">
        <f t="shared" si="197"/>
        <v/>
      </c>
      <c r="BS88" s="89" t="str">
        <f t="shared" si="198"/>
        <v/>
      </c>
      <c r="BT88" s="87" t="str">
        <f t="shared" si="199"/>
        <v/>
      </c>
    </row>
    <row r="89" spans="2:72" s="93" customFormat="1">
      <c r="B89" s="81">
        <f>Weekly!B81</f>
        <v>0</v>
      </c>
      <c r="C89" s="90">
        <f>Weekly!C81</f>
        <v>0</v>
      </c>
      <c r="D89" s="90">
        <f>Weekly!D82</f>
        <v>0</v>
      </c>
      <c r="E89" s="91" t="e">
        <f>VLOOKUP(B89,Team!$B$4:$E$183,4,FALSE)</f>
        <v>#N/A</v>
      </c>
      <c r="F89" s="92" t="str">
        <f>Weekly!J81</f>
        <v/>
      </c>
      <c r="G89" s="92" t="str">
        <f>Weekly!K81</f>
        <v/>
      </c>
      <c r="H89" s="48" t="str">
        <f t="shared" si="135"/>
        <v/>
      </c>
      <c r="I89" s="48" t="str">
        <f t="shared" si="136"/>
        <v/>
      </c>
      <c r="J89" s="48" t="str">
        <f t="shared" si="137"/>
        <v/>
      </c>
      <c r="K89" s="84" t="str">
        <f t="shared" si="138"/>
        <v/>
      </c>
      <c r="L89" s="82" t="str">
        <f t="shared" si="139"/>
        <v/>
      </c>
      <c r="M89" s="48" t="str">
        <f t="shared" si="140"/>
        <v/>
      </c>
      <c r="N89" s="48" t="str">
        <f t="shared" si="141"/>
        <v/>
      </c>
      <c r="O89" s="84" t="str">
        <f t="shared" si="142"/>
        <v/>
      </c>
      <c r="P89" s="82" t="str">
        <f t="shared" si="143"/>
        <v/>
      </c>
      <c r="Q89" s="48" t="str">
        <f t="shared" si="144"/>
        <v/>
      </c>
      <c r="R89" s="48" t="str">
        <f t="shared" si="145"/>
        <v/>
      </c>
      <c r="S89" s="84" t="str">
        <f t="shared" si="146"/>
        <v/>
      </c>
      <c r="T89" s="82" t="str">
        <f t="shared" si="147"/>
        <v/>
      </c>
      <c r="U89" s="48" t="str">
        <f t="shared" si="148"/>
        <v/>
      </c>
      <c r="V89" s="48" t="str">
        <f t="shared" si="149"/>
        <v/>
      </c>
      <c r="W89" s="84" t="str">
        <f t="shared" si="150"/>
        <v/>
      </c>
      <c r="X89" s="82" t="str">
        <f t="shared" si="151"/>
        <v/>
      </c>
      <c r="Y89" s="48" t="str">
        <f t="shared" si="152"/>
        <v/>
      </c>
      <c r="Z89" s="48" t="str">
        <f t="shared" si="153"/>
        <v/>
      </c>
      <c r="AA89" s="84" t="str">
        <f t="shared" si="154"/>
        <v/>
      </c>
      <c r="AB89" s="82" t="str">
        <f t="shared" si="155"/>
        <v/>
      </c>
      <c r="AC89" s="48" t="str">
        <f t="shared" si="156"/>
        <v/>
      </c>
      <c r="AD89" s="48" t="str">
        <f t="shared" si="157"/>
        <v/>
      </c>
      <c r="AE89" s="84" t="str">
        <f t="shared" si="158"/>
        <v/>
      </c>
      <c r="AF89" s="82" t="str">
        <f t="shared" si="159"/>
        <v/>
      </c>
      <c r="AG89" s="48" t="str">
        <f t="shared" si="160"/>
        <v/>
      </c>
      <c r="AH89" s="48" t="str">
        <f t="shared" si="161"/>
        <v/>
      </c>
      <c r="AI89" s="84" t="str">
        <f t="shared" si="162"/>
        <v/>
      </c>
      <c r="AJ89" s="82" t="str">
        <f t="shared" si="163"/>
        <v/>
      </c>
      <c r="AK89" s="48" t="str">
        <f t="shared" si="164"/>
        <v/>
      </c>
      <c r="AL89" s="48" t="str">
        <f t="shared" si="165"/>
        <v/>
      </c>
      <c r="AM89" s="84" t="str">
        <f t="shared" si="166"/>
        <v/>
      </c>
      <c r="AN89" s="82" t="str">
        <f t="shared" si="167"/>
        <v/>
      </c>
      <c r="AO89" s="48" t="str">
        <f t="shared" si="168"/>
        <v/>
      </c>
      <c r="AP89" s="48" t="str">
        <f t="shared" si="169"/>
        <v/>
      </c>
      <c r="AQ89" s="84" t="str">
        <f t="shared" si="170"/>
        <v/>
      </c>
      <c r="AR89" s="82" t="str">
        <f t="shared" si="171"/>
        <v/>
      </c>
      <c r="AS89" s="48" t="str">
        <f t="shared" si="172"/>
        <v/>
      </c>
      <c r="AT89" s="48" t="str">
        <f t="shared" si="173"/>
        <v/>
      </c>
      <c r="AU89" s="84" t="str">
        <f t="shared" si="174"/>
        <v/>
      </c>
      <c r="AV89" s="82" t="str">
        <f t="shared" si="175"/>
        <v/>
      </c>
      <c r="AW89" s="48" t="str">
        <f t="shared" si="176"/>
        <v/>
      </c>
      <c r="AX89" s="48" t="str">
        <f t="shared" si="177"/>
        <v/>
      </c>
      <c r="AY89" s="84" t="str">
        <f t="shared" si="178"/>
        <v/>
      </c>
      <c r="AZ89" s="82" t="str">
        <f t="shared" si="179"/>
        <v/>
      </c>
      <c r="BA89" s="48" t="str">
        <f t="shared" si="180"/>
        <v/>
      </c>
      <c r="BB89" s="48" t="str">
        <f t="shared" si="181"/>
        <v/>
      </c>
      <c r="BC89" s="84" t="str">
        <f t="shared" si="182"/>
        <v/>
      </c>
      <c r="BD89" s="82" t="str">
        <f t="shared" si="183"/>
        <v/>
      </c>
      <c r="BE89" s="48" t="str">
        <f t="shared" si="184"/>
        <v/>
      </c>
      <c r="BF89" s="48" t="str">
        <f t="shared" si="185"/>
        <v/>
      </c>
      <c r="BG89" s="84" t="str">
        <f t="shared" si="186"/>
        <v/>
      </c>
      <c r="BH89" s="87" t="str">
        <f t="shared" si="187"/>
        <v/>
      </c>
      <c r="BI89" s="49" t="str">
        <f t="shared" si="188"/>
        <v/>
      </c>
      <c r="BJ89" s="49" t="str">
        <f t="shared" si="189"/>
        <v/>
      </c>
      <c r="BK89" s="89" t="str">
        <f t="shared" si="190"/>
        <v/>
      </c>
      <c r="BL89" s="87" t="str">
        <f t="shared" si="191"/>
        <v/>
      </c>
      <c r="BM89" s="49" t="str">
        <f t="shared" si="192"/>
        <v/>
      </c>
      <c r="BN89" s="49" t="str">
        <f t="shared" si="193"/>
        <v/>
      </c>
      <c r="BO89" s="89" t="str">
        <f t="shared" si="194"/>
        <v/>
      </c>
      <c r="BP89" s="87" t="str">
        <f t="shared" si="195"/>
        <v/>
      </c>
      <c r="BQ89" s="49" t="str">
        <f t="shared" si="196"/>
        <v/>
      </c>
      <c r="BR89" s="49" t="str">
        <f t="shared" si="197"/>
        <v/>
      </c>
      <c r="BS89" s="89" t="str">
        <f t="shared" si="198"/>
        <v/>
      </c>
      <c r="BT89" s="87" t="str">
        <f t="shared" si="199"/>
        <v/>
      </c>
    </row>
    <row r="90" spans="2:72" s="93" customFormat="1">
      <c r="B90" s="81">
        <f>Weekly!B82</f>
        <v>0</v>
      </c>
      <c r="C90" s="90">
        <f>Weekly!C82</f>
        <v>0</v>
      </c>
      <c r="D90" s="90">
        <f>Weekly!D83</f>
        <v>0</v>
      </c>
      <c r="E90" s="91" t="e">
        <f>VLOOKUP(B90,Team!$B$4:$E$183,4,FALSE)</f>
        <v>#N/A</v>
      </c>
      <c r="F90" s="92" t="str">
        <f>Weekly!J82</f>
        <v/>
      </c>
      <c r="G90" s="92" t="str">
        <f>Weekly!K82</f>
        <v/>
      </c>
      <c r="H90" s="48" t="str">
        <f t="shared" si="135"/>
        <v/>
      </c>
      <c r="I90" s="48" t="str">
        <f t="shared" si="136"/>
        <v/>
      </c>
      <c r="J90" s="48" t="str">
        <f t="shared" si="137"/>
        <v/>
      </c>
      <c r="K90" s="84" t="str">
        <f t="shared" si="138"/>
        <v/>
      </c>
      <c r="L90" s="82" t="str">
        <f t="shared" si="139"/>
        <v/>
      </c>
      <c r="M90" s="48" t="str">
        <f t="shared" si="140"/>
        <v/>
      </c>
      <c r="N90" s="48" t="str">
        <f t="shared" si="141"/>
        <v/>
      </c>
      <c r="O90" s="84" t="str">
        <f t="shared" si="142"/>
        <v/>
      </c>
      <c r="P90" s="82" t="str">
        <f t="shared" si="143"/>
        <v/>
      </c>
      <c r="Q90" s="48" t="str">
        <f t="shared" si="144"/>
        <v/>
      </c>
      <c r="R90" s="48" t="str">
        <f t="shared" si="145"/>
        <v/>
      </c>
      <c r="S90" s="84" t="str">
        <f t="shared" si="146"/>
        <v/>
      </c>
      <c r="T90" s="82" t="str">
        <f t="shared" si="147"/>
        <v/>
      </c>
      <c r="U90" s="48" t="str">
        <f t="shared" si="148"/>
        <v/>
      </c>
      <c r="V90" s="48" t="str">
        <f t="shared" si="149"/>
        <v/>
      </c>
      <c r="W90" s="84" t="str">
        <f t="shared" si="150"/>
        <v/>
      </c>
      <c r="X90" s="82" t="str">
        <f t="shared" si="151"/>
        <v/>
      </c>
      <c r="Y90" s="48" t="str">
        <f t="shared" si="152"/>
        <v/>
      </c>
      <c r="Z90" s="48" t="str">
        <f t="shared" si="153"/>
        <v/>
      </c>
      <c r="AA90" s="84" t="str">
        <f t="shared" si="154"/>
        <v/>
      </c>
      <c r="AB90" s="82" t="str">
        <f t="shared" si="155"/>
        <v/>
      </c>
      <c r="AC90" s="48" t="str">
        <f t="shared" si="156"/>
        <v/>
      </c>
      <c r="AD90" s="48" t="str">
        <f t="shared" si="157"/>
        <v/>
      </c>
      <c r="AE90" s="84" t="str">
        <f t="shared" si="158"/>
        <v/>
      </c>
      <c r="AF90" s="82" t="str">
        <f t="shared" si="159"/>
        <v/>
      </c>
      <c r="AG90" s="48" t="str">
        <f t="shared" si="160"/>
        <v/>
      </c>
      <c r="AH90" s="48" t="str">
        <f t="shared" si="161"/>
        <v/>
      </c>
      <c r="AI90" s="84" t="str">
        <f t="shared" si="162"/>
        <v/>
      </c>
      <c r="AJ90" s="82" t="str">
        <f t="shared" si="163"/>
        <v/>
      </c>
      <c r="AK90" s="48" t="str">
        <f t="shared" si="164"/>
        <v/>
      </c>
      <c r="AL90" s="48" t="str">
        <f t="shared" si="165"/>
        <v/>
      </c>
      <c r="AM90" s="84" t="str">
        <f t="shared" si="166"/>
        <v/>
      </c>
      <c r="AN90" s="82" t="str">
        <f t="shared" si="167"/>
        <v/>
      </c>
      <c r="AO90" s="48" t="str">
        <f t="shared" si="168"/>
        <v/>
      </c>
      <c r="AP90" s="48" t="str">
        <f t="shared" si="169"/>
        <v/>
      </c>
      <c r="AQ90" s="84" t="str">
        <f t="shared" si="170"/>
        <v/>
      </c>
      <c r="AR90" s="82" t="str">
        <f t="shared" si="171"/>
        <v/>
      </c>
      <c r="AS90" s="48" t="str">
        <f t="shared" si="172"/>
        <v/>
      </c>
      <c r="AT90" s="48" t="str">
        <f t="shared" si="173"/>
        <v/>
      </c>
      <c r="AU90" s="84" t="str">
        <f t="shared" si="174"/>
        <v/>
      </c>
      <c r="AV90" s="82" t="str">
        <f t="shared" si="175"/>
        <v/>
      </c>
      <c r="AW90" s="48" t="str">
        <f t="shared" si="176"/>
        <v/>
      </c>
      <c r="AX90" s="48" t="str">
        <f t="shared" si="177"/>
        <v/>
      </c>
      <c r="AY90" s="84" t="str">
        <f t="shared" si="178"/>
        <v/>
      </c>
      <c r="AZ90" s="82" t="str">
        <f t="shared" si="179"/>
        <v/>
      </c>
      <c r="BA90" s="48" t="str">
        <f t="shared" si="180"/>
        <v/>
      </c>
      <c r="BB90" s="48" t="str">
        <f t="shared" si="181"/>
        <v/>
      </c>
      <c r="BC90" s="84" t="str">
        <f t="shared" si="182"/>
        <v/>
      </c>
      <c r="BD90" s="82" t="str">
        <f t="shared" si="183"/>
        <v/>
      </c>
      <c r="BE90" s="48" t="str">
        <f t="shared" si="184"/>
        <v/>
      </c>
      <c r="BF90" s="48" t="str">
        <f t="shared" si="185"/>
        <v/>
      </c>
      <c r="BG90" s="84" t="str">
        <f t="shared" si="186"/>
        <v/>
      </c>
      <c r="BH90" s="87" t="str">
        <f t="shared" si="187"/>
        <v/>
      </c>
      <c r="BI90" s="49" t="str">
        <f t="shared" si="188"/>
        <v/>
      </c>
      <c r="BJ90" s="49" t="str">
        <f t="shared" si="189"/>
        <v/>
      </c>
      <c r="BK90" s="89" t="str">
        <f t="shared" si="190"/>
        <v/>
      </c>
      <c r="BL90" s="87" t="str">
        <f t="shared" si="191"/>
        <v/>
      </c>
      <c r="BM90" s="49" t="str">
        <f t="shared" si="192"/>
        <v/>
      </c>
      <c r="BN90" s="49" t="str">
        <f t="shared" si="193"/>
        <v/>
      </c>
      <c r="BO90" s="89" t="str">
        <f t="shared" si="194"/>
        <v/>
      </c>
      <c r="BP90" s="87" t="str">
        <f t="shared" si="195"/>
        <v/>
      </c>
      <c r="BQ90" s="49" t="str">
        <f t="shared" si="196"/>
        <v/>
      </c>
      <c r="BR90" s="49" t="str">
        <f t="shared" si="197"/>
        <v/>
      </c>
      <c r="BS90" s="89" t="str">
        <f t="shared" si="198"/>
        <v/>
      </c>
      <c r="BT90" s="87" t="str">
        <f t="shared" si="199"/>
        <v/>
      </c>
    </row>
    <row r="91" spans="2:72" s="93" customFormat="1">
      <c r="B91" s="81">
        <f>Weekly!B83</f>
        <v>0</v>
      </c>
      <c r="C91" s="90">
        <f>Weekly!C83</f>
        <v>0</v>
      </c>
      <c r="D91" s="90">
        <f>Weekly!D84</f>
        <v>0</v>
      </c>
      <c r="E91" s="91" t="e">
        <f>VLOOKUP(B91,Team!$B$4:$E$183,4,FALSE)</f>
        <v>#N/A</v>
      </c>
      <c r="F91" s="92" t="str">
        <f>Weekly!J83</f>
        <v/>
      </c>
      <c r="G91" s="92" t="str">
        <f>Weekly!K83</f>
        <v/>
      </c>
      <c r="H91" s="48" t="str">
        <f t="shared" si="135"/>
        <v/>
      </c>
      <c r="I91" s="48" t="str">
        <f t="shared" si="136"/>
        <v/>
      </c>
      <c r="J91" s="48" t="str">
        <f t="shared" si="137"/>
        <v/>
      </c>
      <c r="K91" s="84" t="str">
        <f t="shared" si="138"/>
        <v/>
      </c>
      <c r="L91" s="82" t="str">
        <f t="shared" si="139"/>
        <v/>
      </c>
      <c r="M91" s="48" t="str">
        <f t="shared" si="140"/>
        <v/>
      </c>
      <c r="N91" s="48" t="str">
        <f t="shared" si="141"/>
        <v/>
      </c>
      <c r="O91" s="84" t="str">
        <f t="shared" si="142"/>
        <v/>
      </c>
      <c r="P91" s="82" t="str">
        <f t="shared" si="143"/>
        <v/>
      </c>
      <c r="Q91" s="48" t="str">
        <f t="shared" si="144"/>
        <v/>
      </c>
      <c r="R91" s="48" t="str">
        <f t="shared" si="145"/>
        <v/>
      </c>
      <c r="S91" s="84" t="str">
        <f t="shared" si="146"/>
        <v/>
      </c>
      <c r="T91" s="82" t="str">
        <f t="shared" si="147"/>
        <v/>
      </c>
      <c r="U91" s="48" t="str">
        <f t="shared" si="148"/>
        <v/>
      </c>
      <c r="V91" s="48" t="str">
        <f t="shared" si="149"/>
        <v/>
      </c>
      <c r="W91" s="84" t="str">
        <f t="shared" si="150"/>
        <v/>
      </c>
      <c r="X91" s="82" t="str">
        <f t="shared" si="151"/>
        <v/>
      </c>
      <c r="Y91" s="48" t="str">
        <f t="shared" si="152"/>
        <v/>
      </c>
      <c r="Z91" s="48" t="str">
        <f t="shared" si="153"/>
        <v/>
      </c>
      <c r="AA91" s="84" t="str">
        <f t="shared" si="154"/>
        <v/>
      </c>
      <c r="AB91" s="82" t="str">
        <f t="shared" si="155"/>
        <v/>
      </c>
      <c r="AC91" s="48" t="str">
        <f t="shared" si="156"/>
        <v/>
      </c>
      <c r="AD91" s="48" t="str">
        <f t="shared" si="157"/>
        <v/>
      </c>
      <c r="AE91" s="84" t="str">
        <f t="shared" si="158"/>
        <v/>
      </c>
      <c r="AF91" s="82" t="str">
        <f t="shared" si="159"/>
        <v/>
      </c>
      <c r="AG91" s="48" t="str">
        <f t="shared" si="160"/>
        <v/>
      </c>
      <c r="AH91" s="48" t="str">
        <f t="shared" si="161"/>
        <v/>
      </c>
      <c r="AI91" s="84" t="str">
        <f t="shared" si="162"/>
        <v/>
      </c>
      <c r="AJ91" s="82" t="str">
        <f t="shared" si="163"/>
        <v/>
      </c>
      <c r="AK91" s="48" t="str">
        <f t="shared" si="164"/>
        <v/>
      </c>
      <c r="AL91" s="48" t="str">
        <f t="shared" si="165"/>
        <v/>
      </c>
      <c r="AM91" s="84" t="str">
        <f t="shared" si="166"/>
        <v/>
      </c>
      <c r="AN91" s="82" t="str">
        <f t="shared" si="167"/>
        <v/>
      </c>
      <c r="AO91" s="48" t="str">
        <f t="shared" si="168"/>
        <v/>
      </c>
      <c r="AP91" s="48" t="str">
        <f t="shared" si="169"/>
        <v/>
      </c>
      <c r="AQ91" s="84" t="str">
        <f t="shared" si="170"/>
        <v/>
      </c>
      <c r="AR91" s="82" t="str">
        <f t="shared" si="171"/>
        <v/>
      </c>
      <c r="AS91" s="48" t="str">
        <f t="shared" si="172"/>
        <v/>
      </c>
      <c r="AT91" s="48" t="str">
        <f t="shared" si="173"/>
        <v/>
      </c>
      <c r="AU91" s="84" t="str">
        <f t="shared" si="174"/>
        <v/>
      </c>
      <c r="AV91" s="82" t="str">
        <f t="shared" si="175"/>
        <v/>
      </c>
      <c r="AW91" s="48" t="str">
        <f t="shared" si="176"/>
        <v/>
      </c>
      <c r="AX91" s="48" t="str">
        <f t="shared" si="177"/>
        <v/>
      </c>
      <c r="AY91" s="84" t="str">
        <f t="shared" si="178"/>
        <v/>
      </c>
      <c r="AZ91" s="82" t="str">
        <f t="shared" si="179"/>
        <v/>
      </c>
      <c r="BA91" s="48" t="str">
        <f t="shared" si="180"/>
        <v/>
      </c>
      <c r="BB91" s="48" t="str">
        <f t="shared" si="181"/>
        <v/>
      </c>
      <c r="BC91" s="84" t="str">
        <f t="shared" si="182"/>
        <v/>
      </c>
      <c r="BD91" s="82" t="str">
        <f t="shared" si="183"/>
        <v/>
      </c>
      <c r="BE91" s="48" t="str">
        <f t="shared" si="184"/>
        <v/>
      </c>
      <c r="BF91" s="48" t="str">
        <f t="shared" si="185"/>
        <v/>
      </c>
      <c r="BG91" s="84" t="str">
        <f t="shared" si="186"/>
        <v/>
      </c>
      <c r="BH91" s="87" t="str">
        <f t="shared" si="187"/>
        <v/>
      </c>
      <c r="BI91" s="49" t="str">
        <f t="shared" si="188"/>
        <v/>
      </c>
      <c r="BJ91" s="49" t="str">
        <f t="shared" si="189"/>
        <v/>
      </c>
      <c r="BK91" s="89" t="str">
        <f t="shared" si="190"/>
        <v/>
      </c>
      <c r="BL91" s="87" t="str">
        <f t="shared" si="191"/>
        <v/>
      </c>
      <c r="BM91" s="49" t="str">
        <f t="shared" si="192"/>
        <v/>
      </c>
      <c r="BN91" s="49" t="str">
        <f t="shared" si="193"/>
        <v/>
      </c>
      <c r="BO91" s="89" t="str">
        <f t="shared" si="194"/>
        <v/>
      </c>
      <c r="BP91" s="87" t="str">
        <f t="shared" si="195"/>
        <v/>
      </c>
      <c r="BQ91" s="49" t="str">
        <f t="shared" si="196"/>
        <v/>
      </c>
      <c r="BR91" s="49" t="str">
        <f t="shared" si="197"/>
        <v/>
      </c>
      <c r="BS91" s="89" t="str">
        <f t="shared" si="198"/>
        <v/>
      </c>
      <c r="BT91" s="87" t="str">
        <f t="shared" si="199"/>
        <v/>
      </c>
    </row>
    <row r="92" spans="2:72" s="93" customFormat="1">
      <c r="B92" s="81">
        <f>Weekly!B84</f>
        <v>0</v>
      </c>
      <c r="C92" s="90">
        <f>Weekly!C84</f>
        <v>0</v>
      </c>
      <c r="D92" s="90">
        <f>Weekly!D85</f>
        <v>0</v>
      </c>
      <c r="E92" s="91" t="e">
        <f>VLOOKUP(B92,Team!$B$4:$E$183,4,FALSE)</f>
        <v>#N/A</v>
      </c>
      <c r="F92" s="92" t="str">
        <f>Weekly!J84</f>
        <v/>
      </c>
      <c r="G92" s="92" t="str">
        <f>Weekly!K84</f>
        <v/>
      </c>
      <c r="H92" s="48" t="str">
        <f t="shared" si="135"/>
        <v/>
      </c>
      <c r="I92" s="48" t="str">
        <f t="shared" si="136"/>
        <v/>
      </c>
      <c r="J92" s="48" t="str">
        <f t="shared" si="137"/>
        <v/>
      </c>
      <c r="K92" s="84" t="str">
        <f t="shared" si="138"/>
        <v/>
      </c>
      <c r="L92" s="82" t="str">
        <f t="shared" si="139"/>
        <v/>
      </c>
      <c r="M92" s="48" t="str">
        <f t="shared" si="140"/>
        <v/>
      </c>
      <c r="N92" s="48" t="str">
        <f t="shared" si="141"/>
        <v/>
      </c>
      <c r="O92" s="84" t="str">
        <f t="shared" si="142"/>
        <v/>
      </c>
      <c r="P92" s="82" t="str">
        <f t="shared" si="143"/>
        <v/>
      </c>
      <c r="Q92" s="48" t="str">
        <f t="shared" si="144"/>
        <v/>
      </c>
      <c r="R92" s="48" t="str">
        <f t="shared" si="145"/>
        <v/>
      </c>
      <c r="S92" s="84" t="str">
        <f t="shared" si="146"/>
        <v/>
      </c>
      <c r="T92" s="82" t="str">
        <f t="shared" si="147"/>
        <v/>
      </c>
      <c r="U92" s="48" t="str">
        <f t="shared" si="148"/>
        <v/>
      </c>
      <c r="V92" s="48" t="str">
        <f t="shared" si="149"/>
        <v/>
      </c>
      <c r="W92" s="84" t="str">
        <f t="shared" si="150"/>
        <v/>
      </c>
      <c r="X92" s="82" t="str">
        <f t="shared" si="151"/>
        <v/>
      </c>
      <c r="Y92" s="48" t="str">
        <f t="shared" si="152"/>
        <v/>
      </c>
      <c r="Z92" s="48" t="str">
        <f t="shared" si="153"/>
        <v/>
      </c>
      <c r="AA92" s="84" t="str">
        <f t="shared" si="154"/>
        <v/>
      </c>
      <c r="AB92" s="82" t="str">
        <f t="shared" si="155"/>
        <v/>
      </c>
      <c r="AC92" s="48" t="str">
        <f t="shared" si="156"/>
        <v/>
      </c>
      <c r="AD92" s="48" t="str">
        <f t="shared" si="157"/>
        <v/>
      </c>
      <c r="AE92" s="84" t="str">
        <f t="shared" si="158"/>
        <v/>
      </c>
      <c r="AF92" s="82" t="str">
        <f t="shared" si="159"/>
        <v/>
      </c>
      <c r="AG92" s="48" t="str">
        <f t="shared" si="160"/>
        <v/>
      </c>
      <c r="AH92" s="48" t="str">
        <f t="shared" si="161"/>
        <v/>
      </c>
      <c r="AI92" s="84" t="str">
        <f t="shared" si="162"/>
        <v/>
      </c>
      <c r="AJ92" s="82" t="str">
        <f t="shared" si="163"/>
        <v/>
      </c>
      <c r="AK92" s="48" t="str">
        <f t="shared" si="164"/>
        <v/>
      </c>
      <c r="AL92" s="48" t="str">
        <f t="shared" si="165"/>
        <v/>
      </c>
      <c r="AM92" s="84" t="str">
        <f t="shared" si="166"/>
        <v/>
      </c>
      <c r="AN92" s="82" t="str">
        <f t="shared" si="167"/>
        <v/>
      </c>
      <c r="AO92" s="48" t="str">
        <f t="shared" si="168"/>
        <v/>
      </c>
      <c r="AP92" s="48" t="str">
        <f t="shared" si="169"/>
        <v/>
      </c>
      <c r="AQ92" s="84" t="str">
        <f t="shared" si="170"/>
        <v/>
      </c>
      <c r="AR92" s="82" t="str">
        <f t="shared" si="171"/>
        <v/>
      </c>
      <c r="AS92" s="48" t="str">
        <f t="shared" si="172"/>
        <v/>
      </c>
      <c r="AT92" s="48" t="str">
        <f t="shared" si="173"/>
        <v/>
      </c>
      <c r="AU92" s="84" t="str">
        <f t="shared" si="174"/>
        <v/>
      </c>
      <c r="AV92" s="82" t="str">
        <f t="shared" si="175"/>
        <v/>
      </c>
      <c r="AW92" s="48" t="str">
        <f t="shared" si="176"/>
        <v/>
      </c>
      <c r="AX92" s="48" t="str">
        <f t="shared" si="177"/>
        <v/>
      </c>
      <c r="AY92" s="84" t="str">
        <f t="shared" si="178"/>
        <v/>
      </c>
      <c r="AZ92" s="82" t="str">
        <f t="shared" si="179"/>
        <v/>
      </c>
      <c r="BA92" s="48" t="str">
        <f t="shared" si="180"/>
        <v/>
      </c>
      <c r="BB92" s="48" t="str">
        <f t="shared" si="181"/>
        <v/>
      </c>
      <c r="BC92" s="84" t="str">
        <f t="shared" si="182"/>
        <v/>
      </c>
      <c r="BD92" s="82" t="str">
        <f t="shared" si="183"/>
        <v/>
      </c>
      <c r="BE92" s="48" t="str">
        <f t="shared" si="184"/>
        <v/>
      </c>
      <c r="BF92" s="48" t="str">
        <f t="shared" si="185"/>
        <v/>
      </c>
      <c r="BG92" s="84" t="str">
        <f t="shared" si="186"/>
        <v/>
      </c>
      <c r="BH92" s="87" t="str">
        <f t="shared" si="187"/>
        <v/>
      </c>
      <c r="BI92" s="49" t="str">
        <f t="shared" si="188"/>
        <v/>
      </c>
      <c r="BJ92" s="49" t="str">
        <f t="shared" si="189"/>
        <v/>
      </c>
      <c r="BK92" s="89" t="str">
        <f t="shared" si="190"/>
        <v/>
      </c>
      <c r="BL92" s="87" t="str">
        <f t="shared" si="191"/>
        <v/>
      </c>
      <c r="BM92" s="49" t="str">
        <f t="shared" si="192"/>
        <v/>
      </c>
      <c r="BN92" s="49" t="str">
        <f t="shared" si="193"/>
        <v/>
      </c>
      <c r="BO92" s="89" t="str">
        <f t="shared" si="194"/>
        <v/>
      </c>
      <c r="BP92" s="87" t="str">
        <f t="shared" si="195"/>
        <v/>
      </c>
      <c r="BQ92" s="49" t="str">
        <f t="shared" si="196"/>
        <v/>
      </c>
      <c r="BR92" s="49" t="str">
        <f t="shared" si="197"/>
        <v/>
      </c>
      <c r="BS92" s="89" t="str">
        <f t="shared" si="198"/>
        <v/>
      </c>
      <c r="BT92" s="87" t="str">
        <f t="shared" si="199"/>
        <v/>
      </c>
    </row>
    <row r="93" spans="2:72" s="93" customFormat="1">
      <c r="B93" s="81">
        <f>Weekly!B85</f>
        <v>0</v>
      </c>
      <c r="C93" s="90">
        <f>Weekly!C85</f>
        <v>0</v>
      </c>
      <c r="D93" s="90">
        <f>Weekly!D86</f>
        <v>0</v>
      </c>
      <c r="E93" s="91" t="e">
        <f>VLOOKUP(B93,Team!$B$4:$E$183,4,FALSE)</f>
        <v>#N/A</v>
      </c>
      <c r="F93" s="92" t="str">
        <f>Weekly!J85</f>
        <v/>
      </c>
      <c r="G93" s="92" t="str">
        <f>Weekly!K85</f>
        <v/>
      </c>
      <c r="H93" s="48" t="str">
        <f t="shared" si="135"/>
        <v/>
      </c>
      <c r="I93" s="48" t="str">
        <f t="shared" si="136"/>
        <v/>
      </c>
      <c r="J93" s="48" t="str">
        <f t="shared" si="137"/>
        <v/>
      </c>
      <c r="K93" s="84" t="str">
        <f t="shared" si="138"/>
        <v/>
      </c>
      <c r="L93" s="82" t="str">
        <f t="shared" si="139"/>
        <v/>
      </c>
      <c r="M93" s="48" t="str">
        <f t="shared" si="140"/>
        <v/>
      </c>
      <c r="N93" s="48" t="str">
        <f t="shared" si="141"/>
        <v/>
      </c>
      <c r="O93" s="84" t="str">
        <f t="shared" si="142"/>
        <v/>
      </c>
      <c r="P93" s="82" t="str">
        <f t="shared" si="143"/>
        <v/>
      </c>
      <c r="Q93" s="48" t="str">
        <f t="shared" si="144"/>
        <v/>
      </c>
      <c r="R93" s="48" t="str">
        <f t="shared" si="145"/>
        <v/>
      </c>
      <c r="S93" s="84" t="str">
        <f t="shared" si="146"/>
        <v/>
      </c>
      <c r="T93" s="82" t="str">
        <f t="shared" si="147"/>
        <v/>
      </c>
      <c r="U93" s="48" t="str">
        <f t="shared" si="148"/>
        <v/>
      </c>
      <c r="V93" s="48" t="str">
        <f t="shared" si="149"/>
        <v/>
      </c>
      <c r="W93" s="84" t="str">
        <f t="shared" si="150"/>
        <v/>
      </c>
      <c r="X93" s="82" t="str">
        <f t="shared" si="151"/>
        <v/>
      </c>
      <c r="Y93" s="48" t="str">
        <f t="shared" si="152"/>
        <v/>
      </c>
      <c r="Z93" s="48" t="str">
        <f t="shared" si="153"/>
        <v/>
      </c>
      <c r="AA93" s="84" t="str">
        <f t="shared" si="154"/>
        <v/>
      </c>
      <c r="AB93" s="82" t="str">
        <f t="shared" si="155"/>
        <v/>
      </c>
      <c r="AC93" s="48" t="str">
        <f t="shared" si="156"/>
        <v/>
      </c>
      <c r="AD93" s="48" t="str">
        <f t="shared" si="157"/>
        <v/>
      </c>
      <c r="AE93" s="84" t="str">
        <f t="shared" si="158"/>
        <v/>
      </c>
      <c r="AF93" s="82" t="str">
        <f t="shared" si="159"/>
        <v/>
      </c>
      <c r="AG93" s="48" t="str">
        <f t="shared" si="160"/>
        <v/>
      </c>
      <c r="AH93" s="48" t="str">
        <f t="shared" si="161"/>
        <v/>
      </c>
      <c r="AI93" s="84" t="str">
        <f t="shared" si="162"/>
        <v/>
      </c>
      <c r="AJ93" s="82" t="str">
        <f t="shared" si="163"/>
        <v/>
      </c>
      <c r="AK93" s="48" t="str">
        <f t="shared" si="164"/>
        <v/>
      </c>
      <c r="AL93" s="48" t="str">
        <f t="shared" si="165"/>
        <v/>
      </c>
      <c r="AM93" s="84" t="str">
        <f t="shared" si="166"/>
        <v/>
      </c>
      <c r="AN93" s="82" t="str">
        <f t="shared" si="167"/>
        <v/>
      </c>
      <c r="AO93" s="48" t="str">
        <f t="shared" si="168"/>
        <v/>
      </c>
      <c r="AP93" s="48" t="str">
        <f t="shared" si="169"/>
        <v/>
      </c>
      <c r="AQ93" s="84" t="str">
        <f t="shared" si="170"/>
        <v/>
      </c>
      <c r="AR93" s="82" t="str">
        <f t="shared" si="171"/>
        <v/>
      </c>
      <c r="AS93" s="48" t="str">
        <f t="shared" si="172"/>
        <v/>
      </c>
      <c r="AT93" s="48" t="str">
        <f t="shared" si="173"/>
        <v/>
      </c>
      <c r="AU93" s="84" t="str">
        <f t="shared" si="174"/>
        <v/>
      </c>
      <c r="AV93" s="82" t="str">
        <f t="shared" si="175"/>
        <v/>
      </c>
      <c r="AW93" s="48" t="str">
        <f t="shared" si="176"/>
        <v/>
      </c>
      <c r="AX93" s="48" t="str">
        <f t="shared" si="177"/>
        <v/>
      </c>
      <c r="AY93" s="84" t="str">
        <f t="shared" si="178"/>
        <v/>
      </c>
      <c r="AZ93" s="82" t="str">
        <f t="shared" si="179"/>
        <v/>
      </c>
      <c r="BA93" s="48" t="str">
        <f t="shared" si="180"/>
        <v/>
      </c>
      <c r="BB93" s="48" t="str">
        <f t="shared" si="181"/>
        <v/>
      </c>
      <c r="BC93" s="84" t="str">
        <f t="shared" si="182"/>
        <v/>
      </c>
      <c r="BD93" s="82" t="str">
        <f t="shared" si="183"/>
        <v/>
      </c>
      <c r="BE93" s="48" t="str">
        <f t="shared" si="184"/>
        <v/>
      </c>
      <c r="BF93" s="48" t="str">
        <f t="shared" si="185"/>
        <v/>
      </c>
      <c r="BG93" s="84" t="str">
        <f t="shared" si="186"/>
        <v/>
      </c>
      <c r="BH93" s="87" t="str">
        <f t="shared" si="187"/>
        <v/>
      </c>
      <c r="BI93" s="49" t="str">
        <f t="shared" si="188"/>
        <v/>
      </c>
      <c r="BJ93" s="49" t="str">
        <f t="shared" si="189"/>
        <v/>
      </c>
      <c r="BK93" s="89" t="str">
        <f t="shared" si="190"/>
        <v/>
      </c>
      <c r="BL93" s="87" t="str">
        <f t="shared" si="191"/>
        <v/>
      </c>
      <c r="BM93" s="49" t="str">
        <f t="shared" si="192"/>
        <v/>
      </c>
      <c r="BN93" s="49" t="str">
        <f t="shared" si="193"/>
        <v/>
      </c>
      <c r="BO93" s="89" t="str">
        <f t="shared" si="194"/>
        <v/>
      </c>
      <c r="BP93" s="87" t="str">
        <f t="shared" si="195"/>
        <v/>
      </c>
      <c r="BQ93" s="49" t="str">
        <f t="shared" si="196"/>
        <v/>
      </c>
      <c r="BR93" s="49" t="str">
        <f t="shared" si="197"/>
        <v/>
      </c>
      <c r="BS93" s="89" t="str">
        <f t="shared" si="198"/>
        <v/>
      </c>
      <c r="BT93" s="87" t="str">
        <f t="shared" si="199"/>
        <v/>
      </c>
    </row>
    <row r="94" spans="2:72" s="93" customFormat="1">
      <c r="B94" s="81">
        <f>Weekly!B86</f>
        <v>0</v>
      </c>
      <c r="C94" s="90">
        <f>Weekly!C86</f>
        <v>0</v>
      </c>
      <c r="D94" s="90">
        <f>Weekly!D87</f>
        <v>0</v>
      </c>
      <c r="E94" s="91" t="e">
        <f>VLOOKUP(B94,Team!$B$4:$E$183,4,FALSE)</f>
        <v>#N/A</v>
      </c>
      <c r="F94" s="92" t="str">
        <f>Weekly!J86</f>
        <v/>
      </c>
      <c r="G94" s="92" t="str">
        <f>Weekly!K86</f>
        <v/>
      </c>
      <c r="H94" s="48" t="str">
        <f t="shared" si="135"/>
        <v/>
      </c>
      <c r="I94" s="48" t="str">
        <f t="shared" si="136"/>
        <v/>
      </c>
      <c r="J94" s="48" t="str">
        <f t="shared" si="137"/>
        <v/>
      </c>
      <c r="K94" s="84" t="str">
        <f t="shared" si="138"/>
        <v/>
      </c>
      <c r="L94" s="82" t="str">
        <f t="shared" si="139"/>
        <v/>
      </c>
      <c r="M94" s="48" t="str">
        <f t="shared" si="140"/>
        <v/>
      </c>
      <c r="N94" s="48" t="str">
        <f t="shared" si="141"/>
        <v/>
      </c>
      <c r="O94" s="84" t="str">
        <f t="shared" si="142"/>
        <v/>
      </c>
      <c r="P94" s="82" t="str">
        <f t="shared" si="143"/>
        <v/>
      </c>
      <c r="Q94" s="48" t="str">
        <f t="shared" si="144"/>
        <v/>
      </c>
      <c r="R94" s="48" t="str">
        <f t="shared" si="145"/>
        <v/>
      </c>
      <c r="S94" s="84" t="str">
        <f t="shared" si="146"/>
        <v/>
      </c>
      <c r="T94" s="82" t="str">
        <f t="shared" si="147"/>
        <v/>
      </c>
      <c r="U94" s="48" t="str">
        <f t="shared" si="148"/>
        <v/>
      </c>
      <c r="V94" s="48" t="str">
        <f t="shared" si="149"/>
        <v/>
      </c>
      <c r="W94" s="84" t="str">
        <f t="shared" si="150"/>
        <v/>
      </c>
      <c r="X94" s="82" t="str">
        <f t="shared" si="151"/>
        <v/>
      </c>
      <c r="Y94" s="48" t="str">
        <f t="shared" si="152"/>
        <v/>
      </c>
      <c r="Z94" s="48" t="str">
        <f t="shared" si="153"/>
        <v/>
      </c>
      <c r="AA94" s="84" t="str">
        <f t="shared" si="154"/>
        <v/>
      </c>
      <c r="AB94" s="82" t="str">
        <f t="shared" si="155"/>
        <v/>
      </c>
      <c r="AC94" s="48" t="str">
        <f t="shared" si="156"/>
        <v/>
      </c>
      <c r="AD94" s="48" t="str">
        <f t="shared" si="157"/>
        <v/>
      </c>
      <c r="AE94" s="84" t="str">
        <f t="shared" si="158"/>
        <v/>
      </c>
      <c r="AF94" s="82" t="str">
        <f t="shared" si="159"/>
        <v/>
      </c>
      <c r="AG94" s="48" t="str">
        <f t="shared" si="160"/>
        <v/>
      </c>
      <c r="AH94" s="48" t="str">
        <f t="shared" si="161"/>
        <v/>
      </c>
      <c r="AI94" s="84" t="str">
        <f t="shared" si="162"/>
        <v/>
      </c>
      <c r="AJ94" s="82" t="str">
        <f t="shared" si="163"/>
        <v/>
      </c>
      <c r="AK94" s="48" t="str">
        <f t="shared" si="164"/>
        <v/>
      </c>
      <c r="AL94" s="48" t="str">
        <f t="shared" si="165"/>
        <v/>
      </c>
      <c r="AM94" s="84" t="str">
        <f t="shared" si="166"/>
        <v/>
      </c>
      <c r="AN94" s="82" t="str">
        <f t="shared" si="167"/>
        <v/>
      </c>
      <c r="AO94" s="48" t="str">
        <f t="shared" si="168"/>
        <v/>
      </c>
      <c r="AP94" s="48" t="str">
        <f t="shared" si="169"/>
        <v/>
      </c>
      <c r="AQ94" s="84" t="str">
        <f t="shared" si="170"/>
        <v/>
      </c>
      <c r="AR94" s="82" t="str">
        <f t="shared" si="171"/>
        <v/>
      </c>
      <c r="AS94" s="48" t="str">
        <f t="shared" si="172"/>
        <v/>
      </c>
      <c r="AT94" s="48" t="str">
        <f t="shared" si="173"/>
        <v/>
      </c>
      <c r="AU94" s="84" t="str">
        <f t="shared" si="174"/>
        <v/>
      </c>
      <c r="AV94" s="82" t="str">
        <f t="shared" si="175"/>
        <v/>
      </c>
      <c r="AW94" s="48" t="str">
        <f t="shared" si="176"/>
        <v/>
      </c>
      <c r="AX94" s="48" t="str">
        <f t="shared" si="177"/>
        <v/>
      </c>
      <c r="AY94" s="84" t="str">
        <f t="shared" si="178"/>
        <v/>
      </c>
      <c r="AZ94" s="82" t="str">
        <f t="shared" si="179"/>
        <v/>
      </c>
      <c r="BA94" s="48" t="str">
        <f t="shared" si="180"/>
        <v/>
      </c>
      <c r="BB94" s="48" t="str">
        <f t="shared" si="181"/>
        <v/>
      </c>
      <c r="BC94" s="84" t="str">
        <f t="shared" si="182"/>
        <v/>
      </c>
      <c r="BD94" s="82" t="str">
        <f t="shared" si="183"/>
        <v/>
      </c>
      <c r="BE94" s="48" t="str">
        <f t="shared" si="184"/>
        <v/>
      </c>
      <c r="BF94" s="48" t="str">
        <f t="shared" si="185"/>
        <v/>
      </c>
      <c r="BG94" s="84" t="str">
        <f t="shared" si="186"/>
        <v/>
      </c>
      <c r="BH94" s="87" t="str">
        <f t="shared" si="187"/>
        <v/>
      </c>
      <c r="BI94" s="49" t="str">
        <f t="shared" si="188"/>
        <v/>
      </c>
      <c r="BJ94" s="49" t="str">
        <f t="shared" si="189"/>
        <v/>
      </c>
      <c r="BK94" s="89" t="str">
        <f t="shared" si="190"/>
        <v/>
      </c>
      <c r="BL94" s="87" t="str">
        <f t="shared" si="191"/>
        <v/>
      </c>
      <c r="BM94" s="49" t="str">
        <f t="shared" si="192"/>
        <v/>
      </c>
      <c r="BN94" s="49" t="str">
        <f t="shared" si="193"/>
        <v/>
      </c>
      <c r="BO94" s="89" t="str">
        <f t="shared" si="194"/>
        <v/>
      </c>
      <c r="BP94" s="87" t="str">
        <f t="shared" si="195"/>
        <v/>
      </c>
      <c r="BQ94" s="49" t="str">
        <f t="shared" si="196"/>
        <v/>
      </c>
      <c r="BR94" s="49" t="str">
        <f t="shared" si="197"/>
        <v/>
      </c>
      <c r="BS94" s="89" t="str">
        <f t="shared" si="198"/>
        <v/>
      </c>
      <c r="BT94" s="87" t="str">
        <f t="shared" si="199"/>
        <v/>
      </c>
    </row>
    <row r="95" spans="2:72" s="93" customFormat="1">
      <c r="B95" s="81">
        <f>Weekly!B87</f>
        <v>0</v>
      </c>
      <c r="C95" s="90">
        <f>Weekly!C87</f>
        <v>0</v>
      </c>
      <c r="D95" s="90">
        <f>Weekly!D88</f>
        <v>0</v>
      </c>
      <c r="E95" s="91" t="e">
        <f>VLOOKUP(B95,Team!$B$4:$E$183,4,FALSE)</f>
        <v>#N/A</v>
      </c>
      <c r="F95" s="92" t="str">
        <f>Weekly!J87</f>
        <v/>
      </c>
      <c r="G95" s="92" t="str">
        <f>Weekly!K87</f>
        <v/>
      </c>
      <c r="H95" s="48" t="str">
        <f t="shared" si="135"/>
        <v/>
      </c>
      <c r="I95" s="48" t="str">
        <f t="shared" si="136"/>
        <v/>
      </c>
      <c r="J95" s="48" t="str">
        <f t="shared" si="137"/>
        <v/>
      </c>
      <c r="K95" s="84" t="str">
        <f t="shared" si="138"/>
        <v/>
      </c>
      <c r="L95" s="82" t="str">
        <f t="shared" si="139"/>
        <v/>
      </c>
      <c r="M95" s="48" t="str">
        <f t="shared" si="140"/>
        <v/>
      </c>
      <c r="N95" s="48" t="str">
        <f t="shared" si="141"/>
        <v/>
      </c>
      <c r="O95" s="84" t="str">
        <f t="shared" si="142"/>
        <v/>
      </c>
      <c r="P95" s="82" t="str">
        <f t="shared" si="143"/>
        <v/>
      </c>
      <c r="Q95" s="48" t="str">
        <f t="shared" si="144"/>
        <v/>
      </c>
      <c r="R95" s="48" t="str">
        <f t="shared" si="145"/>
        <v/>
      </c>
      <c r="S95" s="84" t="str">
        <f t="shared" si="146"/>
        <v/>
      </c>
      <c r="T95" s="82" t="str">
        <f t="shared" si="147"/>
        <v/>
      </c>
      <c r="U95" s="48" t="str">
        <f t="shared" si="148"/>
        <v/>
      </c>
      <c r="V95" s="48" t="str">
        <f t="shared" si="149"/>
        <v/>
      </c>
      <c r="W95" s="84" t="str">
        <f t="shared" si="150"/>
        <v/>
      </c>
      <c r="X95" s="82" t="str">
        <f t="shared" si="151"/>
        <v/>
      </c>
      <c r="Y95" s="48" t="str">
        <f t="shared" si="152"/>
        <v/>
      </c>
      <c r="Z95" s="48" t="str">
        <f t="shared" si="153"/>
        <v/>
      </c>
      <c r="AA95" s="84" t="str">
        <f t="shared" si="154"/>
        <v/>
      </c>
      <c r="AB95" s="82" t="str">
        <f t="shared" si="155"/>
        <v/>
      </c>
      <c r="AC95" s="48" t="str">
        <f t="shared" si="156"/>
        <v/>
      </c>
      <c r="AD95" s="48" t="str">
        <f t="shared" si="157"/>
        <v/>
      </c>
      <c r="AE95" s="84" t="str">
        <f t="shared" si="158"/>
        <v/>
      </c>
      <c r="AF95" s="82" t="str">
        <f t="shared" si="159"/>
        <v/>
      </c>
      <c r="AG95" s="48" t="str">
        <f t="shared" si="160"/>
        <v/>
      </c>
      <c r="AH95" s="48" t="str">
        <f t="shared" si="161"/>
        <v/>
      </c>
      <c r="AI95" s="84" t="str">
        <f t="shared" si="162"/>
        <v/>
      </c>
      <c r="AJ95" s="82" t="str">
        <f t="shared" si="163"/>
        <v/>
      </c>
      <c r="AK95" s="48" t="str">
        <f t="shared" si="164"/>
        <v/>
      </c>
      <c r="AL95" s="48" t="str">
        <f t="shared" si="165"/>
        <v/>
      </c>
      <c r="AM95" s="84" t="str">
        <f t="shared" si="166"/>
        <v/>
      </c>
      <c r="AN95" s="82" t="str">
        <f t="shared" si="167"/>
        <v/>
      </c>
      <c r="AO95" s="48" t="str">
        <f t="shared" si="168"/>
        <v/>
      </c>
      <c r="AP95" s="48" t="str">
        <f t="shared" si="169"/>
        <v/>
      </c>
      <c r="AQ95" s="84" t="str">
        <f t="shared" si="170"/>
        <v/>
      </c>
      <c r="AR95" s="82" t="str">
        <f t="shared" si="171"/>
        <v/>
      </c>
      <c r="AS95" s="48" t="str">
        <f t="shared" si="172"/>
        <v/>
      </c>
      <c r="AT95" s="48" t="str">
        <f t="shared" si="173"/>
        <v/>
      </c>
      <c r="AU95" s="84" t="str">
        <f t="shared" si="174"/>
        <v/>
      </c>
      <c r="AV95" s="82" t="str">
        <f t="shared" si="175"/>
        <v/>
      </c>
      <c r="AW95" s="48" t="str">
        <f t="shared" si="176"/>
        <v/>
      </c>
      <c r="AX95" s="48" t="str">
        <f t="shared" si="177"/>
        <v/>
      </c>
      <c r="AY95" s="84" t="str">
        <f t="shared" si="178"/>
        <v/>
      </c>
      <c r="AZ95" s="82" t="str">
        <f t="shared" si="179"/>
        <v/>
      </c>
      <c r="BA95" s="48" t="str">
        <f t="shared" si="180"/>
        <v/>
      </c>
      <c r="BB95" s="48" t="str">
        <f t="shared" si="181"/>
        <v/>
      </c>
      <c r="BC95" s="84" t="str">
        <f t="shared" si="182"/>
        <v/>
      </c>
      <c r="BD95" s="82" t="str">
        <f t="shared" si="183"/>
        <v/>
      </c>
      <c r="BE95" s="48" t="str">
        <f t="shared" si="184"/>
        <v/>
      </c>
      <c r="BF95" s="48" t="str">
        <f t="shared" si="185"/>
        <v/>
      </c>
      <c r="BG95" s="84" t="str">
        <f t="shared" si="186"/>
        <v/>
      </c>
      <c r="BH95" s="87" t="str">
        <f t="shared" si="187"/>
        <v/>
      </c>
      <c r="BI95" s="49" t="str">
        <f t="shared" si="188"/>
        <v/>
      </c>
      <c r="BJ95" s="49" t="str">
        <f t="shared" si="189"/>
        <v/>
      </c>
      <c r="BK95" s="89" t="str">
        <f t="shared" si="190"/>
        <v/>
      </c>
      <c r="BL95" s="87" t="str">
        <f t="shared" si="191"/>
        <v/>
      </c>
      <c r="BM95" s="49" t="str">
        <f t="shared" si="192"/>
        <v/>
      </c>
      <c r="BN95" s="49" t="str">
        <f t="shared" si="193"/>
        <v/>
      </c>
      <c r="BO95" s="89" t="str">
        <f t="shared" si="194"/>
        <v/>
      </c>
      <c r="BP95" s="87" t="str">
        <f t="shared" si="195"/>
        <v/>
      </c>
      <c r="BQ95" s="49" t="str">
        <f t="shared" si="196"/>
        <v/>
      </c>
      <c r="BR95" s="49" t="str">
        <f t="shared" si="197"/>
        <v/>
      </c>
      <c r="BS95" s="89" t="str">
        <f t="shared" si="198"/>
        <v/>
      </c>
      <c r="BT95" s="87" t="str">
        <f t="shared" si="199"/>
        <v/>
      </c>
    </row>
    <row r="96" spans="2:72" s="93" customFormat="1">
      <c r="B96" s="81">
        <f>Weekly!B88</f>
        <v>0</v>
      </c>
      <c r="C96" s="90">
        <f>Weekly!C88</f>
        <v>0</v>
      </c>
      <c r="D96" s="90">
        <f>Weekly!D89</f>
        <v>0</v>
      </c>
      <c r="E96" s="91" t="e">
        <f>VLOOKUP(B96,Team!$B$4:$E$183,4,FALSE)</f>
        <v>#N/A</v>
      </c>
      <c r="F96" s="92" t="str">
        <f>Weekly!J88</f>
        <v/>
      </c>
      <c r="G96" s="92" t="str">
        <f>Weekly!K88</f>
        <v/>
      </c>
      <c r="H96" s="48" t="str">
        <f t="shared" si="135"/>
        <v/>
      </c>
      <c r="I96" s="48" t="str">
        <f t="shared" si="136"/>
        <v/>
      </c>
      <c r="J96" s="48" t="str">
        <f t="shared" si="137"/>
        <v/>
      </c>
      <c r="K96" s="84" t="str">
        <f t="shared" si="138"/>
        <v/>
      </c>
      <c r="L96" s="82" t="str">
        <f t="shared" si="139"/>
        <v/>
      </c>
      <c r="M96" s="48" t="str">
        <f t="shared" si="140"/>
        <v/>
      </c>
      <c r="N96" s="48" t="str">
        <f t="shared" si="141"/>
        <v/>
      </c>
      <c r="O96" s="84" t="str">
        <f t="shared" si="142"/>
        <v/>
      </c>
      <c r="P96" s="82" t="str">
        <f t="shared" si="143"/>
        <v/>
      </c>
      <c r="Q96" s="48" t="str">
        <f t="shared" si="144"/>
        <v/>
      </c>
      <c r="R96" s="48" t="str">
        <f t="shared" si="145"/>
        <v/>
      </c>
      <c r="S96" s="84" t="str">
        <f t="shared" si="146"/>
        <v/>
      </c>
      <c r="T96" s="82" t="str">
        <f t="shared" si="147"/>
        <v/>
      </c>
      <c r="U96" s="48" t="str">
        <f t="shared" si="148"/>
        <v/>
      </c>
      <c r="V96" s="48" t="str">
        <f t="shared" si="149"/>
        <v/>
      </c>
      <c r="W96" s="84" t="str">
        <f t="shared" si="150"/>
        <v/>
      </c>
      <c r="X96" s="82" t="str">
        <f t="shared" si="151"/>
        <v/>
      </c>
      <c r="Y96" s="48" t="str">
        <f t="shared" si="152"/>
        <v/>
      </c>
      <c r="Z96" s="48" t="str">
        <f t="shared" si="153"/>
        <v/>
      </c>
      <c r="AA96" s="84" t="str">
        <f t="shared" si="154"/>
        <v/>
      </c>
      <c r="AB96" s="82" t="str">
        <f t="shared" si="155"/>
        <v/>
      </c>
      <c r="AC96" s="48" t="str">
        <f t="shared" si="156"/>
        <v/>
      </c>
      <c r="AD96" s="48" t="str">
        <f t="shared" si="157"/>
        <v/>
      </c>
      <c r="AE96" s="84" t="str">
        <f t="shared" si="158"/>
        <v/>
      </c>
      <c r="AF96" s="82" t="str">
        <f t="shared" si="159"/>
        <v/>
      </c>
      <c r="AG96" s="48" t="str">
        <f t="shared" si="160"/>
        <v/>
      </c>
      <c r="AH96" s="48" t="str">
        <f t="shared" si="161"/>
        <v/>
      </c>
      <c r="AI96" s="84" t="str">
        <f t="shared" si="162"/>
        <v/>
      </c>
      <c r="AJ96" s="82" t="str">
        <f t="shared" si="163"/>
        <v/>
      </c>
      <c r="AK96" s="48" t="str">
        <f t="shared" si="164"/>
        <v/>
      </c>
      <c r="AL96" s="48" t="str">
        <f t="shared" si="165"/>
        <v/>
      </c>
      <c r="AM96" s="84" t="str">
        <f t="shared" si="166"/>
        <v/>
      </c>
      <c r="AN96" s="82" t="str">
        <f t="shared" si="167"/>
        <v/>
      </c>
      <c r="AO96" s="48" t="str">
        <f t="shared" si="168"/>
        <v/>
      </c>
      <c r="AP96" s="48" t="str">
        <f t="shared" si="169"/>
        <v/>
      </c>
      <c r="AQ96" s="84" t="str">
        <f t="shared" si="170"/>
        <v/>
      </c>
      <c r="AR96" s="82" t="str">
        <f t="shared" si="171"/>
        <v/>
      </c>
      <c r="AS96" s="48" t="str">
        <f t="shared" si="172"/>
        <v/>
      </c>
      <c r="AT96" s="48" t="str">
        <f t="shared" si="173"/>
        <v/>
      </c>
      <c r="AU96" s="84" t="str">
        <f t="shared" si="174"/>
        <v/>
      </c>
      <c r="AV96" s="82" t="str">
        <f t="shared" si="175"/>
        <v/>
      </c>
      <c r="AW96" s="48" t="str">
        <f t="shared" si="176"/>
        <v/>
      </c>
      <c r="AX96" s="48" t="str">
        <f t="shared" si="177"/>
        <v/>
      </c>
      <c r="AY96" s="84" t="str">
        <f t="shared" si="178"/>
        <v/>
      </c>
      <c r="AZ96" s="82" t="str">
        <f t="shared" si="179"/>
        <v/>
      </c>
      <c r="BA96" s="48" t="str">
        <f t="shared" si="180"/>
        <v/>
      </c>
      <c r="BB96" s="48" t="str">
        <f t="shared" si="181"/>
        <v/>
      </c>
      <c r="BC96" s="84" t="str">
        <f t="shared" si="182"/>
        <v/>
      </c>
      <c r="BD96" s="82" t="str">
        <f t="shared" si="183"/>
        <v/>
      </c>
      <c r="BE96" s="48" t="str">
        <f t="shared" si="184"/>
        <v/>
      </c>
      <c r="BF96" s="48" t="str">
        <f t="shared" si="185"/>
        <v/>
      </c>
      <c r="BG96" s="84" t="str">
        <f t="shared" si="186"/>
        <v/>
      </c>
      <c r="BH96" s="87" t="str">
        <f t="shared" si="187"/>
        <v/>
      </c>
      <c r="BI96" s="49" t="str">
        <f t="shared" si="188"/>
        <v/>
      </c>
      <c r="BJ96" s="49" t="str">
        <f t="shared" si="189"/>
        <v/>
      </c>
      <c r="BK96" s="89" t="str">
        <f t="shared" si="190"/>
        <v/>
      </c>
      <c r="BL96" s="87" t="str">
        <f t="shared" si="191"/>
        <v/>
      </c>
      <c r="BM96" s="49" t="str">
        <f t="shared" si="192"/>
        <v/>
      </c>
      <c r="BN96" s="49" t="str">
        <f t="shared" si="193"/>
        <v/>
      </c>
      <c r="BO96" s="89" t="str">
        <f t="shared" si="194"/>
        <v/>
      </c>
      <c r="BP96" s="87" t="str">
        <f t="shared" si="195"/>
        <v/>
      </c>
      <c r="BQ96" s="49" t="str">
        <f t="shared" si="196"/>
        <v/>
      </c>
      <c r="BR96" s="49" t="str">
        <f t="shared" si="197"/>
        <v/>
      </c>
      <c r="BS96" s="89" t="str">
        <f t="shared" si="198"/>
        <v/>
      </c>
      <c r="BT96" s="87" t="str">
        <f t="shared" si="199"/>
        <v/>
      </c>
    </row>
    <row r="97" spans="2:72" s="93" customFormat="1">
      <c r="B97" s="81">
        <f>Weekly!B89</f>
        <v>0</v>
      </c>
      <c r="C97" s="90">
        <f>Weekly!C89</f>
        <v>0</v>
      </c>
      <c r="D97" s="90">
        <f>Weekly!D90</f>
        <v>0</v>
      </c>
      <c r="E97" s="91" t="e">
        <f>VLOOKUP(B97,Team!$B$4:$E$183,4,FALSE)</f>
        <v>#N/A</v>
      </c>
      <c r="F97" s="92" t="str">
        <f>Weekly!J89</f>
        <v/>
      </c>
      <c r="G97" s="92" t="str">
        <f>Weekly!K89</f>
        <v/>
      </c>
      <c r="H97" s="48" t="str">
        <f t="shared" si="135"/>
        <v/>
      </c>
      <c r="I97" s="48" t="str">
        <f t="shared" si="136"/>
        <v/>
      </c>
      <c r="J97" s="48" t="str">
        <f t="shared" si="137"/>
        <v/>
      </c>
      <c r="K97" s="84" t="str">
        <f t="shared" si="138"/>
        <v/>
      </c>
      <c r="L97" s="82" t="str">
        <f t="shared" si="139"/>
        <v/>
      </c>
      <c r="M97" s="48" t="str">
        <f t="shared" si="140"/>
        <v/>
      </c>
      <c r="N97" s="48" t="str">
        <f t="shared" si="141"/>
        <v/>
      </c>
      <c r="O97" s="84" t="str">
        <f t="shared" si="142"/>
        <v/>
      </c>
      <c r="P97" s="82" t="str">
        <f t="shared" si="143"/>
        <v/>
      </c>
      <c r="Q97" s="48" t="str">
        <f t="shared" si="144"/>
        <v/>
      </c>
      <c r="R97" s="48" t="str">
        <f t="shared" si="145"/>
        <v/>
      </c>
      <c r="S97" s="84" t="str">
        <f t="shared" si="146"/>
        <v/>
      </c>
      <c r="T97" s="82" t="str">
        <f t="shared" si="147"/>
        <v/>
      </c>
      <c r="U97" s="48" t="str">
        <f t="shared" si="148"/>
        <v/>
      </c>
      <c r="V97" s="48" t="str">
        <f t="shared" si="149"/>
        <v/>
      </c>
      <c r="W97" s="84" t="str">
        <f t="shared" si="150"/>
        <v/>
      </c>
      <c r="X97" s="82" t="str">
        <f t="shared" si="151"/>
        <v/>
      </c>
      <c r="Y97" s="48" t="str">
        <f t="shared" si="152"/>
        <v/>
      </c>
      <c r="Z97" s="48" t="str">
        <f t="shared" si="153"/>
        <v/>
      </c>
      <c r="AA97" s="84" t="str">
        <f t="shared" si="154"/>
        <v/>
      </c>
      <c r="AB97" s="82" t="str">
        <f t="shared" si="155"/>
        <v/>
      </c>
      <c r="AC97" s="48" t="str">
        <f t="shared" si="156"/>
        <v/>
      </c>
      <c r="AD97" s="48" t="str">
        <f t="shared" si="157"/>
        <v/>
      </c>
      <c r="AE97" s="84" t="str">
        <f t="shared" si="158"/>
        <v/>
      </c>
      <c r="AF97" s="82" t="str">
        <f t="shared" si="159"/>
        <v/>
      </c>
      <c r="AG97" s="48" t="str">
        <f t="shared" si="160"/>
        <v/>
      </c>
      <c r="AH97" s="48" t="str">
        <f t="shared" si="161"/>
        <v/>
      </c>
      <c r="AI97" s="84" t="str">
        <f t="shared" si="162"/>
        <v/>
      </c>
      <c r="AJ97" s="82" t="str">
        <f t="shared" si="163"/>
        <v/>
      </c>
      <c r="AK97" s="48" t="str">
        <f t="shared" si="164"/>
        <v/>
      </c>
      <c r="AL97" s="48" t="str">
        <f t="shared" si="165"/>
        <v/>
      </c>
      <c r="AM97" s="84" t="str">
        <f t="shared" si="166"/>
        <v/>
      </c>
      <c r="AN97" s="82" t="str">
        <f t="shared" si="167"/>
        <v/>
      </c>
      <c r="AO97" s="48" t="str">
        <f t="shared" si="168"/>
        <v/>
      </c>
      <c r="AP97" s="48" t="str">
        <f t="shared" si="169"/>
        <v/>
      </c>
      <c r="AQ97" s="84" t="str">
        <f t="shared" si="170"/>
        <v/>
      </c>
      <c r="AR97" s="82" t="str">
        <f t="shared" si="171"/>
        <v/>
      </c>
      <c r="AS97" s="48" t="str">
        <f t="shared" si="172"/>
        <v/>
      </c>
      <c r="AT97" s="48" t="str">
        <f t="shared" si="173"/>
        <v/>
      </c>
      <c r="AU97" s="84" t="str">
        <f t="shared" si="174"/>
        <v/>
      </c>
      <c r="AV97" s="82" t="str">
        <f t="shared" si="175"/>
        <v/>
      </c>
      <c r="AW97" s="48" t="str">
        <f t="shared" si="176"/>
        <v/>
      </c>
      <c r="AX97" s="48" t="str">
        <f t="shared" si="177"/>
        <v/>
      </c>
      <c r="AY97" s="84" t="str">
        <f t="shared" si="178"/>
        <v/>
      </c>
      <c r="AZ97" s="82" t="str">
        <f t="shared" si="179"/>
        <v/>
      </c>
      <c r="BA97" s="48" t="str">
        <f t="shared" si="180"/>
        <v/>
      </c>
      <c r="BB97" s="48" t="str">
        <f t="shared" si="181"/>
        <v/>
      </c>
      <c r="BC97" s="84" t="str">
        <f t="shared" si="182"/>
        <v/>
      </c>
      <c r="BD97" s="82" t="str">
        <f t="shared" si="183"/>
        <v/>
      </c>
      <c r="BE97" s="48" t="str">
        <f t="shared" si="184"/>
        <v/>
      </c>
      <c r="BF97" s="48" t="str">
        <f t="shared" si="185"/>
        <v/>
      </c>
      <c r="BG97" s="84" t="str">
        <f t="shared" si="186"/>
        <v/>
      </c>
      <c r="BH97" s="87" t="str">
        <f t="shared" si="187"/>
        <v/>
      </c>
      <c r="BI97" s="49" t="str">
        <f t="shared" si="188"/>
        <v/>
      </c>
      <c r="BJ97" s="49" t="str">
        <f t="shared" si="189"/>
        <v/>
      </c>
      <c r="BK97" s="89" t="str">
        <f t="shared" si="190"/>
        <v/>
      </c>
      <c r="BL97" s="87" t="str">
        <f t="shared" si="191"/>
        <v/>
      </c>
      <c r="BM97" s="49" t="str">
        <f t="shared" si="192"/>
        <v/>
      </c>
      <c r="BN97" s="49" t="str">
        <f t="shared" si="193"/>
        <v/>
      </c>
      <c r="BO97" s="89" t="str">
        <f t="shared" si="194"/>
        <v/>
      </c>
      <c r="BP97" s="87" t="str">
        <f t="shared" si="195"/>
        <v/>
      </c>
      <c r="BQ97" s="49" t="str">
        <f t="shared" si="196"/>
        <v/>
      </c>
      <c r="BR97" s="49" t="str">
        <f t="shared" si="197"/>
        <v/>
      </c>
      <c r="BS97" s="89" t="str">
        <f t="shared" si="198"/>
        <v/>
      </c>
      <c r="BT97" s="87" t="str">
        <f t="shared" si="199"/>
        <v/>
      </c>
    </row>
    <row r="98" spans="2:72" s="93" customFormat="1">
      <c r="B98" s="81">
        <f>Weekly!B90</f>
        <v>0</v>
      </c>
      <c r="C98" s="90">
        <f>Weekly!C90</f>
        <v>0</v>
      </c>
      <c r="D98" s="90">
        <f>Weekly!D91</f>
        <v>0</v>
      </c>
      <c r="E98" s="91" t="e">
        <f>VLOOKUP(B98,Team!$B$4:$E$183,4,FALSE)</f>
        <v>#N/A</v>
      </c>
      <c r="F98" s="92" t="str">
        <f>Weekly!J90</f>
        <v/>
      </c>
      <c r="G98" s="92" t="str">
        <f>Weekly!K90</f>
        <v/>
      </c>
      <c r="H98" s="48" t="str">
        <f t="shared" si="135"/>
        <v/>
      </c>
      <c r="I98" s="48" t="str">
        <f t="shared" si="136"/>
        <v/>
      </c>
      <c r="J98" s="48" t="str">
        <f t="shared" si="137"/>
        <v/>
      </c>
      <c r="K98" s="84" t="str">
        <f t="shared" si="138"/>
        <v/>
      </c>
      <c r="L98" s="82" t="str">
        <f t="shared" si="139"/>
        <v/>
      </c>
      <c r="M98" s="48" t="str">
        <f t="shared" si="140"/>
        <v/>
      </c>
      <c r="N98" s="48" t="str">
        <f t="shared" si="141"/>
        <v/>
      </c>
      <c r="O98" s="84" t="str">
        <f t="shared" si="142"/>
        <v/>
      </c>
      <c r="P98" s="82" t="str">
        <f t="shared" si="143"/>
        <v/>
      </c>
      <c r="Q98" s="48" t="str">
        <f t="shared" si="144"/>
        <v/>
      </c>
      <c r="R98" s="48" t="str">
        <f t="shared" si="145"/>
        <v/>
      </c>
      <c r="S98" s="84" t="str">
        <f t="shared" si="146"/>
        <v/>
      </c>
      <c r="T98" s="82" t="str">
        <f t="shared" si="147"/>
        <v/>
      </c>
      <c r="U98" s="48" t="str">
        <f t="shared" si="148"/>
        <v/>
      </c>
      <c r="V98" s="48" t="str">
        <f t="shared" si="149"/>
        <v/>
      </c>
      <c r="W98" s="84" t="str">
        <f t="shared" si="150"/>
        <v/>
      </c>
      <c r="X98" s="82" t="str">
        <f t="shared" si="151"/>
        <v/>
      </c>
      <c r="Y98" s="48" t="str">
        <f t="shared" si="152"/>
        <v/>
      </c>
      <c r="Z98" s="48" t="str">
        <f t="shared" si="153"/>
        <v/>
      </c>
      <c r="AA98" s="84" t="str">
        <f t="shared" si="154"/>
        <v/>
      </c>
      <c r="AB98" s="82" t="str">
        <f t="shared" si="155"/>
        <v/>
      </c>
      <c r="AC98" s="48" t="str">
        <f t="shared" si="156"/>
        <v/>
      </c>
      <c r="AD98" s="48" t="str">
        <f t="shared" si="157"/>
        <v/>
      </c>
      <c r="AE98" s="84" t="str">
        <f t="shared" si="158"/>
        <v/>
      </c>
      <c r="AF98" s="82" t="str">
        <f t="shared" si="159"/>
        <v/>
      </c>
      <c r="AG98" s="48" t="str">
        <f t="shared" si="160"/>
        <v/>
      </c>
      <c r="AH98" s="48" t="str">
        <f t="shared" si="161"/>
        <v/>
      </c>
      <c r="AI98" s="84" t="str">
        <f t="shared" si="162"/>
        <v/>
      </c>
      <c r="AJ98" s="82" t="str">
        <f t="shared" si="163"/>
        <v/>
      </c>
      <c r="AK98" s="48" t="str">
        <f t="shared" si="164"/>
        <v/>
      </c>
      <c r="AL98" s="48" t="str">
        <f t="shared" si="165"/>
        <v/>
      </c>
      <c r="AM98" s="84" t="str">
        <f t="shared" si="166"/>
        <v/>
      </c>
      <c r="AN98" s="82" t="str">
        <f t="shared" si="167"/>
        <v/>
      </c>
      <c r="AO98" s="48" t="str">
        <f t="shared" si="168"/>
        <v/>
      </c>
      <c r="AP98" s="48" t="str">
        <f t="shared" si="169"/>
        <v/>
      </c>
      <c r="AQ98" s="84" t="str">
        <f t="shared" si="170"/>
        <v/>
      </c>
      <c r="AR98" s="82" t="str">
        <f t="shared" si="171"/>
        <v/>
      </c>
      <c r="AS98" s="48" t="str">
        <f t="shared" si="172"/>
        <v/>
      </c>
      <c r="AT98" s="48" t="str">
        <f t="shared" si="173"/>
        <v/>
      </c>
      <c r="AU98" s="84" t="str">
        <f t="shared" si="174"/>
        <v/>
      </c>
      <c r="AV98" s="82" t="str">
        <f t="shared" si="175"/>
        <v/>
      </c>
      <c r="AW98" s="48" t="str">
        <f t="shared" si="176"/>
        <v/>
      </c>
      <c r="AX98" s="48" t="str">
        <f t="shared" si="177"/>
        <v/>
      </c>
      <c r="AY98" s="84" t="str">
        <f t="shared" si="178"/>
        <v/>
      </c>
      <c r="AZ98" s="82" t="str">
        <f t="shared" si="179"/>
        <v/>
      </c>
      <c r="BA98" s="48" t="str">
        <f t="shared" si="180"/>
        <v/>
      </c>
      <c r="BB98" s="48" t="str">
        <f t="shared" si="181"/>
        <v/>
      </c>
      <c r="BC98" s="84" t="str">
        <f t="shared" si="182"/>
        <v/>
      </c>
      <c r="BD98" s="82" t="str">
        <f t="shared" si="183"/>
        <v/>
      </c>
      <c r="BE98" s="48" t="str">
        <f t="shared" si="184"/>
        <v/>
      </c>
      <c r="BF98" s="48" t="str">
        <f t="shared" si="185"/>
        <v/>
      </c>
      <c r="BG98" s="84" t="str">
        <f t="shared" si="186"/>
        <v/>
      </c>
      <c r="BH98" s="87" t="str">
        <f t="shared" si="187"/>
        <v/>
      </c>
      <c r="BI98" s="49" t="str">
        <f t="shared" si="188"/>
        <v/>
      </c>
      <c r="BJ98" s="49" t="str">
        <f t="shared" si="189"/>
        <v/>
      </c>
      <c r="BK98" s="89" t="str">
        <f t="shared" si="190"/>
        <v/>
      </c>
      <c r="BL98" s="87" t="str">
        <f t="shared" si="191"/>
        <v/>
      </c>
      <c r="BM98" s="49" t="str">
        <f t="shared" si="192"/>
        <v/>
      </c>
      <c r="BN98" s="49" t="str">
        <f t="shared" si="193"/>
        <v/>
      </c>
      <c r="BO98" s="89" t="str">
        <f t="shared" si="194"/>
        <v/>
      </c>
      <c r="BP98" s="87" t="str">
        <f t="shared" si="195"/>
        <v/>
      </c>
      <c r="BQ98" s="49" t="str">
        <f t="shared" si="196"/>
        <v/>
      </c>
      <c r="BR98" s="49" t="str">
        <f t="shared" si="197"/>
        <v/>
      </c>
      <c r="BS98" s="89" t="str">
        <f t="shared" si="198"/>
        <v/>
      </c>
      <c r="BT98" s="87" t="str">
        <f t="shared" si="199"/>
        <v/>
      </c>
    </row>
    <row r="99" spans="2:72" s="93" customFormat="1">
      <c r="B99" s="81">
        <f>Weekly!B91</f>
        <v>0</v>
      </c>
      <c r="C99" s="90">
        <f>Weekly!C91</f>
        <v>0</v>
      </c>
      <c r="D99" s="90">
        <f>Weekly!D92</f>
        <v>0</v>
      </c>
      <c r="E99" s="91" t="e">
        <f>VLOOKUP(B99,Team!$B$4:$E$183,4,FALSE)</f>
        <v>#N/A</v>
      </c>
      <c r="F99" s="92" t="str">
        <f>Weekly!J91</f>
        <v/>
      </c>
      <c r="G99" s="92" t="str">
        <f>Weekly!K91</f>
        <v/>
      </c>
      <c r="H99" s="48" t="str">
        <f t="shared" si="135"/>
        <v/>
      </c>
      <c r="I99" s="48" t="str">
        <f t="shared" si="136"/>
        <v/>
      </c>
      <c r="J99" s="48" t="str">
        <f t="shared" si="137"/>
        <v/>
      </c>
      <c r="K99" s="84" t="str">
        <f t="shared" si="138"/>
        <v/>
      </c>
      <c r="L99" s="82" t="str">
        <f t="shared" si="139"/>
        <v/>
      </c>
      <c r="M99" s="48" t="str">
        <f t="shared" si="140"/>
        <v/>
      </c>
      <c r="N99" s="48" t="str">
        <f t="shared" si="141"/>
        <v/>
      </c>
      <c r="O99" s="84" t="str">
        <f t="shared" si="142"/>
        <v/>
      </c>
      <c r="P99" s="82" t="str">
        <f t="shared" si="143"/>
        <v/>
      </c>
      <c r="Q99" s="48" t="str">
        <f t="shared" si="144"/>
        <v/>
      </c>
      <c r="R99" s="48" t="str">
        <f t="shared" si="145"/>
        <v/>
      </c>
      <c r="S99" s="84" t="str">
        <f t="shared" si="146"/>
        <v/>
      </c>
      <c r="T99" s="82" t="str">
        <f t="shared" si="147"/>
        <v/>
      </c>
      <c r="U99" s="48" t="str">
        <f t="shared" si="148"/>
        <v/>
      </c>
      <c r="V99" s="48" t="str">
        <f t="shared" si="149"/>
        <v/>
      </c>
      <c r="W99" s="84" t="str">
        <f t="shared" si="150"/>
        <v/>
      </c>
      <c r="X99" s="82" t="str">
        <f t="shared" si="151"/>
        <v/>
      </c>
      <c r="Y99" s="48" t="str">
        <f t="shared" si="152"/>
        <v/>
      </c>
      <c r="Z99" s="48" t="str">
        <f t="shared" si="153"/>
        <v/>
      </c>
      <c r="AA99" s="84" t="str">
        <f t="shared" si="154"/>
        <v/>
      </c>
      <c r="AB99" s="82" t="str">
        <f t="shared" si="155"/>
        <v/>
      </c>
      <c r="AC99" s="48" t="str">
        <f t="shared" si="156"/>
        <v/>
      </c>
      <c r="AD99" s="48" t="str">
        <f t="shared" si="157"/>
        <v/>
      </c>
      <c r="AE99" s="84" t="str">
        <f t="shared" si="158"/>
        <v/>
      </c>
      <c r="AF99" s="82" t="str">
        <f t="shared" si="159"/>
        <v/>
      </c>
      <c r="AG99" s="48" t="str">
        <f t="shared" si="160"/>
        <v/>
      </c>
      <c r="AH99" s="48" t="str">
        <f t="shared" si="161"/>
        <v/>
      </c>
      <c r="AI99" s="84" t="str">
        <f t="shared" si="162"/>
        <v/>
      </c>
      <c r="AJ99" s="82" t="str">
        <f t="shared" si="163"/>
        <v/>
      </c>
      <c r="AK99" s="48" t="str">
        <f t="shared" si="164"/>
        <v/>
      </c>
      <c r="AL99" s="48" t="str">
        <f t="shared" si="165"/>
        <v/>
      </c>
      <c r="AM99" s="84" t="str">
        <f t="shared" si="166"/>
        <v/>
      </c>
      <c r="AN99" s="82" t="str">
        <f t="shared" si="167"/>
        <v/>
      </c>
      <c r="AO99" s="48" t="str">
        <f t="shared" si="168"/>
        <v/>
      </c>
      <c r="AP99" s="48" t="str">
        <f t="shared" si="169"/>
        <v/>
      </c>
      <c r="AQ99" s="84" t="str">
        <f t="shared" si="170"/>
        <v/>
      </c>
      <c r="AR99" s="82" t="str">
        <f t="shared" si="171"/>
        <v/>
      </c>
      <c r="AS99" s="48" t="str">
        <f t="shared" si="172"/>
        <v/>
      </c>
      <c r="AT99" s="48" t="str">
        <f t="shared" si="173"/>
        <v/>
      </c>
      <c r="AU99" s="84" t="str">
        <f t="shared" si="174"/>
        <v/>
      </c>
      <c r="AV99" s="82" t="str">
        <f t="shared" si="175"/>
        <v/>
      </c>
      <c r="AW99" s="48" t="str">
        <f t="shared" si="176"/>
        <v/>
      </c>
      <c r="AX99" s="48" t="str">
        <f t="shared" si="177"/>
        <v/>
      </c>
      <c r="AY99" s="84" t="str">
        <f t="shared" si="178"/>
        <v/>
      </c>
      <c r="AZ99" s="82" t="str">
        <f t="shared" si="179"/>
        <v/>
      </c>
      <c r="BA99" s="48" t="str">
        <f t="shared" si="180"/>
        <v/>
      </c>
      <c r="BB99" s="48" t="str">
        <f t="shared" si="181"/>
        <v/>
      </c>
      <c r="BC99" s="84" t="str">
        <f t="shared" si="182"/>
        <v/>
      </c>
      <c r="BD99" s="82" t="str">
        <f t="shared" si="183"/>
        <v/>
      </c>
      <c r="BE99" s="48" t="str">
        <f t="shared" si="184"/>
        <v/>
      </c>
      <c r="BF99" s="48" t="str">
        <f t="shared" si="185"/>
        <v/>
      </c>
      <c r="BG99" s="84" t="str">
        <f t="shared" si="186"/>
        <v/>
      </c>
      <c r="BH99" s="87" t="str">
        <f t="shared" si="187"/>
        <v/>
      </c>
      <c r="BI99" s="49" t="str">
        <f t="shared" si="188"/>
        <v/>
      </c>
      <c r="BJ99" s="49" t="str">
        <f t="shared" si="189"/>
        <v/>
      </c>
      <c r="BK99" s="89" t="str">
        <f t="shared" si="190"/>
        <v/>
      </c>
      <c r="BL99" s="87" t="str">
        <f t="shared" si="191"/>
        <v/>
      </c>
      <c r="BM99" s="49" t="str">
        <f t="shared" si="192"/>
        <v/>
      </c>
      <c r="BN99" s="49" t="str">
        <f t="shared" si="193"/>
        <v/>
      </c>
      <c r="BO99" s="89" t="str">
        <f t="shared" si="194"/>
        <v/>
      </c>
      <c r="BP99" s="87" t="str">
        <f t="shared" si="195"/>
        <v/>
      </c>
      <c r="BQ99" s="49" t="str">
        <f t="shared" si="196"/>
        <v/>
      </c>
      <c r="BR99" s="49" t="str">
        <f t="shared" si="197"/>
        <v/>
      </c>
      <c r="BS99" s="89" t="str">
        <f t="shared" si="198"/>
        <v/>
      </c>
      <c r="BT99" s="87" t="str">
        <f t="shared" si="199"/>
        <v/>
      </c>
    </row>
    <row r="100" spans="2:72" s="93" customFormat="1">
      <c r="B100" s="81">
        <f>Weekly!B92</f>
        <v>0</v>
      </c>
      <c r="C100" s="90">
        <f>Weekly!C92</f>
        <v>0</v>
      </c>
      <c r="D100" s="90">
        <f>Weekly!D93</f>
        <v>0</v>
      </c>
      <c r="E100" s="91" t="e">
        <f>VLOOKUP(B100,Team!$B$4:$E$183,4,FALSE)</f>
        <v>#N/A</v>
      </c>
      <c r="F100" s="92" t="str">
        <f>Weekly!J92</f>
        <v/>
      </c>
      <c r="G100" s="92" t="str">
        <f>Weekly!K92</f>
        <v/>
      </c>
      <c r="H100" s="48" t="str">
        <f t="shared" si="135"/>
        <v/>
      </c>
      <c r="I100" s="48" t="str">
        <f t="shared" si="136"/>
        <v/>
      </c>
      <c r="J100" s="48" t="str">
        <f t="shared" si="137"/>
        <v/>
      </c>
      <c r="K100" s="84" t="str">
        <f t="shared" si="138"/>
        <v/>
      </c>
      <c r="L100" s="82" t="str">
        <f t="shared" si="139"/>
        <v/>
      </c>
      <c r="M100" s="48" t="str">
        <f t="shared" si="140"/>
        <v/>
      </c>
      <c r="N100" s="48" t="str">
        <f t="shared" si="141"/>
        <v/>
      </c>
      <c r="O100" s="84" t="str">
        <f t="shared" si="142"/>
        <v/>
      </c>
      <c r="P100" s="82" t="str">
        <f t="shared" si="143"/>
        <v/>
      </c>
      <c r="Q100" s="48" t="str">
        <f t="shared" si="144"/>
        <v/>
      </c>
      <c r="R100" s="48" t="str">
        <f t="shared" si="145"/>
        <v/>
      </c>
      <c r="S100" s="84" t="str">
        <f t="shared" si="146"/>
        <v/>
      </c>
      <c r="T100" s="82" t="str">
        <f t="shared" si="147"/>
        <v/>
      </c>
      <c r="U100" s="48" t="str">
        <f t="shared" si="148"/>
        <v/>
      </c>
      <c r="V100" s="48" t="str">
        <f t="shared" si="149"/>
        <v/>
      </c>
      <c r="W100" s="84" t="str">
        <f t="shared" si="150"/>
        <v/>
      </c>
      <c r="X100" s="82" t="str">
        <f t="shared" si="151"/>
        <v/>
      </c>
      <c r="Y100" s="48" t="str">
        <f t="shared" si="152"/>
        <v/>
      </c>
      <c r="Z100" s="48" t="str">
        <f t="shared" si="153"/>
        <v/>
      </c>
      <c r="AA100" s="84" t="str">
        <f t="shared" si="154"/>
        <v/>
      </c>
      <c r="AB100" s="82" t="str">
        <f t="shared" si="155"/>
        <v/>
      </c>
      <c r="AC100" s="48" t="str">
        <f t="shared" si="156"/>
        <v/>
      </c>
      <c r="AD100" s="48" t="str">
        <f t="shared" si="157"/>
        <v/>
      </c>
      <c r="AE100" s="84" t="str">
        <f t="shared" si="158"/>
        <v/>
      </c>
      <c r="AF100" s="82" t="str">
        <f t="shared" si="159"/>
        <v/>
      </c>
      <c r="AG100" s="48" t="str">
        <f t="shared" si="160"/>
        <v/>
      </c>
      <c r="AH100" s="48" t="str">
        <f t="shared" si="161"/>
        <v/>
      </c>
      <c r="AI100" s="84" t="str">
        <f t="shared" si="162"/>
        <v/>
      </c>
      <c r="AJ100" s="82" t="str">
        <f t="shared" si="163"/>
        <v/>
      </c>
      <c r="AK100" s="48" t="str">
        <f t="shared" si="164"/>
        <v/>
      </c>
      <c r="AL100" s="48" t="str">
        <f t="shared" si="165"/>
        <v/>
      </c>
      <c r="AM100" s="84" t="str">
        <f t="shared" si="166"/>
        <v/>
      </c>
      <c r="AN100" s="82" t="str">
        <f t="shared" si="167"/>
        <v/>
      </c>
      <c r="AO100" s="48" t="str">
        <f t="shared" si="168"/>
        <v/>
      </c>
      <c r="AP100" s="48" t="str">
        <f t="shared" si="169"/>
        <v/>
      </c>
      <c r="AQ100" s="84" t="str">
        <f t="shared" si="170"/>
        <v/>
      </c>
      <c r="AR100" s="82" t="str">
        <f t="shared" si="171"/>
        <v/>
      </c>
      <c r="AS100" s="48" t="str">
        <f t="shared" si="172"/>
        <v/>
      </c>
      <c r="AT100" s="48" t="str">
        <f t="shared" si="173"/>
        <v/>
      </c>
      <c r="AU100" s="84" t="str">
        <f t="shared" si="174"/>
        <v/>
      </c>
      <c r="AV100" s="82" t="str">
        <f t="shared" si="175"/>
        <v/>
      </c>
      <c r="AW100" s="48" t="str">
        <f t="shared" si="176"/>
        <v/>
      </c>
      <c r="AX100" s="48" t="str">
        <f t="shared" si="177"/>
        <v/>
      </c>
      <c r="AY100" s="84" t="str">
        <f t="shared" si="178"/>
        <v/>
      </c>
      <c r="AZ100" s="82" t="str">
        <f t="shared" si="179"/>
        <v/>
      </c>
      <c r="BA100" s="48" t="str">
        <f t="shared" si="180"/>
        <v/>
      </c>
      <c r="BB100" s="48" t="str">
        <f t="shared" si="181"/>
        <v/>
      </c>
      <c r="BC100" s="84" t="str">
        <f t="shared" si="182"/>
        <v/>
      </c>
      <c r="BD100" s="82" t="str">
        <f t="shared" si="183"/>
        <v/>
      </c>
      <c r="BE100" s="48" t="str">
        <f t="shared" si="184"/>
        <v/>
      </c>
      <c r="BF100" s="48" t="str">
        <f t="shared" si="185"/>
        <v/>
      </c>
      <c r="BG100" s="84" t="str">
        <f t="shared" si="186"/>
        <v/>
      </c>
      <c r="BH100" s="87" t="str">
        <f t="shared" si="187"/>
        <v/>
      </c>
      <c r="BI100" s="49" t="str">
        <f t="shared" si="188"/>
        <v/>
      </c>
      <c r="BJ100" s="49" t="str">
        <f t="shared" si="189"/>
        <v/>
      </c>
      <c r="BK100" s="89" t="str">
        <f t="shared" si="190"/>
        <v/>
      </c>
      <c r="BL100" s="87" t="str">
        <f t="shared" si="191"/>
        <v/>
      </c>
      <c r="BM100" s="49" t="str">
        <f t="shared" si="192"/>
        <v/>
      </c>
      <c r="BN100" s="49" t="str">
        <f t="shared" si="193"/>
        <v/>
      </c>
      <c r="BO100" s="89" t="str">
        <f t="shared" si="194"/>
        <v/>
      </c>
      <c r="BP100" s="87" t="str">
        <f t="shared" si="195"/>
        <v/>
      </c>
      <c r="BQ100" s="49" t="str">
        <f t="shared" si="196"/>
        <v/>
      </c>
      <c r="BR100" s="49" t="str">
        <f t="shared" si="197"/>
        <v/>
      </c>
      <c r="BS100" s="89" t="str">
        <f t="shared" si="198"/>
        <v/>
      </c>
      <c r="BT100" s="87" t="str">
        <f t="shared" si="199"/>
        <v/>
      </c>
    </row>
    <row r="101" spans="2:72" s="93" customFormat="1">
      <c r="B101" s="81">
        <f>Weekly!B93</f>
        <v>0</v>
      </c>
      <c r="C101" s="90">
        <f>Weekly!C93</f>
        <v>0</v>
      </c>
      <c r="D101" s="90">
        <f>Weekly!D94</f>
        <v>0</v>
      </c>
      <c r="E101" s="91" t="e">
        <f>VLOOKUP(B101,Team!$B$4:$E$183,4,FALSE)</f>
        <v>#N/A</v>
      </c>
      <c r="F101" s="92" t="str">
        <f>Weekly!J93</f>
        <v/>
      </c>
      <c r="G101" s="92" t="str">
        <f>Weekly!K93</f>
        <v/>
      </c>
      <c r="H101" s="48" t="str">
        <f t="shared" si="135"/>
        <v/>
      </c>
      <c r="I101" s="48" t="str">
        <f t="shared" si="136"/>
        <v/>
      </c>
      <c r="J101" s="48" t="str">
        <f t="shared" si="137"/>
        <v/>
      </c>
      <c r="K101" s="84" t="str">
        <f t="shared" si="138"/>
        <v/>
      </c>
      <c r="L101" s="82" t="str">
        <f t="shared" si="139"/>
        <v/>
      </c>
      <c r="M101" s="48" t="str">
        <f t="shared" si="140"/>
        <v/>
      </c>
      <c r="N101" s="48" t="str">
        <f t="shared" si="141"/>
        <v/>
      </c>
      <c r="O101" s="84" t="str">
        <f t="shared" si="142"/>
        <v/>
      </c>
      <c r="P101" s="82" t="str">
        <f t="shared" si="143"/>
        <v/>
      </c>
      <c r="Q101" s="48" t="str">
        <f t="shared" si="144"/>
        <v/>
      </c>
      <c r="R101" s="48" t="str">
        <f t="shared" si="145"/>
        <v/>
      </c>
      <c r="S101" s="84" t="str">
        <f t="shared" si="146"/>
        <v/>
      </c>
      <c r="T101" s="82" t="str">
        <f t="shared" si="147"/>
        <v/>
      </c>
      <c r="U101" s="48" t="str">
        <f t="shared" si="148"/>
        <v/>
      </c>
      <c r="V101" s="48" t="str">
        <f t="shared" si="149"/>
        <v/>
      </c>
      <c r="W101" s="84" t="str">
        <f t="shared" si="150"/>
        <v/>
      </c>
      <c r="X101" s="82" t="str">
        <f t="shared" si="151"/>
        <v/>
      </c>
      <c r="Y101" s="48" t="str">
        <f t="shared" si="152"/>
        <v/>
      </c>
      <c r="Z101" s="48" t="str">
        <f t="shared" si="153"/>
        <v/>
      </c>
      <c r="AA101" s="84" t="str">
        <f t="shared" si="154"/>
        <v/>
      </c>
      <c r="AB101" s="82" t="str">
        <f t="shared" si="155"/>
        <v/>
      </c>
      <c r="AC101" s="48" t="str">
        <f t="shared" si="156"/>
        <v/>
      </c>
      <c r="AD101" s="48" t="str">
        <f t="shared" si="157"/>
        <v/>
      </c>
      <c r="AE101" s="84" t="str">
        <f t="shared" si="158"/>
        <v/>
      </c>
      <c r="AF101" s="82" t="str">
        <f t="shared" si="159"/>
        <v/>
      </c>
      <c r="AG101" s="48" t="str">
        <f t="shared" si="160"/>
        <v/>
      </c>
      <c r="AH101" s="48" t="str">
        <f t="shared" si="161"/>
        <v/>
      </c>
      <c r="AI101" s="84" t="str">
        <f t="shared" si="162"/>
        <v/>
      </c>
      <c r="AJ101" s="82" t="str">
        <f t="shared" si="163"/>
        <v/>
      </c>
      <c r="AK101" s="48" t="str">
        <f t="shared" si="164"/>
        <v/>
      </c>
      <c r="AL101" s="48" t="str">
        <f t="shared" si="165"/>
        <v/>
      </c>
      <c r="AM101" s="84" t="str">
        <f t="shared" si="166"/>
        <v/>
      </c>
      <c r="AN101" s="82" t="str">
        <f t="shared" si="167"/>
        <v/>
      </c>
      <c r="AO101" s="48" t="str">
        <f t="shared" si="168"/>
        <v/>
      </c>
      <c r="AP101" s="48" t="str">
        <f t="shared" si="169"/>
        <v/>
      </c>
      <c r="AQ101" s="84" t="str">
        <f t="shared" si="170"/>
        <v/>
      </c>
      <c r="AR101" s="82" t="str">
        <f t="shared" si="171"/>
        <v/>
      </c>
      <c r="AS101" s="48" t="str">
        <f t="shared" si="172"/>
        <v/>
      </c>
      <c r="AT101" s="48" t="str">
        <f t="shared" si="173"/>
        <v/>
      </c>
      <c r="AU101" s="84" t="str">
        <f t="shared" si="174"/>
        <v/>
      </c>
      <c r="AV101" s="82" t="str">
        <f t="shared" si="175"/>
        <v/>
      </c>
      <c r="AW101" s="48" t="str">
        <f t="shared" si="176"/>
        <v/>
      </c>
      <c r="AX101" s="48" t="str">
        <f t="shared" si="177"/>
        <v/>
      </c>
      <c r="AY101" s="84" t="str">
        <f t="shared" si="178"/>
        <v/>
      </c>
      <c r="AZ101" s="82" t="str">
        <f t="shared" si="179"/>
        <v/>
      </c>
      <c r="BA101" s="48" t="str">
        <f t="shared" si="180"/>
        <v/>
      </c>
      <c r="BB101" s="48" t="str">
        <f t="shared" si="181"/>
        <v/>
      </c>
      <c r="BC101" s="84" t="str">
        <f t="shared" si="182"/>
        <v/>
      </c>
      <c r="BD101" s="82" t="str">
        <f t="shared" si="183"/>
        <v/>
      </c>
      <c r="BE101" s="48" t="str">
        <f t="shared" si="184"/>
        <v/>
      </c>
      <c r="BF101" s="48" t="str">
        <f t="shared" si="185"/>
        <v/>
      </c>
      <c r="BG101" s="84" t="str">
        <f t="shared" si="186"/>
        <v/>
      </c>
      <c r="BH101" s="87" t="str">
        <f t="shared" si="187"/>
        <v/>
      </c>
      <c r="BI101" s="49" t="str">
        <f t="shared" si="188"/>
        <v/>
      </c>
      <c r="BJ101" s="49" t="str">
        <f t="shared" si="189"/>
        <v/>
      </c>
      <c r="BK101" s="89" t="str">
        <f t="shared" si="190"/>
        <v/>
      </c>
      <c r="BL101" s="87" t="str">
        <f t="shared" si="191"/>
        <v/>
      </c>
      <c r="BM101" s="49" t="str">
        <f t="shared" si="192"/>
        <v/>
      </c>
      <c r="BN101" s="49" t="str">
        <f t="shared" si="193"/>
        <v/>
      </c>
      <c r="BO101" s="89" t="str">
        <f t="shared" si="194"/>
        <v/>
      </c>
      <c r="BP101" s="87" t="str">
        <f t="shared" si="195"/>
        <v/>
      </c>
      <c r="BQ101" s="49" t="str">
        <f t="shared" si="196"/>
        <v/>
      </c>
      <c r="BR101" s="49" t="str">
        <f t="shared" si="197"/>
        <v/>
      </c>
      <c r="BS101" s="89" t="str">
        <f t="shared" si="198"/>
        <v/>
      </c>
      <c r="BT101" s="87" t="str">
        <f t="shared" si="199"/>
        <v/>
      </c>
    </row>
    <row r="102" spans="2:72" s="93" customFormat="1">
      <c r="B102" s="81">
        <f>Weekly!B94</f>
        <v>0</v>
      </c>
      <c r="C102" s="90">
        <f>Weekly!C94</f>
        <v>0</v>
      </c>
      <c r="D102" s="90">
        <f>Weekly!D95</f>
        <v>0</v>
      </c>
      <c r="E102" s="91" t="e">
        <f>VLOOKUP(B102,Team!$B$4:$E$183,4,FALSE)</f>
        <v>#N/A</v>
      </c>
      <c r="F102" s="92" t="str">
        <f>Weekly!J94</f>
        <v/>
      </c>
      <c r="G102" s="92" t="str">
        <f>Weekly!K94</f>
        <v/>
      </c>
      <c r="H102" s="48" t="str">
        <f t="shared" si="135"/>
        <v/>
      </c>
      <c r="I102" s="48" t="str">
        <f t="shared" si="136"/>
        <v/>
      </c>
      <c r="J102" s="48" t="str">
        <f t="shared" si="137"/>
        <v/>
      </c>
      <c r="K102" s="84" t="str">
        <f t="shared" si="138"/>
        <v/>
      </c>
      <c r="L102" s="82" t="str">
        <f t="shared" si="139"/>
        <v/>
      </c>
      <c r="M102" s="48" t="str">
        <f t="shared" si="140"/>
        <v/>
      </c>
      <c r="N102" s="48" t="str">
        <f t="shared" si="141"/>
        <v/>
      </c>
      <c r="O102" s="84" t="str">
        <f t="shared" si="142"/>
        <v/>
      </c>
      <c r="P102" s="82" t="str">
        <f t="shared" si="143"/>
        <v/>
      </c>
      <c r="Q102" s="48" t="str">
        <f t="shared" si="144"/>
        <v/>
      </c>
      <c r="R102" s="48" t="str">
        <f t="shared" si="145"/>
        <v/>
      </c>
      <c r="S102" s="84" t="str">
        <f t="shared" si="146"/>
        <v/>
      </c>
      <c r="T102" s="82" t="str">
        <f t="shared" si="147"/>
        <v/>
      </c>
      <c r="U102" s="48" t="str">
        <f t="shared" si="148"/>
        <v/>
      </c>
      <c r="V102" s="48" t="str">
        <f t="shared" si="149"/>
        <v/>
      </c>
      <c r="W102" s="84" t="str">
        <f t="shared" si="150"/>
        <v/>
      </c>
      <c r="X102" s="82" t="str">
        <f t="shared" si="151"/>
        <v/>
      </c>
      <c r="Y102" s="48" t="str">
        <f t="shared" si="152"/>
        <v/>
      </c>
      <c r="Z102" s="48" t="str">
        <f t="shared" si="153"/>
        <v/>
      </c>
      <c r="AA102" s="84" t="str">
        <f t="shared" si="154"/>
        <v/>
      </c>
      <c r="AB102" s="82" t="str">
        <f t="shared" si="155"/>
        <v/>
      </c>
      <c r="AC102" s="48" t="str">
        <f t="shared" si="156"/>
        <v/>
      </c>
      <c r="AD102" s="48" t="str">
        <f t="shared" si="157"/>
        <v/>
      </c>
      <c r="AE102" s="84" t="str">
        <f t="shared" si="158"/>
        <v/>
      </c>
      <c r="AF102" s="82" t="str">
        <f t="shared" si="159"/>
        <v/>
      </c>
      <c r="AG102" s="48" t="str">
        <f t="shared" si="160"/>
        <v/>
      </c>
      <c r="AH102" s="48" t="str">
        <f t="shared" si="161"/>
        <v/>
      </c>
      <c r="AI102" s="84" t="str">
        <f t="shared" si="162"/>
        <v/>
      </c>
      <c r="AJ102" s="82" t="str">
        <f t="shared" si="163"/>
        <v/>
      </c>
      <c r="AK102" s="48" t="str">
        <f t="shared" si="164"/>
        <v/>
      </c>
      <c r="AL102" s="48" t="str">
        <f t="shared" si="165"/>
        <v/>
      </c>
      <c r="AM102" s="84" t="str">
        <f t="shared" si="166"/>
        <v/>
      </c>
      <c r="AN102" s="82" t="str">
        <f t="shared" si="167"/>
        <v/>
      </c>
      <c r="AO102" s="48" t="str">
        <f t="shared" si="168"/>
        <v/>
      </c>
      <c r="AP102" s="48" t="str">
        <f t="shared" si="169"/>
        <v/>
      </c>
      <c r="AQ102" s="84" t="str">
        <f t="shared" si="170"/>
        <v/>
      </c>
      <c r="AR102" s="82" t="str">
        <f t="shared" si="171"/>
        <v/>
      </c>
      <c r="AS102" s="48" t="str">
        <f t="shared" si="172"/>
        <v/>
      </c>
      <c r="AT102" s="48" t="str">
        <f t="shared" si="173"/>
        <v/>
      </c>
      <c r="AU102" s="84" t="str">
        <f t="shared" si="174"/>
        <v/>
      </c>
      <c r="AV102" s="82" t="str">
        <f t="shared" si="175"/>
        <v/>
      </c>
      <c r="AW102" s="48" t="str">
        <f t="shared" si="176"/>
        <v/>
      </c>
      <c r="AX102" s="48" t="str">
        <f t="shared" si="177"/>
        <v/>
      </c>
      <c r="AY102" s="84" t="str">
        <f t="shared" si="178"/>
        <v/>
      </c>
      <c r="AZ102" s="82" t="str">
        <f t="shared" si="179"/>
        <v/>
      </c>
      <c r="BA102" s="48" t="str">
        <f t="shared" si="180"/>
        <v/>
      </c>
      <c r="BB102" s="48" t="str">
        <f t="shared" si="181"/>
        <v/>
      </c>
      <c r="BC102" s="84" t="str">
        <f t="shared" si="182"/>
        <v/>
      </c>
      <c r="BD102" s="82" t="str">
        <f t="shared" si="183"/>
        <v/>
      </c>
      <c r="BE102" s="48" t="str">
        <f t="shared" si="184"/>
        <v/>
      </c>
      <c r="BF102" s="48" t="str">
        <f t="shared" si="185"/>
        <v/>
      </c>
      <c r="BG102" s="84" t="str">
        <f t="shared" si="186"/>
        <v/>
      </c>
      <c r="BH102" s="87" t="str">
        <f t="shared" si="187"/>
        <v/>
      </c>
      <c r="BI102" s="49" t="str">
        <f t="shared" si="188"/>
        <v/>
      </c>
      <c r="BJ102" s="49" t="str">
        <f t="shared" si="189"/>
        <v/>
      </c>
      <c r="BK102" s="89" t="str">
        <f t="shared" si="190"/>
        <v/>
      </c>
      <c r="BL102" s="87" t="str">
        <f t="shared" si="191"/>
        <v/>
      </c>
      <c r="BM102" s="49" t="str">
        <f t="shared" si="192"/>
        <v/>
      </c>
      <c r="BN102" s="49" t="str">
        <f t="shared" si="193"/>
        <v/>
      </c>
      <c r="BO102" s="89" t="str">
        <f t="shared" si="194"/>
        <v/>
      </c>
      <c r="BP102" s="87" t="str">
        <f t="shared" si="195"/>
        <v/>
      </c>
      <c r="BQ102" s="49" t="str">
        <f t="shared" si="196"/>
        <v/>
      </c>
      <c r="BR102" s="49" t="str">
        <f t="shared" si="197"/>
        <v/>
      </c>
      <c r="BS102" s="89" t="str">
        <f t="shared" si="198"/>
        <v/>
      </c>
      <c r="BT102" s="87" t="str">
        <f t="shared" si="199"/>
        <v/>
      </c>
    </row>
    <row r="103" spans="2:72" s="93" customFormat="1">
      <c r="B103" s="81">
        <f>Weekly!B95</f>
        <v>0</v>
      </c>
      <c r="C103" s="90">
        <f>Weekly!C95</f>
        <v>0</v>
      </c>
      <c r="D103" s="90">
        <f>Weekly!D96</f>
        <v>0</v>
      </c>
      <c r="E103" s="91" t="e">
        <f>VLOOKUP(B103,Team!$B$4:$E$183,4,FALSE)</f>
        <v>#N/A</v>
      </c>
      <c r="F103" s="92" t="str">
        <f>Weekly!J95</f>
        <v/>
      </c>
      <c r="G103" s="92" t="str">
        <f>Weekly!K95</f>
        <v/>
      </c>
      <c r="H103" s="48" t="str">
        <f t="shared" si="135"/>
        <v/>
      </c>
      <c r="I103" s="48" t="str">
        <f t="shared" si="136"/>
        <v/>
      </c>
      <c r="J103" s="48" t="str">
        <f t="shared" si="137"/>
        <v/>
      </c>
      <c r="K103" s="84" t="str">
        <f t="shared" si="138"/>
        <v/>
      </c>
      <c r="L103" s="82" t="str">
        <f t="shared" si="139"/>
        <v/>
      </c>
      <c r="M103" s="48" t="str">
        <f t="shared" si="140"/>
        <v/>
      </c>
      <c r="N103" s="48" t="str">
        <f t="shared" si="141"/>
        <v/>
      </c>
      <c r="O103" s="84" t="str">
        <f t="shared" si="142"/>
        <v/>
      </c>
      <c r="P103" s="82" t="str">
        <f t="shared" si="143"/>
        <v/>
      </c>
      <c r="Q103" s="48" t="str">
        <f t="shared" si="144"/>
        <v/>
      </c>
      <c r="R103" s="48" t="str">
        <f t="shared" si="145"/>
        <v/>
      </c>
      <c r="S103" s="84" t="str">
        <f t="shared" si="146"/>
        <v/>
      </c>
      <c r="T103" s="82" t="str">
        <f t="shared" si="147"/>
        <v/>
      </c>
      <c r="U103" s="48" t="str">
        <f t="shared" si="148"/>
        <v/>
      </c>
      <c r="V103" s="48" t="str">
        <f t="shared" si="149"/>
        <v/>
      </c>
      <c r="W103" s="84" t="str">
        <f t="shared" si="150"/>
        <v/>
      </c>
      <c r="X103" s="82" t="str">
        <f t="shared" si="151"/>
        <v/>
      </c>
      <c r="Y103" s="48" t="str">
        <f t="shared" si="152"/>
        <v/>
      </c>
      <c r="Z103" s="48" t="str">
        <f t="shared" si="153"/>
        <v/>
      </c>
      <c r="AA103" s="84" t="str">
        <f t="shared" si="154"/>
        <v/>
      </c>
      <c r="AB103" s="82" t="str">
        <f t="shared" si="155"/>
        <v/>
      </c>
      <c r="AC103" s="48" t="str">
        <f t="shared" si="156"/>
        <v/>
      </c>
      <c r="AD103" s="48" t="str">
        <f t="shared" si="157"/>
        <v/>
      </c>
      <c r="AE103" s="84" t="str">
        <f t="shared" si="158"/>
        <v/>
      </c>
      <c r="AF103" s="82" t="str">
        <f t="shared" si="159"/>
        <v/>
      </c>
      <c r="AG103" s="48" t="str">
        <f t="shared" si="160"/>
        <v/>
      </c>
      <c r="AH103" s="48" t="str">
        <f t="shared" si="161"/>
        <v/>
      </c>
      <c r="AI103" s="84" t="str">
        <f t="shared" si="162"/>
        <v/>
      </c>
      <c r="AJ103" s="82" t="str">
        <f t="shared" si="163"/>
        <v/>
      </c>
      <c r="AK103" s="48" t="str">
        <f t="shared" si="164"/>
        <v/>
      </c>
      <c r="AL103" s="48" t="str">
        <f t="shared" si="165"/>
        <v/>
      </c>
      <c r="AM103" s="84" t="str">
        <f t="shared" si="166"/>
        <v/>
      </c>
      <c r="AN103" s="82" t="str">
        <f t="shared" si="167"/>
        <v/>
      </c>
      <c r="AO103" s="48" t="str">
        <f t="shared" si="168"/>
        <v/>
      </c>
      <c r="AP103" s="48" t="str">
        <f t="shared" si="169"/>
        <v/>
      </c>
      <c r="AQ103" s="84" t="str">
        <f t="shared" si="170"/>
        <v/>
      </c>
      <c r="AR103" s="82" t="str">
        <f t="shared" si="171"/>
        <v/>
      </c>
      <c r="AS103" s="48" t="str">
        <f t="shared" si="172"/>
        <v/>
      </c>
      <c r="AT103" s="48" t="str">
        <f t="shared" si="173"/>
        <v/>
      </c>
      <c r="AU103" s="84" t="str">
        <f t="shared" si="174"/>
        <v/>
      </c>
      <c r="AV103" s="82" t="str">
        <f t="shared" si="175"/>
        <v/>
      </c>
      <c r="AW103" s="48" t="str">
        <f t="shared" si="176"/>
        <v/>
      </c>
      <c r="AX103" s="48" t="str">
        <f t="shared" si="177"/>
        <v/>
      </c>
      <c r="AY103" s="84" t="str">
        <f t="shared" si="178"/>
        <v/>
      </c>
      <c r="AZ103" s="82" t="str">
        <f t="shared" si="179"/>
        <v/>
      </c>
      <c r="BA103" s="48" t="str">
        <f t="shared" si="180"/>
        <v/>
      </c>
      <c r="BB103" s="48" t="str">
        <f t="shared" si="181"/>
        <v/>
      </c>
      <c r="BC103" s="84" t="str">
        <f t="shared" si="182"/>
        <v/>
      </c>
      <c r="BD103" s="82" t="str">
        <f t="shared" si="183"/>
        <v/>
      </c>
      <c r="BE103" s="48" t="str">
        <f t="shared" si="184"/>
        <v/>
      </c>
      <c r="BF103" s="48" t="str">
        <f t="shared" si="185"/>
        <v/>
      </c>
      <c r="BG103" s="84" t="str">
        <f t="shared" si="186"/>
        <v/>
      </c>
      <c r="BH103" s="87" t="str">
        <f t="shared" si="187"/>
        <v/>
      </c>
      <c r="BI103" s="49" t="str">
        <f t="shared" si="188"/>
        <v/>
      </c>
      <c r="BJ103" s="49" t="str">
        <f t="shared" si="189"/>
        <v/>
      </c>
      <c r="BK103" s="89" t="str">
        <f t="shared" si="190"/>
        <v/>
      </c>
      <c r="BL103" s="87" t="str">
        <f t="shared" si="191"/>
        <v/>
      </c>
      <c r="BM103" s="49" t="str">
        <f t="shared" si="192"/>
        <v/>
      </c>
      <c r="BN103" s="49" t="str">
        <f t="shared" si="193"/>
        <v/>
      </c>
      <c r="BO103" s="89" t="str">
        <f t="shared" si="194"/>
        <v/>
      </c>
      <c r="BP103" s="87" t="str">
        <f t="shared" si="195"/>
        <v/>
      </c>
      <c r="BQ103" s="49" t="str">
        <f t="shared" si="196"/>
        <v/>
      </c>
      <c r="BR103" s="49" t="str">
        <f t="shared" si="197"/>
        <v/>
      </c>
      <c r="BS103" s="89" t="str">
        <f t="shared" si="198"/>
        <v/>
      </c>
      <c r="BT103" s="87" t="str">
        <f t="shared" si="199"/>
        <v/>
      </c>
    </row>
    <row r="104" spans="2:72" s="93" customFormat="1"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</row>
    <row r="105" spans="2:72" s="93" customFormat="1"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</row>
    <row r="106" spans="2:72" s="93" customFormat="1"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</row>
    <row r="107" spans="2:72" s="93" customFormat="1"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</row>
    <row r="108" spans="2:72" s="93" customFormat="1"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</row>
  </sheetData>
  <sheetProtection algorithmName="SHA-512" hashValue="1Z325E1yvEqV0PDifn481FWX2di6X1r4k8Cfm7j/QHwOrAITjqJfRru+0Ah5M2h6P0Xub8q8OjTu45SvPQufpg==" saltValue="QKdkzHuMDV9cp6op5bGHZg==" spinCount="100000" sheet="1" formatCells="0" formatColumns="0" sort="0" autoFilter="0"/>
  <autoFilter ref="B16:BT103" xr:uid="{00000000-0009-0000-0000-000005000000}"/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797" priority="88" stopIfTrue="1" operator="equal">
      <formula>$T$3</formula>
    </cfRule>
    <cfRule type="containsBlanks" dxfId="796" priority="89" stopIfTrue="1">
      <formula>LEN(TRIM(H6))=0</formula>
    </cfRule>
    <cfRule type="cellIs" dxfId="795" priority="81" stopIfTrue="1" operator="equal">
      <formula>$AA$3</formula>
    </cfRule>
    <cfRule type="cellIs" dxfId="794" priority="78" stopIfTrue="1" operator="equal">
      <formula>$AD$3</formula>
    </cfRule>
    <cfRule type="cellIs" dxfId="793" priority="79" stopIfTrue="1" operator="equal">
      <formula>$AB$3</formula>
    </cfRule>
    <cfRule type="cellIs" dxfId="792" priority="80" stopIfTrue="1" operator="equal">
      <formula>$AC$3</formula>
    </cfRule>
    <cfRule type="cellIs" dxfId="791" priority="82" stopIfTrue="1" operator="equal">
      <formula>$Z$3</formula>
    </cfRule>
    <cfRule type="cellIs" dxfId="790" priority="83" stopIfTrue="1" operator="equal">
      <formula>$Y$3</formula>
    </cfRule>
    <cfRule type="cellIs" dxfId="789" priority="84" stopIfTrue="1" operator="equal">
      <formula>$X$3</formula>
    </cfRule>
    <cfRule type="cellIs" dxfId="788" priority="85" stopIfTrue="1" operator="equal">
      <formula>$W$3</formula>
    </cfRule>
    <cfRule type="cellIs" dxfId="787" priority="86" stopIfTrue="1" operator="equal">
      <formula>$V$3</formula>
    </cfRule>
    <cfRule type="cellIs" dxfId="786" priority="87" stopIfTrue="1" operator="equal">
      <formula>$U$3</formula>
    </cfRule>
  </conditionalFormatting>
  <conditionalFormatting sqref="H13:BS13">
    <cfRule type="cellIs" dxfId="785" priority="13" operator="equal">
      <formula>"FFR"</formula>
    </cfRule>
    <cfRule type="cellIs" dxfId="784" priority="14" operator="equal">
      <formula>"F"</formula>
    </cfRule>
    <cfRule type="cellIs" dxfId="783" priority="15" operator="equal">
      <formula>"PEN"</formula>
    </cfRule>
    <cfRule type="cellIs" dxfId="782" priority="16" operator="equal">
      <formula>"TW"</formula>
    </cfRule>
    <cfRule type="cellIs" dxfId="781" priority="17" operator="equal">
      <formula>"AD"</formula>
    </cfRule>
    <cfRule type="cellIs" dxfId="780" priority="18" operator="equal">
      <formula>"SY"</formula>
    </cfRule>
    <cfRule type="cellIs" dxfId="779" priority="19" operator="equal">
      <formula>"CSYS"</formula>
    </cfRule>
    <cfRule type="cellIs" dxfId="778" priority="20" operator="equal">
      <formula>"HHR"</formula>
    </cfRule>
    <cfRule type="cellIs" dxfId="777" priority="21" operator="equal">
      <formula>"HH"</formula>
    </cfRule>
    <cfRule type="cellIs" dxfId="776" priority="22" operator="equal">
      <formula>"STAFF"</formula>
    </cfRule>
    <cfRule type="cellIs" dxfId="775" priority="23" operator="equal">
      <formula>"LINW"</formula>
    </cfRule>
    <cfRule type="cellIs" dxfId="774" priority="24" operator="equal">
      <formula>"MINW"</formula>
    </cfRule>
    <cfRule type="cellIs" dxfId="773" priority="25" operator="equal">
      <formula>"ACC"</formula>
    </cfRule>
    <cfRule type="cellIs" dxfId="772" priority="26" operator="equal">
      <formula>"H"</formula>
    </cfRule>
    <cfRule type="cellIs" dxfId="771" priority="27" operator="equal">
      <formula>"ASM"</formula>
    </cfRule>
    <cfRule type="cellIs" dxfId="770" priority="28" operator="equal">
      <formula>"SM"</formula>
    </cfRule>
    <cfRule type="cellIs" dxfId="769" priority="8" operator="equal">
      <formula>"TEA"</formula>
    </cfRule>
    <cfRule type="cellIs" dxfId="768" priority="30" operator="equal">
      <formula>"H3"</formula>
    </cfRule>
    <cfRule type="cellIs" dxfId="767" priority="31" operator="equal">
      <formula>"H2"</formula>
    </cfRule>
    <cfRule type="cellIs" dxfId="766" priority="32" operator="equal">
      <formula>"H1"</formula>
    </cfRule>
    <cfRule type="cellIs" dxfId="765" priority="1" operator="equal">
      <formula>"R6"</formula>
    </cfRule>
    <cfRule type="cellIs" dxfId="764" priority="2" operator="equal">
      <formula>"R5"</formula>
    </cfRule>
    <cfRule type="cellIs" dxfId="763" priority="3" operator="equal">
      <formula>"R4"</formula>
    </cfRule>
    <cfRule type="cellIs" dxfId="762" priority="4" operator="equal">
      <formula>"R3"</formula>
    </cfRule>
    <cfRule type="cellIs" dxfId="761" priority="5" operator="equal">
      <formula>"R2"</formula>
    </cfRule>
    <cfRule type="cellIs" dxfId="760" priority="29" operator="equal">
      <formula>"EMB"</formula>
    </cfRule>
    <cfRule type="cellIs" dxfId="759" priority="6" operator="equal">
      <formula>"R1"</formula>
    </cfRule>
    <cfRule type="cellIs" dxfId="758" priority="7" operator="equal">
      <formula>"R"</formula>
    </cfRule>
    <cfRule type="cellIs" dxfId="757" priority="9" operator="equal">
      <formula>"BIN"</formula>
    </cfRule>
    <cfRule type="cellIs" dxfId="756" priority="10" operator="equal">
      <formula>"KIDS"</formula>
    </cfRule>
    <cfRule type="cellIs" dxfId="755" priority="11" operator="equal">
      <formula>"CR"</formula>
    </cfRule>
    <cfRule type="cellIs" dxfId="754" priority="12" operator="equal">
      <formula>"FB"</formula>
    </cfRule>
  </conditionalFormatting>
  <conditionalFormatting sqref="H15:BS15">
    <cfRule type="containsBlanks" dxfId="753" priority="77" stopIfTrue="1">
      <formula>LEN(TRIM(H15))=0</formula>
    </cfRule>
    <cfRule type="cellIs" dxfId="752" priority="67" stopIfTrue="1" operator="equal">
      <formula>$AB$3</formula>
    </cfRule>
    <cfRule type="cellIs" dxfId="751" priority="68" stopIfTrue="1" operator="equal">
      <formula>$AC$3</formula>
    </cfRule>
    <cfRule type="cellIs" dxfId="750" priority="69" stopIfTrue="1" operator="equal">
      <formula>$AA$3</formula>
    </cfRule>
    <cfRule type="cellIs" dxfId="749" priority="70" stopIfTrue="1" operator="equal">
      <formula>$Z$3</formula>
    </cfRule>
    <cfRule type="cellIs" dxfId="748" priority="71" stopIfTrue="1" operator="equal">
      <formula>$Y$3</formula>
    </cfRule>
    <cfRule type="cellIs" dxfId="747" priority="72" stopIfTrue="1" operator="equal">
      <formula>$X$3</formula>
    </cfRule>
    <cfRule type="cellIs" dxfId="746" priority="73" stopIfTrue="1" operator="equal">
      <formula>$W$3</formula>
    </cfRule>
    <cfRule type="cellIs" dxfId="745" priority="66" stopIfTrue="1" operator="equal">
      <formula>$AD$3</formula>
    </cfRule>
    <cfRule type="cellIs" dxfId="744" priority="75" stopIfTrue="1" operator="equal">
      <formula>$U$3</formula>
    </cfRule>
    <cfRule type="cellIs" dxfId="743" priority="76" stopIfTrue="1" operator="equal">
      <formula>$T$3</formula>
    </cfRule>
    <cfRule type="cellIs" dxfId="742" priority="74" stopIfTrue="1" operator="equal">
      <formula>$V$3</formula>
    </cfRule>
  </conditionalFormatting>
  <conditionalFormatting sqref="H7:BT12">
    <cfRule type="cellIs" dxfId="741" priority="121" operator="equal">
      <formula>"H1"</formula>
    </cfRule>
    <cfRule type="cellIs" dxfId="740" priority="90" operator="equal">
      <formula>"R6"</formula>
    </cfRule>
    <cfRule type="cellIs" dxfId="739" priority="91" operator="equal">
      <formula>"R5"</formula>
    </cfRule>
    <cfRule type="cellIs" dxfId="738" priority="92" operator="equal">
      <formula>"R4"</formula>
    </cfRule>
    <cfRule type="cellIs" dxfId="737" priority="93" operator="equal">
      <formula>"R3"</formula>
    </cfRule>
    <cfRule type="cellIs" dxfId="736" priority="94" operator="equal">
      <formula>"R2"</formula>
    </cfRule>
    <cfRule type="cellIs" dxfId="735" priority="95" operator="equal">
      <formula>"R1"</formula>
    </cfRule>
    <cfRule type="cellIs" dxfId="734" priority="96" operator="equal">
      <formula>"R"</formula>
    </cfRule>
    <cfRule type="cellIs" dxfId="733" priority="97" operator="equal">
      <formula>"TEA"</formula>
    </cfRule>
    <cfRule type="cellIs" dxfId="732" priority="98" operator="equal">
      <formula>"BIN"</formula>
    </cfRule>
    <cfRule type="cellIs" dxfId="731" priority="99" operator="equal">
      <formula>"KIDS"</formula>
    </cfRule>
    <cfRule type="cellIs" dxfId="730" priority="100" operator="equal">
      <formula>"CR"</formula>
    </cfRule>
    <cfRule type="cellIs" dxfId="729" priority="101" operator="equal">
      <formula>"FB"</formula>
    </cfRule>
    <cfRule type="cellIs" dxfId="728" priority="102" operator="equal">
      <formula>"FFR"</formula>
    </cfRule>
    <cfRule type="cellIs" dxfId="727" priority="103" operator="equal">
      <formula>"F"</formula>
    </cfRule>
    <cfRule type="cellIs" dxfId="726" priority="104" operator="equal">
      <formula>"PEN"</formula>
    </cfRule>
    <cfRule type="cellIs" dxfId="725" priority="105" operator="equal">
      <formula>"TW"</formula>
    </cfRule>
    <cfRule type="cellIs" dxfId="724" priority="106" operator="equal">
      <formula>"AD"</formula>
    </cfRule>
    <cfRule type="cellIs" dxfId="723" priority="107" operator="equal">
      <formula>"SY"</formula>
    </cfRule>
    <cfRule type="cellIs" dxfId="722" priority="108" operator="equal">
      <formula>"CSYS"</formula>
    </cfRule>
    <cfRule type="cellIs" dxfId="721" priority="109" operator="equal">
      <formula>"HHR"</formula>
    </cfRule>
    <cfRule type="cellIs" dxfId="720" priority="110" operator="equal">
      <formula>"HH"</formula>
    </cfRule>
    <cfRule type="cellIs" dxfId="719" priority="111" operator="equal">
      <formula>"STAFF"</formula>
    </cfRule>
    <cfRule type="cellIs" dxfId="718" priority="112" operator="equal">
      <formula>"LINW"</formula>
    </cfRule>
    <cfRule type="cellIs" dxfId="717" priority="113" operator="equal">
      <formula>"MINW"</formula>
    </cfRule>
    <cfRule type="cellIs" dxfId="716" priority="114" operator="equal">
      <formula>"ACC"</formula>
    </cfRule>
    <cfRule type="cellIs" dxfId="715" priority="115" operator="equal">
      <formula>"H"</formula>
    </cfRule>
    <cfRule type="cellIs" dxfId="714" priority="116" operator="equal">
      <formula>"ASM"</formula>
    </cfRule>
    <cfRule type="cellIs" dxfId="713" priority="117" operator="equal">
      <formula>"SM"</formula>
    </cfRule>
    <cfRule type="cellIs" dxfId="712" priority="118" operator="equal">
      <formula>"EMB"</formula>
    </cfRule>
    <cfRule type="cellIs" dxfId="711" priority="119" operator="equal">
      <formula>"H3"</formula>
    </cfRule>
    <cfRule type="cellIs" dxfId="710" priority="120" operator="equal">
      <formula>"H2"</formula>
    </cfRule>
  </conditionalFormatting>
  <conditionalFormatting sqref="H17:BT103">
    <cfRule type="cellIs" dxfId="709" priority="126" stopIfTrue="1" operator="equal">
      <formula>$Z$3</formula>
    </cfRule>
    <cfRule type="cellIs" dxfId="708" priority="122" stopIfTrue="1" operator="equal">
      <formula>$AD$3</formula>
    </cfRule>
    <cfRule type="cellIs" dxfId="707" priority="123" stopIfTrue="1" operator="equal">
      <formula>$AB$3</formula>
    </cfRule>
    <cfRule type="cellIs" dxfId="706" priority="124" stopIfTrue="1" operator="equal">
      <formula>$AC$3</formula>
    </cfRule>
    <cfRule type="cellIs" dxfId="705" priority="125" stopIfTrue="1" operator="equal">
      <formula>$AA$3</formula>
    </cfRule>
    <cfRule type="cellIs" dxfId="704" priority="131" stopIfTrue="1" operator="equal">
      <formula>$U$3</formula>
    </cfRule>
    <cfRule type="cellIs" dxfId="703" priority="127" stopIfTrue="1" operator="equal">
      <formula>$Y$3</formula>
    </cfRule>
    <cfRule type="cellIs" dxfId="702" priority="128" stopIfTrue="1" operator="equal">
      <formula>$X$3</formula>
    </cfRule>
    <cfRule type="cellIs" dxfId="701" priority="129" stopIfTrue="1" operator="equal">
      <formula>$W$3</formula>
    </cfRule>
    <cfRule type="cellIs" dxfId="700" priority="130" stopIfTrue="1" operator="equal">
      <formula>$V$3</formula>
    </cfRule>
    <cfRule type="cellIs" dxfId="699" priority="132" stopIfTrue="1" operator="equal">
      <formula>$T$3</formula>
    </cfRule>
    <cfRule type="containsBlanks" dxfId="698" priority="133" stopIfTrue="1">
      <formula>LEN(TRIM(H17))=0</formula>
    </cfRule>
  </conditionalFormatting>
  <conditionalFormatting sqref="T3:AW3">
    <cfRule type="containsBlanks" dxfId="697" priority="65" stopIfTrue="1">
      <formula>LEN(TRIM(T3))=0</formula>
    </cfRule>
  </conditionalFormatting>
  <conditionalFormatting sqref="BT5:BT6 H16:BJ16">
    <cfRule type="cellIs" dxfId="696" priority="205" operator="equal">
      <formula>"R6"</formula>
    </cfRule>
    <cfRule type="cellIs" dxfId="695" priority="206" operator="equal">
      <formula>"R5"</formula>
    </cfRule>
    <cfRule type="cellIs" dxfId="694" priority="207" operator="equal">
      <formula>"R4"</formula>
    </cfRule>
    <cfRule type="cellIs" dxfId="693" priority="208" operator="equal">
      <formula>"R3"</formula>
    </cfRule>
    <cfRule type="cellIs" dxfId="692" priority="209" operator="equal">
      <formula>"R2"</formula>
    </cfRule>
    <cfRule type="cellIs" dxfId="691" priority="210" operator="equal">
      <formula>"R1"</formula>
    </cfRule>
    <cfRule type="cellIs" dxfId="690" priority="211" operator="equal">
      <formula>"R"</formula>
    </cfRule>
    <cfRule type="cellIs" dxfId="689" priority="212" operator="equal">
      <formula>"TEA"</formula>
    </cfRule>
    <cfRule type="cellIs" dxfId="688" priority="213" operator="equal">
      <formula>"BIN"</formula>
    </cfRule>
    <cfRule type="cellIs" dxfId="687" priority="214" operator="equal">
      <formula>"KIDS"</formula>
    </cfRule>
    <cfRule type="cellIs" dxfId="686" priority="215" operator="equal">
      <formula>"CR"</formula>
    </cfRule>
    <cfRule type="cellIs" dxfId="685" priority="216" operator="equal">
      <formula>"FB"</formula>
    </cfRule>
    <cfRule type="cellIs" dxfId="684" priority="217" operator="equal">
      <formula>"FFR"</formula>
    </cfRule>
    <cfRule type="cellIs" dxfId="683" priority="218" operator="equal">
      <formula>"F"</formula>
    </cfRule>
    <cfRule type="cellIs" dxfId="682" priority="219" operator="equal">
      <formula>"PEN"</formula>
    </cfRule>
    <cfRule type="cellIs" dxfId="681" priority="220" operator="equal">
      <formula>"TW"</formula>
    </cfRule>
    <cfRule type="cellIs" dxfId="680" priority="221" operator="equal">
      <formula>"AD"</formula>
    </cfRule>
    <cfRule type="cellIs" dxfId="679" priority="222" operator="equal">
      <formula>"SY"</formula>
    </cfRule>
    <cfRule type="cellIs" dxfId="678" priority="223" operator="equal">
      <formula>"CSYS"</formula>
    </cfRule>
    <cfRule type="cellIs" dxfId="677" priority="224" operator="equal">
      <formula>"HHR"</formula>
    </cfRule>
    <cfRule type="cellIs" dxfId="676" priority="225" operator="equal">
      <formula>"HH"</formula>
    </cfRule>
    <cfRule type="cellIs" dxfId="675" priority="226" operator="equal">
      <formula>"STAFF"</formula>
    </cfRule>
    <cfRule type="cellIs" dxfId="674" priority="227" operator="equal">
      <formula>"LINW"</formula>
    </cfRule>
    <cfRule type="cellIs" dxfId="673" priority="228" operator="equal">
      <formula>"MINW"</formula>
    </cfRule>
    <cfRule type="cellIs" dxfId="672" priority="229" operator="equal">
      <formula>"ACC"</formula>
    </cfRule>
    <cfRule type="cellIs" dxfId="671" priority="230" operator="equal">
      <formula>"H"</formula>
    </cfRule>
    <cfRule type="cellIs" dxfId="670" priority="231" operator="equal">
      <formula>"ASM"</formula>
    </cfRule>
    <cfRule type="cellIs" dxfId="669" priority="232" operator="equal">
      <formula>"SM"</formula>
    </cfRule>
    <cfRule type="cellIs" dxfId="668" priority="233" operator="equal">
      <formula>"EMB"</formula>
    </cfRule>
    <cfRule type="cellIs" dxfId="667" priority="234" operator="equal">
      <formula>"H3"</formula>
    </cfRule>
    <cfRule type="cellIs" dxfId="666" priority="235" operator="equal">
      <formula>"H2"</formula>
    </cfRule>
    <cfRule type="cellIs" dxfId="665" priority="236" operator="equal">
      <formula>"H1"</formula>
    </cfRule>
  </conditionalFormatting>
  <pageMargins left="0.7" right="0.7" top="0.75" bottom="0.75" header="0.3" footer="0.3"/>
  <ignoredErrors>
    <ignoredError sqref="H17:BT103 D17:E1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B1:BU108"/>
  <sheetViews>
    <sheetView zoomScale="70" zoomScaleNormal="70" workbookViewId="0">
      <selection activeCell="BE1" sqref="BD1:BE1048576"/>
    </sheetView>
  </sheetViews>
  <sheetFormatPr defaultRowHeight="12.6" outlineLevelCol="1"/>
  <cols>
    <col min="1" max="1" width="1.5703125" customWidth="1"/>
    <col min="2" max="2" width="5" customWidth="1"/>
    <col min="3" max="3" width="17.42578125" bestFit="1" customWidth="1"/>
    <col min="4" max="4" width="11.140625" hidden="1" customWidth="1"/>
    <col min="5" max="5" width="6.140625" customWidth="1"/>
    <col min="6" max="7" width="8" customWidth="1"/>
    <col min="8" max="13" width="3.85546875" style="1" hidden="1" customWidth="1"/>
    <col min="14" max="55" width="3.85546875" style="1" customWidth="1"/>
    <col min="56" max="57" width="3.85546875" style="1" hidden="1" customWidth="1"/>
    <col min="58" max="59" width="3.85546875" style="1" hidden="1" customWidth="1" outlineLevel="1"/>
    <col min="60" max="71" width="3.85546875" hidden="1" customWidth="1" outlineLevel="1"/>
    <col min="72" max="72" width="4.85546875" hidden="1" customWidth="1" outlineLevel="1"/>
    <col min="73" max="73" width="8.85546875" collapsed="1"/>
  </cols>
  <sheetData>
    <row r="1" spans="2:72" ht="5.45" customHeight="1"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2:72">
      <c r="T2" s="138" t="s">
        <v>327</v>
      </c>
      <c r="U2" s="138"/>
      <c r="V2" s="138"/>
      <c r="W2" s="138"/>
      <c r="X2" s="138"/>
      <c r="Y2" s="138" t="s">
        <v>229</v>
      </c>
      <c r="Z2" s="138"/>
      <c r="AA2" s="138"/>
      <c r="AB2" s="138"/>
      <c r="AC2" s="138"/>
      <c r="AD2" s="47" t="s">
        <v>231</v>
      </c>
      <c r="AE2" s="138" t="s">
        <v>328</v>
      </c>
      <c r="AF2" s="138"/>
      <c r="AG2" s="138"/>
      <c r="AH2" s="138" t="s">
        <v>329</v>
      </c>
      <c r="AI2" s="138"/>
      <c r="AJ2" s="138"/>
      <c r="AK2" s="138"/>
      <c r="AL2" s="138" t="s">
        <v>330</v>
      </c>
      <c r="AM2" s="138"/>
      <c r="AN2" s="138" t="s">
        <v>248</v>
      </c>
      <c r="AO2" s="138"/>
      <c r="AP2" s="138"/>
      <c r="AQ2" s="138"/>
      <c r="AR2" s="138"/>
      <c r="AS2" s="138"/>
      <c r="AT2" s="138" t="s">
        <v>331</v>
      </c>
      <c r="AU2" s="138"/>
      <c r="AV2" s="138"/>
      <c r="AW2" s="138"/>
      <c r="AX2" s="2"/>
      <c r="AY2" s="2"/>
      <c r="AZ2" s="2"/>
      <c r="BA2" s="2"/>
      <c r="BB2" s="2"/>
    </row>
    <row r="3" spans="2:72">
      <c r="T3" s="16" t="s">
        <v>210</v>
      </c>
      <c r="U3" s="17" t="s">
        <v>212</v>
      </c>
      <c r="V3" s="18" t="s">
        <v>214</v>
      </c>
      <c r="W3" s="20" t="s">
        <v>216</v>
      </c>
      <c r="X3" s="19" t="s">
        <v>218</v>
      </c>
      <c r="Y3" s="11" t="s">
        <v>220</v>
      </c>
      <c r="Z3" s="12" t="s">
        <v>222</v>
      </c>
      <c r="AA3" s="14" t="s">
        <v>224</v>
      </c>
      <c r="AB3" s="15" t="s">
        <v>226</v>
      </c>
      <c r="AC3" s="13" t="s">
        <v>228</v>
      </c>
      <c r="AD3" s="42" t="s">
        <v>230</v>
      </c>
      <c r="AE3" s="46">
        <v>40</v>
      </c>
      <c r="AF3" s="46">
        <v>15</v>
      </c>
      <c r="AG3" s="46">
        <v>10</v>
      </c>
      <c r="AH3" s="40" t="s">
        <v>235</v>
      </c>
      <c r="AI3" s="41" t="s">
        <v>237</v>
      </c>
      <c r="AJ3" s="45" t="s">
        <v>239</v>
      </c>
      <c r="AK3" s="21" t="s">
        <v>241</v>
      </c>
      <c r="AL3" s="43" t="s">
        <v>243</v>
      </c>
      <c r="AM3" s="44" t="s">
        <v>245</v>
      </c>
      <c r="AN3" s="39" t="s">
        <v>247</v>
      </c>
      <c r="AO3" s="39" t="s">
        <v>249</v>
      </c>
      <c r="AP3" s="39" t="s">
        <v>251</v>
      </c>
      <c r="AQ3" s="39" t="s">
        <v>253</v>
      </c>
      <c r="AR3" s="39" t="s">
        <v>255</v>
      </c>
      <c r="AS3" s="39" t="s">
        <v>257</v>
      </c>
      <c r="AT3" s="10" t="s">
        <v>259</v>
      </c>
      <c r="AU3" s="10" t="s">
        <v>261</v>
      </c>
      <c r="AV3" s="10" t="s">
        <v>263</v>
      </c>
      <c r="AW3" s="10" t="s">
        <v>265</v>
      </c>
      <c r="AX3" s="2"/>
      <c r="AY3" s="2"/>
      <c r="AZ3" s="2"/>
      <c r="BA3" s="2"/>
      <c r="BB3" s="2"/>
    </row>
    <row r="4" spans="2:72" ht="6" customHeight="1"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2:72" ht="10.35" customHeight="1">
      <c r="C5" s="8" t="str">
        <f>Weekly!M2</f>
        <v xml:space="preserve"> Wed Nov 12</v>
      </c>
      <c r="H5" s="139">
        <v>7</v>
      </c>
      <c r="I5" s="140"/>
      <c r="J5" s="140"/>
      <c r="K5" s="141"/>
      <c r="L5" s="139">
        <v>8</v>
      </c>
      <c r="M5" s="140"/>
      <c r="N5" s="140"/>
      <c r="O5" s="141"/>
      <c r="P5" s="139">
        <v>9</v>
      </c>
      <c r="Q5" s="140"/>
      <c r="R5" s="140"/>
      <c r="S5" s="141"/>
      <c r="T5" s="139">
        <v>10</v>
      </c>
      <c r="U5" s="140"/>
      <c r="V5" s="140"/>
      <c r="W5" s="141"/>
      <c r="X5" s="139">
        <v>11</v>
      </c>
      <c r="Y5" s="140"/>
      <c r="Z5" s="140"/>
      <c r="AA5" s="141"/>
      <c r="AB5" s="139">
        <v>12</v>
      </c>
      <c r="AC5" s="140"/>
      <c r="AD5" s="140"/>
      <c r="AE5" s="141"/>
      <c r="AF5" s="139">
        <v>13</v>
      </c>
      <c r="AG5" s="140"/>
      <c r="AH5" s="140"/>
      <c r="AI5" s="141"/>
      <c r="AJ5" s="139">
        <v>14</v>
      </c>
      <c r="AK5" s="140"/>
      <c r="AL5" s="140"/>
      <c r="AM5" s="141"/>
      <c r="AN5" s="139">
        <v>15</v>
      </c>
      <c r="AO5" s="140"/>
      <c r="AP5" s="140"/>
      <c r="AQ5" s="141"/>
      <c r="AR5" s="139">
        <v>16</v>
      </c>
      <c r="AS5" s="140"/>
      <c r="AT5" s="140"/>
      <c r="AU5" s="141"/>
      <c r="AV5" s="139">
        <v>17</v>
      </c>
      <c r="AW5" s="140"/>
      <c r="AX5" s="140"/>
      <c r="AY5" s="141"/>
      <c r="AZ5" s="139">
        <v>18</v>
      </c>
      <c r="BA5" s="140"/>
      <c r="BB5" s="140"/>
      <c r="BC5" s="141"/>
      <c r="BD5" s="139">
        <v>19</v>
      </c>
      <c r="BE5" s="140"/>
      <c r="BF5" s="140"/>
      <c r="BG5" s="141"/>
      <c r="BH5" s="139">
        <v>20</v>
      </c>
      <c r="BI5" s="140"/>
      <c r="BJ5" s="140"/>
      <c r="BK5" s="141"/>
      <c r="BL5" s="139">
        <v>21</v>
      </c>
      <c r="BM5" s="140"/>
      <c r="BN5" s="140"/>
      <c r="BO5" s="141"/>
      <c r="BP5" s="139">
        <v>22</v>
      </c>
      <c r="BQ5" s="140"/>
      <c r="BR5" s="140"/>
      <c r="BS5" s="141"/>
      <c r="BT5" s="6">
        <v>0.95833333333332604</v>
      </c>
    </row>
    <row r="6" spans="2:72" ht="12.95">
      <c r="C6" s="8"/>
      <c r="H6" s="100" t="s">
        <v>332</v>
      </c>
      <c r="I6" s="98">
        <v>15</v>
      </c>
      <c r="J6" s="98">
        <v>30</v>
      </c>
      <c r="K6" s="99">
        <v>45</v>
      </c>
      <c r="L6" s="100" t="s">
        <v>332</v>
      </c>
      <c r="M6" s="98">
        <v>15</v>
      </c>
      <c r="N6" s="98">
        <v>30</v>
      </c>
      <c r="O6" s="99">
        <v>45</v>
      </c>
      <c r="P6" s="100" t="s">
        <v>332</v>
      </c>
      <c r="Q6" s="98">
        <v>15</v>
      </c>
      <c r="R6" s="98">
        <v>30</v>
      </c>
      <c r="S6" s="99">
        <v>45</v>
      </c>
      <c r="T6" s="100" t="s">
        <v>332</v>
      </c>
      <c r="U6" s="98">
        <v>15</v>
      </c>
      <c r="V6" s="98">
        <v>30</v>
      </c>
      <c r="W6" s="99">
        <v>45</v>
      </c>
      <c r="X6" s="100" t="s">
        <v>332</v>
      </c>
      <c r="Y6" s="98">
        <v>15</v>
      </c>
      <c r="Z6" s="98">
        <v>30</v>
      </c>
      <c r="AA6" s="99">
        <v>45</v>
      </c>
      <c r="AB6" s="100" t="s">
        <v>332</v>
      </c>
      <c r="AC6" s="98">
        <v>15</v>
      </c>
      <c r="AD6" s="98">
        <v>30</v>
      </c>
      <c r="AE6" s="99">
        <v>45</v>
      </c>
      <c r="AF6" s="100" t="s">
        <v>332</v>
      </c>
      <c r="AG6" s="98">
        <v>15</v>
      </c>
      <c r="AH6" s="98">
        <v>30</v>
      </c>
      <c r="AI6" s="99">
        <v>45</v>
      </c>
      <c r="AJ6" s="100" t="s">
        <v>332</v>
      </c>
      <c r="AK6" s="98">
        <v>15</v>
      </c>
      <c r="AL6" s="98">
        <v>30</v>
      </c>
      <c r="AM6" s="99">
        <v>45</v>
      </c>
      <c r="AN6" s="100" t="s">
        <v>332</v>
      </c>
      <c r="AO6" s="98">
        <v>15</v>
      </c>
      <c r="AP6" s="98">
        <v>30</v>
      </c>
      <c r="AQ6" s="99">
        <v>45</v>
      </c>
      <c r="AR6" s="100" t="s">
        <v>332</v>
      </c>
      <c r="AS6" s="98">
        <v>15</v>
      </c>
      <c r="AT6" s="98">
        <v>30</v>
      </c>
      <c r="AU6" s="99">
        <v>45</v>
      </c>
      <c r="AV6" s="100" t="s">
        <v>332</v>
      </c>
      <c r="AW6" s="98">
        <v>15</v>
      </c>
      <c r="AX6" s="98">
        <v>30</v>
      </c>
      <c r="AY6" s="99">
        <v>45</v>
      </c>
      <c r="AZ6" s="100" t="s">
        <v>332</v>
      </c>
      <c r="BA6" s="98">
        <v>15</v>
      </c>
      <c r="BB6" s="98">
        <v>30</v>
      </c>
      <c r="BC6" s="99">
        <v>45</v>
      </c>
      <c r="BD6" s="100" t="s">
        <v>332</v>
      </c>
      <c r="BE6" s="98">
        <v>15</v>
      </c>
      <c r="BF6" s="98">
        <v>30</v>
      </c>
      <c r="BG6" s="99">
        <v>45</v>
      </c>
      <c r="BH6" s="100" t="s">
        <v>332</v>
      </c>
      <c r="BI6" s="98">
        <v>15</v>
      </c>
      <c r="BJ6" s="98">
        <v>30</v>
      </c>
      <c r="BK6" s="99">
        <v>45</v>
      </c>
      <c r="BL6" s="100" t="s">
        <v>332</v>
      </c>
      <c r="BM6" s="98">
        <v>15</v>
      </c>
      <c r="BN6" s="98">
        <v>30</v>
      </c>
      <c r="BO6" s="99">
        <v>45</v>
      </c>
      <c r="BP6" s="100" t="s">
        <v>332</v>
      </c>
      <c r="BQ6" s="98">
        <v>15</v>
      </c>
      <c r="BR6" s="98">
        <v>30</v>
      </c>
      <c r="BS6" s="99">
        <v>45</v>
      </c>
      <c r="BT6" s="6"/>
    </row>
    <row r="7" spans="2:72" ht="10.35" customHeight="1">
      <c r="G7" s="24" t="s">
        <v>236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ht="10.35" customHeight="1">
      <c r="G8" s="24" t="s">
        <v>238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ht="10.35" customHeight="1">
      <c r="G9" s="24" t="s">
        <v>333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ht="10.35" customHeight="1">
      <c r="G10" s="24" t="s">
        <v>242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ht="10.35" customHeight="1">
      <c r="G11" s="23" t="s">
        <v>334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9</v>
      </c>
      <c r="O11" s="22">
        <f t="shared" si="4"/>
        <v>9</v>
      </c>
      <c r="P11" s="22">
        <f t="shared" si="4"/>
        <v>9</v>
      </c>
      <c r="Q11" s="22">
        <f t="shared" si="4"/>
        <v>9</v>
      </c>
      <c r="R11" s="22">
        <f t="shared" si="4"/>
        <v>9</v>
      </c>
      <c r="S11" s="22">
        <f t="shared" si="4"/>
        <v>9</v>
      </c>
      <c r="T11" s="22">
        <f t="shared" si="4"/>
        <v>9</v>
      </c>
      <c r="U11" s="22">
        <f t="shared" si="4"/>
        <v>9</v>
      </c>
      <c r="V11" s="22">
        <f t="shared" si="4"/>
        <v>9</v>
      </c>
      <c r="W11" s="22">
        <f t="shared" si="4"/>
        <v>9</v>
      </c>
      <c r="X11" s="22">
        <f t="shared" si="4"/>
        <v>15</v>
      </c>
      <c r="Y11" s="22">
        <f t="shared" si="4"/>
        <v>15</v>
      </c>
      <c r="Z11" s="22">
        <f t="shared" si="4"/>
        <v>15</v>
      </c>
      <c r="AA11" s="22">
        <f t="shared" si="4"/>
        <v>15</v>
      </c>
      <c r="AB11" s="22">
        <f t="shared" si="4"/>
        <v>15</v>
      </c>
      <c r="AC11" s="22">
        <f t="shared" si="4"/>
        <v>15</v>
      </c>
      <c r="AD11" s="22">
        <f t="shared" si="4"/>
        <v>15</v>
      </c>
      <c r="AE11" s="22">
        <f t="shared" si="4"/>
        <v>15</v>
      </c>
      <c r="AF11" s="22">
        <f t="shared" si="4"/>
        <v>15</v>
      </c>
      <c r="AG11" s="22">
        <f t="shared" si="4"/>
        <v>15</v>
      </c>
      <c r="AH11" s="22">
        <f t="shared" si="4"/>
        <v>15</v>
      </c>
      <c r="AI11" s="22">
        <f t="shared" si="4"/>
        <v>15</v>
      </c>
      <c r="AJ11" s="22">
        <f t="shared" si="4"/>
        <v>15</v>
      </c>
      <c r="AK11" s="22">
        <f t="shared" si="4"/>
        <v>15</v>
      </c>
      <c r="AL11" s="22">
        <f t="shared" si="4"/>
        <v>15</v>
      </c>
      <c r="AM11" s="22">
        <f t="shared" si="4"/>
        <v>15</v>
      </c>
      <c r="AN11" s="22">
        <f t="shared" si="4"/>
        <v>14</v>
      </c>
      <c r="AO11" s="22">
        <f t="shared" si="4"/>
        <v>14</v>
      </c>
      <c r="AP11" s="22">
        <f t="shared" si="4"/>
        <v>14</v>
      </c>
      <c r="AQ11" s="22">
        <f t="shared" si="4"/>
        <v>14</v>
      </c>
      <c r="AR11" s="22">
        <f t="shared" si="4"/>
        <v>14</v>
      </c>
      <c r="AS11" s="22">
        <f t="shared" si="4"/>
        <v>14</v>
      </c>
      <c r="AT11" s="22">
        <f t="shared" si="4"/>
        <v>6</v>
      </c>
      <c r="AU11" s="22">
        <f t="shared" si="4"/>
        <v>6</v>
      </c>
      <c r="AV11" s="22">
        <f t="shared" si="4"/>
        <v>6</v>
      </c>
      <c r="AW11" s="22">
        <f t="shared" si="4"/>
        <v>6</v>
      </c>
      <c r="AX11" s="22">
        <f t="shared" si="4"/>
        <v>6</v>
      </c>
      <c r="AY11" s="22">
        <f t="shared" si="4"/>
        <v>6</v>
      </c>
      <c r="AZ11" s="22">
        <f t="shared" si="4"/>
        <v>6</v>
      </c>
      <c r="BA11" s="22">
        <f t="shared" si="4"/>
        <v>6</v>
      </c>
      <c r="BB11" s="22">
        <f t="shared" si="4"/>
        <v>6</v>
      </c>
      <c r="BC11" s="22">
        <f t="shared" si="4"/>
        <v>6</v>
      </c>
      <c r="BD11" s="22">
        <f t="shared" si="4"/>
        <v>0</v>
      </c>
      <c r="BE11" s="22">
        <f t="shared" si="4"/>
        <v>0</v>
      </c>
      <c r="BF11" s="22">
        <f t="shared" si="4"/>
        <v>0</v>
      </c>
      <c r="BG11" s="22">
        <f t="shared" si="4"/>
        <v>0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ht="10.35" hidden="1" customHeight="1">
      <c r="G12" s="23"/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ht="10.35" customHeight="1">
      <c r="H14" s="142">
        <v>7</v>
      </c>
      <c r="I14" s="143"/>
      <c r="J14" s="143"/>
      <c r="K14" s="144"/>
      <c r="L14" s="142">
        <v>8</v>
      </c>
      <c r="M14" s="143"/>
      <c r="N14" s="143"/>
      <c r="O14" s="144"/>
      <c r="P14" s="142">
        <v>9</v>
      </c>
      <c r="Q14" s="143"/>
      <c r="R14" s="143"/>
      <c r="S14" s="144"/>
      <c r="T14" s="142">
        <v>10</v>
      </c>
      <c r="U14" s="143"/>
      <c r="V14" s="143"/>
      <c r="W14" s="144"/>
      <c r="X14" s="142">
        <v>11</v>
      </c>
      <c r="Y14" s="143"/>
      <c r="Z14" s="143"/>
      <c r="AA14" s="144"/>
      <c r="AB14" s="142">
        <v>12</v>
      </c>
      <c r="AC14" s="143"/>
      <c r="AD14" s="143"/>
      <c r="AE14" s="144"/>
      <c r="AF14" s="142">
        <v>13</v>
      </c>
      <c r="AG14" s="143"/>
      <c r="AH14" s="143"/>
      <c r="AI14" s="144"/>
      <c r="AJ14" s="142">
        <v>14</v>
      </c>
      <c r="AK14" s="143"/>
      <c r="AL14" s="143"/>
      <c r="AM14" s="144"/>
      <c r="AN14" s="142">
        <v>15</v>
      </c>
      <c r="AO14" s="143"/>
      <c r="AP14" s="143"/>
      <c r="AQ14" s="144"/>
      <c r="AR14" s="142">
        <v>16</v>
      </c>
      <c r="AS14" s="143"/>
      <c r="AT14" s="143"/>
      <c r="AU14" s="144"/>
      <c r="AV14" s="142">
        <v>17</v>
      </c>
      <c r="AW14" s="143"/>
      <c r="AX14" s="143"/>
      <c r="AY14" s="144"/>
      <c r="AZ14" s="142">
        <v>18</v>
      </c>
      <c r="BA14" s="143"/>
      <c r="BB14" s="143"/>
      <c r="BC14" s="144"/>
      <c r="BD14" s="142">
        <v>19</v>
      </c>
      <c r="BE14" s="143"/>
      <c r="BF14" s="143"/>
      <c r="BG14" s="144"/>
      <c r="BH14" s="142">
        <v>20</v>
      </c>
      <c r="BI14" s="143"/>
      <c r="BJ14" s="143"/>
      <c r="BK14" s="144"/>
      <c r="BL14" s="142">
        <v>21</v>
      </c>
      <c r="BM14" s="143"/>
      <c r="BN14" s="143"/>
      <c r="BO14" s="144"/>
      <c r="BP14" s="142">
        <v>22</v>
      </c>
      <c r="BQ14" s="143"/>
      <c r="BR14" s="143"/>
      <c r="BS14" s="144"/>
    </row>
    <row r="15" spans="2:72" s="2" customFormat="1" ht="12.95">
      <c r="B15" s="5" t="s">
        <v>284</v>
      </c>
      <c r="C15" s="5" t="s">
        <v>13</v>
      </c>
      <c r="D15" s="5" t="s">
        <v>14</v>
      </c>
      <c r="E15" s="5" t="s">
        <v>335</v>
      </c>
      <c r="F15" s="5" t="s">
        <v>287</v>
      </c>
      <c r="G15" s="5" t="s">
        <v>336</v>
      </c>
      <c r="H15" s="100" t="s">
        <v>332</v>
      </c>
      <c r="I15" s="98">
        <v>15</v>
      </c>
      <c r="J15" s="98">
        <v>30</v>
      </c>
      <c r="K15" s="99">
        <v>45</v>
      </c>
      <c r="L15" s="100" t="s">
        <v>332</v>
      </c>
      <c r="M15" s="98">
        <v>15</v>
      </c>
      <c r="N15" s="98">
        <v>30</v>
      </c>
      <c r="O15" s="99">
        <v>45</v>
      </c>
      <c r="P15" s="100" t="s">
        <v>332</v>
      </c>
      <c r="Q15" s="98">
        <v>15</v>
      </c>
      <c r="R15" s="98">
        <v>30</v>
      </c>
      <c r="S15" s="99">
        <v>45</v>
      </c>
      <c r="T15" s="100" t="s">
        <v>332</v>
      </c>
      <c r="U15" s="98">
        <v>15</v>
      </c>
      <c r="V15" s="98">
        <v>30</v>
      </c>
      <c r="W15" s="99">
        <v>45</v>
      </c>
      <c r="X15" s="100" t="s">
        <v>332</v>
      </c>
      <c r="Y15" s="98">
        <v>15</v>
      </c>
      <c r="Z15" s="98">
        <v>30</v>
      </c>
      <c r="AA15" s="99">
        <v>45</v>
      </c>
      <c r="AB15" s="100" t="s">
        <v>332</v>
      </c>
      <c r="AC15" s="98">
        <v>15</v>
      </c>
      <c r="AD15" s="98">
        <v>30</v>
      </c>
      <c r="AE15" s="99">
        <v>45</v>
      </c>
      <c r="AF15" s="100" t="s">
        <v>332</v>
      </c>
      <c r="AG15" s="98">
        <v>15</v>
      </c>
      <c r="AH15" s="98">
        <v>30</v>
      </c>
      <c r="AI15" s="99">
        <v>45</v>
      </c>
      <c r="AJ15" s="100" t="s">
        <v>332</v>
      </c>
      <c r="AK15" s="98">
        <v>15</v>
      </c>
      <c r="AL15" s="98">
        <v>30</v>
      </c>
      <c r="AM15" s="99">
        <v>45</v>
      </c>
      <c r="AN15" s="100" t="s">
        <v>332</v>
      </c>
      <c r="AO15" s="98">
        <v>15</v>
      </c>
      <c r="AP15" s="98">
        <v>30</v>
      </c>
      <c r="AQ15" s="99">
        <v>45</v>
      </c>
      <c r="AR15" s="100" t="s">
        <v>332</v>
      </c>
      <c r="AS15" s="98">
        <v>15</v>
      </c>
      <c r="AT15" s="98">
        <v>30</v>
      </c>
      <c r="AU15" s="99">
        <v>45</v>
      </c>
      <c r="AV15" s="100" t="s">
        <v>332</v>
      </c>
      <c r="AW15" s="98">
        <v>15</v>
      </c>
      <c r="AX15" s="98">
        <v>30</v>
      </c>
      <c r="AY15" s="99">
        <v>45</v>
      </c>
      <c r="AZ15" s="100" t="s">
        <v>332</v>
      </c>
      <c r="BA15" s="98">
        <v>15</v>
      </c>
      <c r="BB15" s="98">
        <v>30</v>
      </c>
      <c r="BC15" s="99">
        <v>45</v>
      </c>
      <c r="BD15" s="100" t="s">
        <v>332</v>
      </c>
      <c r="BE15" s="98">
        <v>15</v>
      </c>
      <c r="BF15" s="98">
        <v>30</v>
      </c>
      <c r="BG15" s="99">
        <v>45</v>
      </c>
      <c r="BH15" s="100" t="s">
        <v>332</v>
      </c>
      <c r="BI15" s="98">
        <v>15</v>
      </c>
      <c r="BJ15" s="98">
        <v>30</v>
      </c>
      <c r="BK15" s="99">
        <v>45</v>
      </c>
      <c r="BL15" s="100" t="s">
        <v>332</v>
      </c>
      <c r="BM15" s="98">
        <v>15</v>
      </c>
      <c r="BN15" s="98">
        <v>30</v>
      </c>
      <c r="BO15" s="99">
        <v>45</v>
      </c>
      <c r="BP15" s="100" t="s">
        <v>332</v>
      </c>
      <c r="BQ15" s="98">
        <v>15</v>
      </c>
      <c r="BR15" s="98">
        <v>30</v>
      </c>
      <c r="BS15" s="99">
        <v>45</v>
      </c>
    </row>
    <row r="16" spans="2:72" s="53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O16" s="88"/>
      <c r="BS16" s="88"/>
    </row>
    <row r="17" spans="2:72" s="93" customFormat="1">
      <c r="B17" s="90" t="str">
        <f>Weekly!B9</f>
        <v>01509</v>
      </c>
      <c r="C17" s="90" t="str">
        <f>Weekly!C9</f>
        <v>Amy</v>
      </c>
      <c r="D17" s="90" t="str">
        <f>Weekly!D14</f>
        <v>Burgoyne</v>
      </c>
      <c r="E17" s="91" t="str">
        <f>VLOOKUP(B17,Team!$B$4:$E$183,4,FALSE)</f>
        <v>L's</v>
      </c>
      <c r="F17" s="92">
        <f>Weekly!M9</f>
        <v>0.35416666666666602</v>
      </c>
      <c r="G17" s="92">
        <f>Weekly!N9</f>
        <v>0.687499999999999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>L's</v>
      </c>
      <c r="O17" s="84" t="str">
        <f t="shared" ref="O17:O48" si="12">IF(AND($O$12&gt;=$F17,$O$12&lt;$G17),$E17,"")</f>
        <v>L's</v>
      </c>
      <c r="P17" s="82" t="str">
        <f t="shared" ref="P17:P48" si="13">IF(AND($P$12&gt;=$F17,$P$12&lt;$G17),$E17,"")</f>
        <v>L's</v>
      </c>
      <c r="Q17" s="48" t="str">
        <f t="shared" ref="Q17:Q48" si="14">IF(AND($Q$12&gt;=$F17,$Q$12&lt;$G17),$E17,"")</f>
        <v>L's</v>
      </c>
      <c r="R17" s="48" t="str">
        <f t="shared" ref="R17:R48" si="15">IF(AND($R$12&gt;=$F17,$R$12&lt;$G17),$E17,"")</f>
        <v>L's</v>
      </c>
      <c r="S17" s="84" t="str">
        <f t="shared" ref="S17:S48" si="16">IF(AND($S$12&gt;=$F17,$S$12&lt;$G17),$E17,"")</f>
        <v>L's</v>
      </c>
      <c r="T17" s="82" t="str">
        <f t="shared" ref="T17:T48" si="17">IF(AND($T$12&gt;=$F17,$T$12&lt;$G17),$E17,"")</f>
        <v>L's</v>
      </c>
      <c r="U17" s="48" t="str">
        <f t="shared" ref="U17:U48" si="18">IF(AND($U$12&gt;=$F17,$U$12&lt;$G17),$E17,"")</f>
        <v>L's</v>
      </c>
      <c r="V17" s="48" t="str">
        <f t="shared" ref="V17:V48" si="19">IF(AND($V$12&gt;=$F17,$V$12&lt;$G17),$E17,"")</f>
        <v>L's</v>
      </c>
      <c r="W17" s="84" t="str">
        <f t="shared" ref="W17:W48" si="20">IF(AND($W$12&gt;=$F17,$W$12&lt;$G17),$E17,"")</f>
        <v>L's</v>
      </c>
      <c r="X17" s="82" t="str">
        <f t="shared" ref="X17:X48" si="21">IF(AND($X$12&gt;=$F17,$X$12&lt;$G17),$E17,"")</f>
        <v>L's</v>
      </c>
      <c r="Y17" s="48" t="str">
        <f t="shared" ref="Y17:Y48" si="22">IF(AND($Y$12&gt;=$F17,$Y$12&lt;$G17),$E17,"")</f>
        <v>L's</v>
      </c>
      <c r="Z17" s="48" t="str">
        <f t="shared" ref="Z17:Z48" si="23">IF(AND($Z$12&gt;=$F17,$Z$12&lt;$G17),$E17,"")</f>
        <v>L's</v>
      </c>
      <c r="AA17" s="84" t="str">
        <f t="shared" ref="AA17:AA48" si="24">IF(AND($AA$12&gt;=$F17,$AA$12&lt;$G17),$E17,"")</f>
        <v>L's</v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/>
      </c>
      <c r="AU17" s="84" t="str">
        <f t="shared" ref="AU17:AU48" si="44">IF(AND($AU$12&gt;=$F17,$AU$12&lt;$G17),$E17,"")</f>
        <v/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 s="93" customFormat="1">
      <c r="B18" s="90" t="str">
        <f>Weekly!B10</f>
        <v>1175</v>
      </c>
      <c r="C18" s="90" t="str">
        <f>Weekly!C10</f>
        <v>Anna</v>
      </c>
      <c r="D18" s="90" t="str">
        <f>Weekly!D15</f>
        <v>Huang</v>
      </c>
      <c r="E18" s="91" t="str">
        <f>VLOOKUP(B18,Team!$B$4:$E$183,4,FALSE)</f>
        <v>H&amp;B</v>
      </c>
      <c r="F18" s="92">
        <f>Weekly!M10</f>
        <v>0.35416666666666602</v>
      </c>
      <c r="G18" s="92">
        <f>Weekly!N10</f>
        <v>0.687499999999999</v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>H&amp;B</v>
      </c>
      <c r="O18" s="84" t="str">
        <f t="shared" si="12"/>
        <v>H&amp;B</v>
      </c>
      <c r="P18" s="82" t="str">
        <f t="shared" si="13"/>
        <v>H&amp;B</v>
      </c>
      <c r="Q18" s="48" t="str">
        <f t="shared" si="14"/>
        <v>H&amp;B</v>
      </c>
      <c r="R18" s="48" t="str">
        <f t="shared" si="15"/>
        <v>H&amp;B</v>
      </c>
      <c r="S18" s="84" t="str">
        <f t="shared" si="16"/>
        <v>H&amp;B</v>
      </c>
      <c r="T18" s="82" t="str">
        <f t="shared" si="17"/>
        <v>H&amp;B</v>
      </c>
      <c r="U18" s="48" t="str">
        <f t="shared" si="18"/>
        <v>H&amp;B</v>
      </c>
      <c r="V18" s="48" t="str">
        <f t="shared" si="19"/>
        <v>H&amp;B</v>
      </c>
      <c r="W18" s="84" t="str">
        <f t="shared" si="20"/>
        <v>H&amp;B</v>
      </c>
      <c r="X18" s="82" t="str">
        <f t="shared" si="21"/>
        <v>H&amp;B</v>
      </c>
      <c r="Y18" s="48" t="str">
        <f t="shared" si="22"/>
        <v>H&amp;B</v>
      </c>
      <c r="Z18" s="48" t="str">
        <f t="shared" si="23"/>
        <v>H&amp;B</v>
      </c>
      <c r="AA18" s="84" t="str">
        <f t="shared" si="24"/>
        <v>H&amp;B</v>
      </c>
      <c r="AB18" s="82" t="str">
        <f t="shared" si="25"/>
        <v>H&amp;B</v>
      </c>
      <c r="AC18" s="48" t="str">
        <f t="shared" si="26"/>
        <v>H&amp;B</v>
      </c>
      <c r="AD18" s="48" t="str">
        <f t="shared" si="27"/>
        <v>H&amp;B</v>
      </c>
      <c r="AE18" s="84" t="str">
        <f t="shared" si="28"/>
        <v>H&amp;B</v>
      </c>
      <c r="AF18" s="82" t="str">
        <f t="shared" si="29"/>
        <v>H&amp;B</v>
      </c>
      <c r="AG18" s="48" t="str">
        <f t="shared" si="30"/>
        <v>H&amp;B</v>
      </c>
      <c r="AH18" s="48" t="str">
        <f t="shared" si="31"/>
        <v>H&amp;B</v>
      </c>
      <c r="AI18" s="84" t="str">
        <f t="shared" si="32"/>
        <v>H&amp;B</v>
      </c>
      <c r="AJ18" s="82" t="str">
        <f t="shared" si="33"/>
        <v>H&amp;B</v>
      </c>
      <c r="AK18" s="48" t="str">
        <f t="shared" si="34"/>
        <v>H&amp;B</v>
      </c>
      <c r="AL18" s="48" t="str">
        <f t="shared" si="35"/>
        <v>H&amp;B</v>
      </c>
      <c r="AM18" s="84" t="str">
        <f t="shared" si="36"/>
        <v>H&amp;B</v>
      </c>
      <c r="AN18" s="82" t="str">
        <f t="shared" si="37"/>
        <v>H&amp;B</v>
      </c>
      <c r="AO18" s="48" t="str">
        <f t="shared" si="38"/>
        <v>H&amp;B</v>
      </c>
      <c r="AP18" s="48" t="str">
        <f t="shared" si="39"/>
        <v>H&amp;B</v>
      </c>
      <c r="AQ18" s="84" t="str">
        <f t="shared" si="40"/>
        <v>H&amp;B</v>
      </c>
      <c r="AR18" s="82" t="str">
        <f t="shared" si="41"/>
        <v>H&amp;B</v>
      </c>
      <c r="AS18" s="48" t="str">
        <f t="shared" si="42"/>
        <v>H&amp;B</v>
      </c>
      <c r="AT18" s="48" t="str">
        <f t="shared" si="43"/>
        <v/>
      </c>
      <c r="AU18" s="84" t="str">
        <f t="shared" si="44"/>
        <v/>
      </c>
      <c r="AV18" s="82" t="str">
        <f t="shared" si="45"/>
        <v/>
      </c>
      <c r="AW18" s="48" t="str">
        <f t="shared" si="46"/>
        <v/>
      </c>
      <c r="AX18" s="48" t="str">
        <f t="shared" si="47"/>
        <v/>
      </c>
      <c r="AY18" s="84" t="str">
        <f t="shared" si="48"/>
        <v/>
      </c>
      <c r="AZ18" s="82" t="str">
        <f t="shared" si="49"/>
        <v/>
      </c>
      <c r="BA18" s="48" t="str">
        <f t="shared" si="50"/>
        <v/>
      </c>
      <c r="BB18" s="48" t="str">
        <f t="shared" si="51"/>
        <v/>
      </c>
      <c r="BC18" s="84" t="str">
        <f t="shared" si="52"/>
        <v/>
      </c>
      <c r="BD18" s="82" t="str">
        <f t="shared" si="53"/>
        <v/>
      </c>
      <c r="BE18" s="48" t="str">
        <f t="shared" si="54"/>
        <v/>
      </c>
      <c r="BF18" s="48" t="str">
        <f t="shared" si="55"/>
        <v/>
      </c>
      <c r="BG18" s="84" t="str">
        <f t="shared" si="56"/>
        <v/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 s="93" customFormat="1">
      <c r="B19" s="90" t="str">
        <f>Weekly!B11</f>
        <v>1041</v>
      </c>
      <c r="C19" s="90" t="str">
        <f>Weekly!C11</f>
        <v>Archana</v>
      </c>
      <c r="D19" s="90" t="str">
        <f>Weekly!D16</f>
        <v>Park</v>
      </c>
      <c r="E19" s="91" t="str">
        <f>VLOOKUP(B19,Team!$B$4:$E$183,4,FALSE)</f>
        <v>L's</v>
      </c>
      <c r="F19" s="92" t="str">
        <f>Weekly!M11</f>
        <v/>
      </c>
      <c r="G19" s="92" t="str">
        <f>Weekly!N11</f>
        <v/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/>
      </c>
      <c r="Y19" s="48" t="str">
        <f t="shared" si="22"/>
        <v/>
      </c>
      <c r="Z19" s="48" t="str">
        <f t="shared" si="23"/>
        <v/>
      </c>
      <c r="AA19" s="84" t="str">
        <f t="shared" si="24"/>
        <v/>
      </c>
      <c r="AB19" s="82" t="str">
        <f t="shared" si="25"/>
        <v/>
      </c>
      <c r="AC19" s="48" t="str">
        <f t="shared" si="26"/>
        <v/>
      </c>
      <c r="AD19" s="48" t="str">
        <f t="shared" si="27"/>
        <v/>
      </c>
      <c r="AE19" s="84" t="str">
        <f t="shared" si="28"/>
        <v/>
      </c>
      <c r="AF19" s="82" t="str">
        <f t="shared" si="29"/>
        <v/>
      </c>
      <c r="AG19" s="48" t="str">
        <f t="shared" si="30"/>
        <v/>
      </c>
      <c r="AH19" s="48" t="str">
        <f t="shared" si="31"/>
        <v/>
      </c>
      <c r="AI19" s="84" t="str">
        <f t="shared" si="32"/>
        <v/>
      </c>
      <c r="AJ19" s="82" t="str">
        <f t="shared" si="33"/>
        <v/>
      </c>
      <c r="AK19" s="48" t="str">
        <f t="shared" si="34"/>
        <v/>
      </c>
      <c r="AL19" s="48" t="str">
        <f t="shared" si="35"/>
        <v/>
      </c>
      <c r="AM19" s="84" t="str">
        <f t="shared" si="36"/>
        <v/>
      </c>
      <c r="AN19" s="82" t="str">
        <f t="shared" si="37"/>
        <v/>
      </c>
      <c r="AO19" s="48" t="str">
        <f t="shared" si="38"/>
        <v/>
      </c>
      <c r="AP19" s="48" t="str">
        <f t="shared" si="39"/>
        <v/>
      </c>
      <c r="AQ19" s="84" t="str">
        <f t="shared" si="40"/>
        <v/>
      </c>
      <c r="AR19" s="82" t="str">
        <f t="shared" si="41"/>
        <v/>
      </c>
      <c r="AS19" s="48" t="str">
        <f t="shared" si="42"/>
        <v/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 s="93" customFormat="1">
      <c r="B20" s="90" t="str">
        <f>Weekly!B12</f>
        <v>1245</v>
      </c>
      <c r="C20" s="90" t="str">
        <f>Weekly!C12</f>
        <v>Charlotte</v>
      </c>
      <c r="D20" s="90" t="str">
        <f>Weekly!D17</f>
        <v>Oh</v>
      </c>
      <c r="E20" s="91" t="str">
        <f>VLOOKUP(B20,Team!$B$4:$E$183,4,FALSE)</f>
        <v>HH</v>
      </c>
      <c r="F20" s="92" t="str">
        <f>Weekly!M12</f>
        <v/>
      </c>
      <c r="G20" s="92" t="str">
        <f>Weekly!N12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 s="93" customFormat="1">
      <c r="B21" s="90" t="str">
        <f>Weekly!B13</f>
        <v>1136</v>
      </c>
      <c r="C21" s="90" t="str">
        <f>Weekly!C13</f>
        <v>Cherry</v>
      </c>
      <c r="D21" s="90" t="str">
        <f>Weekly!D18</f>
        <v>Kim</v>
      </c>
      <c r="E21" s="91" t="str">
        <f>VLOOKUP(B21,Team!$B$4:$E$183,4,FALSE)</f>
        <v>M's</v>
      </c>
      <c r="F21" s="92">
        <f>Weekly!M13</f>
        <v>0.45833333333333298</v>
      </c>
      <c r="G21" s="92">
        <f>Weekly!N13</f>
        <v>0.79166666666666596</v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>M's</v>
      </c>
      <c r="Y21" s="48" t="str">
        <f t="shared" si="22"/>
        <v>M's</v>
      </c>
      <c r="Z21" s="48" t="str">
        <f t="shared" si="23"/>
        <v>M's</v>
      </c>
      <c r="AA21" s="84" t="str">
        <f t="shared" si="24"/>
        <v>M's</v>
      </c>
      <c r="AB21" s="82" t="str">
        <f t="shared" si="25"/>
        <v>M's</v>
      </c>
      <c r="AC21" s="48" t="str">
        <f t="shared" si="26"/>
        <v>M's</v>
      </c>
      <c r="AD21" s="48" t="str">
        <f t="shared" si="27"/>
        <v>M's</v>
      </c>
      <c r="AE21" s="84" t="str">
        <f t="shared" si="28"/>
        <v>M's</v>
      </c>
      <c r="AF21" s="82" t="str">
        <f t="shared" si="29"/>
        <v>M's</v>
      </c>
      <c r="AG21" s="48" t="str">
        <f t="shared" si="30"/>
        <v>M's</v>
      </c>
      <c r="AH21" s="48" t="str">
        <f t="shared" si="31"/>
        <v>M's</v>
      </c>
      <c r="AI21" s="84" t="str">
        <f t="shared" si="32"/>
        <v>M's</v>
      </c>
      <c r="AJ21" s="82" t="str">
        <f t="shared" si="33"/>
        <v>M's</v>
      </c>
      <c r="AK21" s="48" t="str">
        <f t="shared" si="34"/>
        <v>M's</v>
      </c>
      <c r="AL21" s="48" t="str">
        <f t="shared" si="35"/>
        <v>M's</v>
      </c>
      <c r="AM21" s="84" t="str">
        <f t="shared" si="36"/>
        <v>M's</v>
      </c>
      <c r="AN21" s="82" t="str">
        <f t="shared" si="37"/>
        <v>M's</v>
      </c>
      <c r="AO21" s="48" t="str">
        <f t="shared" si="38"/>
        <v>M's</v>
      </c>
      <c r="AP21" s="48" t="str">
        <f t="shared" si="39"/>
        <v>M's</v>
      </c>
      <c r="AQ21" s="84" t="str">
        <f t="shared" si="40"/>
        <v>M's</v>
      </c>
      <c r="AR21" s="82" t="str">
        <f t="shared" si="41"/>
        <v>M's</v>
      </c>
      <c r="AS21" s="48" t="str">
        <f t="shared" si="42"/>
        <v>M's</v>
      </c>
      <c r="AT21" s="48" t="str">
        <f t="shared" si="43"/>
        <v>M's</v>
      </c>
      <c r="AU21" s="84" t="str">
        <f t="shared" si="44"/>
        <v>M's</v>
      </c>
      <c r="AV21" s="82" t="str">
        <f t="shared" si="45"/>
        <v>M's</v>
      </c>
      <c r="AW21" s="48" t="str">
        <f t="shared" si="46"/>
        <v>M's</v>
      </c>
      <c r="AX21" s="48" t="str">
        <f t="shared" si="47"/>
        <v>M's</v>
      </c>
      <c r="AY21" s="84" t="str">
        <f t="shared" si="48"/>
        <v>M's</v>
      </c>
      <c r="AZ21" s="82" t="str">
        <f t="shared" si="49"/>
        <v>M's</v>
      </c>
      <c r="BA21" s="48" t="str">
        <f t="shared" si="50"/>
        <v>M's</v>
      </c>
      <c r="BB21" s="48" t="str">
        <f t="shared" si="51"/>
        <v>M's</v>
      </c>
      <c r="BC21" s="84" t="str">
        <f t="shared" si="52"/>
        <v>M's</v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 s="93" customFormat="1">
      <c r="B22" s="90" t="str">
        <f>Weekly!B14</f>
        <v>1247</v>
      </c>
      <c r="C22" s="90" t="str">
        <f>Weekly!C14</f>
        <v>Chihiro</v>
      </c>
      <c r="D22" s="90" t="str">
        <f>Weekly!D19</f>
        <v>Hou</v>
      </c>
      <c r="E22" s="91" t="str">
        <f>VLOOKUP(B22,Team!$B$4:$E$183,4,FALSE)</f>
        <v>HH</v>
      </c>
      <c r="F22" s="92">
        <f>Weekly!M14</f>
        <v>0.35416666666666602</v>
      </c>
      <c r="G22" s="92">
        <f>Weekly!N14</f>
        <v>0.624999999999999</v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>HH</v>
      </c>
      <c r="O22" s="84" t="str">
        <f t="shared" si="12"/>
        <v>HH</v>
      </c>
      <c r="P22" s="82" t="str">
        <f t="shared" si="13"/>
        <v>HH</v>
      </c>
      <c r="Q22" s="48" t="str">
        <f t="shared" si="14"/>
        <v>HH</v>
      </c>
      <c r="R22" s="48" t="str">
        <f t="shared" si="15"/>
        <v>HH</v>
      </c>
      <c r="S22" s="84" t="str">
        <f t="shared" si="16"/>
        <v>HH</v>
      </c>
      <c r="T22" s="82" t="str">
        <f t="shared" si="17"/>
        <v>HH</v>
      </c>
      <c r="U22" s="48" t="str">
        <f t="shared" si="18"/>
        <v>HH</v>
      </c>
      <c r="V22" s="48" t="str">
        <f t="shared" si="19"/>
        <v>HH</v>
      </c>
      <c r="W22" s="84" t="str">
        <f t="shared" si="20"/>
        <v>HH</v>
      </c>
      <c r="X22" s="82" t="str">
        <f t="shared" si="21"/>
        <v>HH</v>
      </c>
      <c r="Y22" s="48" t="str">
        <f t="shared" si="22"/>
        <v>HH</v>
      </c>
      <c r="Z22" s="48" t="str">
        <f t="shared" si="23"/>
        <v>HH</v>
      </c>
      <c r="AA22" s="84" t="str">
        <f t="shared" si="24"/>
        <v>HH</v>
      </c>
      <c r="AB22" s="82" t="str">
        <f t="shared" si="25"/>
        <v>HH</v>
      </c>
      <c r="AC22" s="48" t="str">
        <f t="shared" si="26"/>
        <v>HH</v>
      </c>
      <c r="AD22" s="48" t="str">
        <f t="shared" si="27"/>
        <v>HH</v>
      </c>
      <c r="AE22" s="84" t="str">
        <f t="shared" si="28"/>
        <v>HH</v>
      </c>
      <c r="AF22" s="82" t="str">
        <f t="shared" si="29"/>
        <v>HH</v>
      </c>
      <c r="AG22" s="48" t="str">
        <f t="shared" si="30"/>
        <v>HH</v>
      </c>
      <c r="AH22" s="48" t="str">
        <f t="shared" si="31"/>
        <v>HH</v>
      </c>
      <c r="AI22" s="84" t="str">
        <f t="shared" si="32"/>
        <v>HH</v>
      </c>
      <c r="AJ22" s="82" t="str">
        <f t="shared" si="33"/>
        <v>HH</v>
      </c>
      <c r="AK22" s="48" t="str">
        <f t="shared" si="34"/>
        <v>HH</v>
      </c>
      <c r="AL22" s="48" t="str">
        <f t="shared" si="35"/>
        <v>HH</v>
      </c>
      <c r="AM22" s="84" t="str">
        <f t="shared" si="36"/>
        <v>HH</v>
      </c>
      <c r="AN22" s="82" t="str">
        <f t="shared" si="37"/>
        <v/>
      </c>
      <c r="AO22" s="48" t="str">
        <f t="shared" si="38"/>
        <v/>
      </c>
      <c r="AP22" s="48" t="str">
        <f t="shared" si="39"/>
        <v/>
      </c>
      <c r="AQ22" s="84" t="str">
        <f t="shared" si="40"/>
        <v/>
      </c>
      <c r="AR22" s="82" t="str">
        <f t="shared" si="41"/>
        <v/>
      </c>
      <c r="AS22" s="48" t="str">
        <f t="shared" si="42"/>
        <v/>
      </c>
      <c r="AT22" s="48" t="str">
        <f t="shared" si="43"/>
        <v/>
      </c>
      <c r="AU22" s="84" t="str">
        <f t="shared" si="44"/>
        <v/>
      </c>
      <c r="AV22" s="82" t="str">
        <f t="shared" si="45"/>
        <v/>
      </c>
      <c r="AW22" s="48" t="str">
        <f t="shared" si="46"/>
        <v/>
      </c>
      <c r="AX22" s="48" t="str">
        <f t="shared" si="47"/>
        <v/>
      </c>
      <c r="AY22" s="84" t="str">
        <f t="shared" si="48"/>
        <v/>
      </c>
      <c r="AZ22" s="82" t="str">
        <f t="shared" si="49"/>
        <v/>
      </c>
      <c r="BA22" s="48" t="str">
        <f t="shared" si="50"/>
        <v/>
      </c>
      <c r="BB22" s="48" t="str">
        <f t="shared" si="51"/>
        <v/>
      </c>
      <c r="BC22" s="84" t="str">
        <f t="shared" si="52"/>
        <v/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 s="93" customFormat="1">
      <c r="B23" s="90" t="str">
        <f>Weekly!B15</f>
        <v>01514</v>
      </c>
      <c r="C23" s="90" t="str">
        <f>Weekly!C15</f>
        <v>Chloe</v>
      </c>
      <c r="D23" s="90" t="str">
        <f>Weekly!D20</f>
        <v>Choi</v>
      </c>
      <c r="E23" s="91" t="str">
        <f>VLOOKUP(B23,Team!$B$4:$E$183,4,FALSE)</f>
        <v>SPV</v>
      </c>
      <c r="F23" s="92">
        <f>Weekly!M15</f>
        <v>0.45833333333333298</v>
      </c>
      <c r="G23" s="92">
        <f>Weekly!N15</f>
        <v>0.79166666666666596</v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/>
      </c>
      <c r="O23" s="84" t="str">
        <f t="shared" si="12"/>
        <v/>
      </c>
      <c r="P23" s="82" t="str">
        <f t="shared" si="13"/>
        <v/>
      </c>
      <c r="Q23" s="48" t="str">
        <f t="shared" si="14"/>
        <v/>
      </c>
      <c r="R23" s="48" t="str">
        <f t="shared" si="15"/>
        <v/>
      </c>
      <c r="S23" s="84" t="str">
        <f t="shared" si="16"/>
        <v/>
      </c>
      <c r="T23" s="82" t="str">
        <f t="shared" si="17"/>
        <v/>
      </c>
      <c r="U23" s="48" t="str">
        <f t="shared" si="18"/>
        <v/>
      </c>
      <c r="V23" s="48" t="str">
        <f t="shared" si="19"/>
        <v/>
      </c>
      <c r="W23" s="84" t="str">
        <f t="shared" si="20"/>
        <v/>
      </c>
      <c r="X23" s="82" t="str">
        <f t="shared" si="21"/>
        <v>SPV</v>
      </c>
      <c r="Y23" s="48" t="str">
        <f t="shared" si="22"/>
        <v>SPV</v>
      </c>
      <c r="Z23" s="48" t="str">
        <f t="shared" si="23"/>
        <v>SPV</v>
      </c>
      <c r="AA23" s="84" t="str">
        <f t="shared" si="24"/>
        <v>SPV</v>
      </c>
      <c r="AB23" s="82" t="str">
        <f t="shared" si="25"/>
        <v>SPV</v>
      </c>
      <c r="AC23" s="48" t="str">
        <f t="shared" si="26"/>
        <v>SPV</v>
      </c>
      <c r="AD23" s="48" t="str">
        <f t="shared" si="27"/>
        <v>SPV</v>
      </c>
      <c r="AE23" s="84" t="str">
        <f t="shared" si="28"/>
        <v>SPV</v>
      </c>
      <c r="AF23" s="82" t="str">
        <f t="shared" si="29"/>
        <v>SPV</v>
      </c>
      <c r="AG23" s="48" t="str">
        <f t="shared" si="30"/>
        <v>SPV</v>
      </c>
      <c r="AH23" s="48" t="str">
        <f t="shared" si="31"/>
        <v>SPV</v>
      </c>
      <c r="AI23" s="84" t="str">
        <f t="shared" si="32"/>
        <v>SPV</v>
      </c>
      <c r="AJ23" s="82" t="str">
        <f t="shared" si="33"/>
        <v>SPV</v>
      </c>
      <c r="AK23" s="48" t="str">
        <f t="shared" si="34"/>
        <v>SPV</v>
      </c>
      <c r="AL23" s="48" t="str">
        <f t="shared" si="35"/>
        <v>SPV</v>
      </c>
      <c r="AM23" s="84" t="str">
        <f t="shared" si="36"/>
        <v>SPV</v>
      </c>
      <c r="AN23" s="82" t="str">
        <f t="shared" si="37"/>
        <v>SPV</v>
      </c>
      <c r="AO23" s="48" t="str">
        <f t="shared" si="38"/>
        <v>SPV</v>
      </c>
      <c r="AP23" s="48" t="str">
        <f t="shared" si="39"/>
        <v>SPV</v>
      </c>
      <c r="AQ23" s="84" t="str">
        <f t="shared" si="40"/>
        <v>SPV</v>
      </c>
      <c r="AR23" s="82" t="str">
        <f t="shared" si="41"/>
        <v>SPV</v>
      </c>
      <c r="AS23" s="48" t="str">
        <f t="shared" si="42"/>
        <v>SPV</v>
      </c>
      <c r="AT23" s="48" t="str">
        <f t="shared" si="43"/>
        <v>SPV</v>
      </c>
      <c r="AU23" s="84" t="str">
        <f t="shared" si="44"/>
        <v>SPV</v>
      </c>
      <c r="AV23" s="82" t="str">
        <f t="shared" si="45"/>
        <v>SPV</v>
      </c>
      <c r="AW23" s="48" t="str">
        <f t="shared" si="46"/>
        <v>SPV</v>
      </c>
      <c r="AX23" s="48" t="str">
        <f t="shared" si="47"/>
        <v>SPV</v>
      </c>
      <c r="AY23" s="84" t="str">
        <f t="shared" si="48"/>
        <v>SPV</v>
      </c>
      <c r="AZ23" s="82" t="str">
        <f t="shared" si="49"/>
        <v>SPV</v>
      </c>
      <c r="BA23" s="48" t="str">
        <f t="shared" si="50"/>
        <v>SPV</v>
      </c>
      <c r="BB23" s="48" t="str">
        <f t="shared" si="51"/>
        <v>SPV</v>
      </c>
      <c r="BC23" s="84" t="str">
        <f t="shared" si="52"/>
        <v>SPV</v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 s="93" customFormat="1">
      <c r="B24" s="90" t="str">
        <f>Weekly!B16</f>
        <v>660</v>
      </c>
      <c r="C24" s="90" t="str">
        <f>Weekly!C16</f>
        <v>Daniel</v>
      </c>
      <c r="D24" s="90" t="str">
        <f>Weekly!D21</f>
        <v>Trac</v>
      </c>
      <c r="E24" s="91" t="str">
        <f>VLOOKUP(B24,Team!$B$4:$E$183,4,FALSE)</f>
        <v>HH</v>
      </c>
      <c r="F24" s="92" t="str">
        <f>Weekly!M16</f>
        <v/>
      </c>
      <c r="G24" s="92" t="str">
        <f>Weekly!N16</f>
        <v/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/>
      </c>
      <c r="AC24" s="48" t="str">
        <f t="shared" si="26"/>
        <v/>
      </c>
      <c r="AD24" s="48" t="str">
        <f t="shared" si="27"/>
        <v/>
      </c>
      <c r="AE24" s="84" t="str">
        <f t="shared" si="28"/>
        <v/>
      </c>
      <c r="AF24" s="82" t="str">
        <f t="shared" si="29"/>
        <v/>
      </c>
      <c r="AG24" s="48" t="str">
        <f t="shared" si="30"/>
        <v/>
      </c>
      <c r="AH24" s="48" t="str">
        <f t="shared" si="31"/>
        <v/>
      </c>
      <c r="AI24" s="84" t="str">
        <f t="shared" si="32"/>
        <v/>
      </c>
      <c r="AJ24" s="82" t="str">
        <f t="shared" si="33"/>
        <v/>
      </c>
      <c r="AK24" s="48" t="str">
        <f t="shared" si="34"/>
        <v/>
      </c>
      <c r="AL24" s="48" t="str">
        <f t="shared" si="35"/>
        <v/>
      </c>
      <c r="AM24" s="84" t="str">
        <f t="shared" si="36"/>
        <v/>
      </c>
      <c r="AN24" s="82" t="str">
        <f t="shared" si="37"/>
        <v/>
      </c>
      <c r="AO24" s="48" t="str">
        <f t="shared" si="38"/>
        <v/>
      </c>
      <c r="AP24" s="48" t="str">
        <f t="shared" si="39"/>
        <v/>
      </c>
      <c r="AQ24" s="84" t="str">
        <f t="shared" si="40"/>
        <v/>
      </c>
      <c r="AR24" s="82" t="str">
        <f t="shared" si="41"/>
        <v/>
      </c>
      <c r="AS24" s="48" t="str">
        <f t="shared" si="42"/>
        <v/>
      </c>
      <c r="AT24" s="48" t="str">
        <f t="shared" si="43"/>
        <v/>
      </c>
      <c r="AU24" s="84" t="str">
        <f t="shared" si="44"/>
        <v/>
      </c>
      <c r="AV24" s="82" t="str">
        <f t="shared" si="45"/>
        <v/>
      </c>
      <c r="AW24" s="48" t="str">
        <f t="shared" si="46"/>
        <v/>
      </c>
      <c r="AX24" s="48" t="str">
        <f t="shared" si="47"/>
        <v/>
      </c>
      <c r="AY24" s="84" t="str">
        <f t="shared" si="48"/>
        <v/>
      </c>
      <c r="AZ24" s="82" t="str">
        <f t="shared" si="49"/>
        <v/>
      </c>
      <c r="BA24" s="48" t="str">
        <f t="shared" si="50"/>
        <v/>
      </c>
      <c r="BB24" s="48" t="str">
        <f t="shared" si="51"/>
        <v/>
      </c>
      <c r="BC24" s="84" t="str">
        <f t="shared" si="52"/>
        <v/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 s="93" customFormat="1">
      <c r="B25" s="90" t="str">
        <f>Weekly!B17</f>
        <v>1275</v>
      </c>
      <c r="C25" s="90" t="str">
        <f>Weekly!C17</f>
        <v>Da-yeon</v>
      </c>
      <c r="D25" s="90" t="str">
        <f>Weekly!D22</f>
        <v>Blackburn</v>
      </c>
      <c r="E25" s="91" t="str">
        <f>VLOOKUP(B25,Team!$B$4:$E$183,4,FALSE)</f>
        <v>HH</v>
      </c>
      <c r="F25" s="92" t="str">
        <f>Weekly!M17</f>
        <v/>
      </c>
      <c r="G25" s="92" t="str">
        <f>Weekly!N17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 s="93" customFormat="1">
      <c r="B26" s="90" t="str">
        <f>Weekly!B18</f>
        <v>1258</v>
      </c>
      <c r="C26" s="90" t="str">
        <f>Weekly!C18</f>
        <v>Dennis</v>
      </c>
      <c r="D26" s="90" t="str">
        <f>Weekly!D23</f>
        <v>Deng</v>
      </c>
      <c r="E26" s="91" t="str">
        <f>VLOOKUP(B26,Team!$B$4:$E$183,4,FALSE)</f>
        <v>Stat.</v>
      </c>
      <c r="F26" s="92" t="str">
        <f>Weekly!M18</f>
        <v/>
      </c>
      <c r="G26" s="92" t="str">
        <f>Weekly!N18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 s="93" customFormat="1">
      <c r="B27" s="90" t="str">
        <f>Weekly!B19</f>
        <v>1131</v>
      </c>
      <c r="C27" s="90" t="str">
        <f>Weekly!C19</f>
        <v>Doris</v>
      </c>
      <c r="D27" s="90" t="str">
        <f>Weekly!D24</f>
        <v>Hwa</v>
      </c>
      <c r="E27" s="91" t="str">
        <f>VLOOKUP(B27,Team!$B$4:$E$183,4,FALSE)</f>
        <v>L's</v>
      </c>
      <c r="F27" s="92" t="str">
        <f>Weekly!M19</f>
        <v/>
      </c>
      <c r="G27" s="92" t="str">
        <f>Weekly!N19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 s="93" customFormat="1">
      <c r="B28" s="90" t="str">
        <f>Weekly!B20</f>
        <v>01601</v>
      </c>
      <c r="C28" s="90" t="str">
        <f>Weekly!C20</f>
        <v>Dorothy</v>
      </c>
      <c r="D28" s="90" t="str">
        <f>Weekly!D25</f>
        <v>Abad</v>
      </c>
      <c r="E28" s="91" t="str">
        <f>VLOOKUP(B28,Team!$B$4:$E$183,4,FALSE)</f>
        <v>M's</v>
      </c>
      <c r="F28" s="92" t="str">
        <f>Weekly!M20</f>
        <v/>
      </c>
      <c r="G28" s="92" t="str">
        <f>Weekly!N20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 s="93" customFormat="1">
      <c r="B29" s="90" t="str">
        <f>Weekly!B21</f>
        <v>01506</v>
      </c>
      <c r="C29" s="90" t="str">
        <f>Weekly!C21</f>
        <v>Duke</v>
      </c>
      <c r="D29" s="90" t="str">
        <f>Weekly!D26</f>
        <v>Lee</v>
      </c>
      <c r="E29" s="91" t="str">
        <f>VLOOKUP(B29,Team!$B$4:$E$183,4,FALSE)</f>
        <v>HH</v>
      </c>
      <c r="F29" s="92" t="str">
        <f>Weekly!M21</f>
        <v/>
      </c>
      <c r="G29" s="92" t="str">
        <f>Weekly!N21</f>
        <v/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/>
      </c>
      <c r="Y29" s="48" t="str">
        <f t="shared" si="22"/>
        <v/>
      </c>
      <c r="Z29" s="48" t="str">
        <f t="shared" si="23"/>
        <v/>
      </c>
      <c r="AA29" s="84" t="str">
        <f t="shared" si="24"/>
        <v/>
      </c>
      <c r="AB29" s="82" t="str">
        <f t="shared" si="25"/>
        <v/>
      </c>
      <c r="AC29" s="48" t="str">
        <f t="shared" si="26"/>
        <v/>
      </c>
      <c r="AD29" s="48" t="str">
        <f t="shared" si="27"/>
        <v/>
      </c>
      <c r="AE29" s="84" t="str">
        <f t="shared" si="28"/>
        <v/>
      </c>
      <c r="AF29" s="82" t="str">
        <f t="shared" si="29"/>
        <v/>
      </c>
      <c r="AG29" s="48" t="str">
        <f t="shared" si="30"/>
        <v/>
      </c>
      <c r="AH29" s="48" t="str">
        <f t="shared" si="31"/>
        <v/>
      </c>
      <c r="AI29" s="84" t="str">
        <f t="shared" si="32"/>
        <v/>
      </c>
      <c r="AJ29" s="82" t="str">
        <f t="shared" si="33"/>
        <v/>
      </c>
      <c r="AK29" s="48" t="str">
        <f t="shared" si="34"/>
        <v/>
      </c>
      <c r="AL29" s="48" t="str">
        <f t="shared" si="35"/>
        <v/>
      </c>
      <c r="AM29" s="84" t="str">
        <f t="shared" si="36"/>
        <v/>
      </c>
      <c r="AN29" s="82" t="str">
        <f t="shared" si="37"/>
        <v/>
      </c>
      <c r="AO29" s="48" t="str">
        <f t="shared" si="38"/>
        <v/>
      </c>
      <c r="AP29" s="48" t="str">
        <f t="shared" si="39"/>
        <v/>
      </c>
      <c r="AQ29" s="84" t="str">
        <f t="shared" si="40"/>
        <v/>
      </c>
      <c r="AR29" s="82" t="str">
        <f t="shared" si="41"/>
        <v/>
      </c>
      <c r="AS29" s="48" t="str">
        <f t="shared" si="42"/>
        <v/>
      </c>
      <c r="AT29" s="48" t="str">
        <f t="shared" si="43"/>
        <v/>
      </c>
      <c r="AU29" s="84" t="str">
        <f t="shared" si="44"/>
        <v/>
      </c>
      <c r="AV29" s="82" t="str">
        <f t="shared" si="45"/>
        <v/>
      </c>
      <c r="AW29" s="48" t="str">
        <f t="shared" si="46"/>
        <v/>
      </c>
      <c r="AX29" s="48" t="str">
        <f t="shared" si="47"/>
        <v/>
      </c>
      <c r="AY29" s="84" t="str">
        <f t="shared" si="48"/>
        <v/>
      </c>
      <c r="AZ29" s="82" t="str">
        <f t="shared" si="49"/>
        <v/>
      </c>
      <c r="BA29" s="48" t="str">
        <f t="shared" si="50"/>
        <v/>
      </c>
      <c r="BB29" s="48" t="str">
        <f t="shared" si="51"/>
        <v/>
      </c>
      <c r="BC29" s="84" t="str">
        <f t="shared" si="52"/>
        <v/>
      </c>
      <c r="BD29" s="82" t="str">
        <f t="shared" si="53"/>
        <v/>
      </c>
      <c r="BE29" s="48" t="str">
        <f t="shared" si="54"/>
        <v/>
      </c>
      <c r="BF29" s="48" t="str">
        <f t="shared" si="55"/>
        <v/>
      </c>
      <c r="BG29" s="84" t="str">
        <f t="shared" si="56"/>
        <v/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 s="93" customFormat="1">
      <c r="B30" s="90" t="str">
        <f>Weekly!B22</f>
        <v>01526</v>
      </c>
      <c r="C30" s="90" t="str">
        <f>Weekly!C22</f>
        <v>Emma</v>
      </c>
      <c r="D30" s="90" t="str">
        <f>Weekly!D27</f>
        <v>Viernes</v>
      </c>
      <c r="E30" s="91" t="str">
        <f>VLOOKUP(B30,Team!$B$4:$E$183,4,FALSE)</f>
        <v>L's</v>
      </c>
      <c r="F30" s="92" t="str">
        <f>Weekly!M22</f>
        <v/>
      </c>
      <c r="G30" s="92" t="str">
        <f>Weekly!N22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/>
      </c>
      <c r="AK30" s="48" t="str">
        <f t="shared" si="34"/>
        <v/>
      </c>
      <c r="AL30" s="48" t="str">
        <f t="shared" si="35"/>
        <v/>
      </c>
      <c r="AM30" s="84" t="str">
        <f t="shared" si="36"/>
        <v/>
      </c>
      <c r="AN30" s="82" t="str">
        <f t="shared" si="37"/>
        <v/>
      </c>
      <c r="AO30" s="48" t="str">
        <f t="shared" si="38"/>
        <v/>
      </c>
      <c r="AP30" s="48" t="str">
        <f t="shared" si="39"/>
        <v/>
      </c>
      <c r="AQ30" s="84" t="str">
        <f t="shared" si="40"/>
        <v/>
      </c>
      <c r="AR30" s="82" t="str">
        <f t="shared" si="41"/>
        <v/>
      </c>
      <c r="AS30" s="48" t="str">
        <f t="shared" si="42"/>
        <v/>
      </c>
      <c r="AT30" s="48" t="str">
        <f t="shared" si="43"/>
        <v/>
      </c>
      <c r="AU30" s="84" t="str">
        <f t="shared" si="44"/>
        <v/>
      </c>
      <c r="AV30" s="82" t="str">
        <f t="shared" si="45"/>
        <v/>
      </c>
      <c r="AW30" s="48" t="str">
        <f t="shared" si="46"/>
        <v/>
      </c>
      <c r="AX30" s="48" t="str">
        <f t="shared" si="47"/>
        <v/>
      </c>
      <c r="AY30" s="84" t="str">
        <f t="shared" si="48"/>
        <v/>
      </c>
      <c r="AZ30" s="82" t="str">
        <f t="shared" si="49"/>
        <v/>
      </c>
      <c r="BA30" s="48" t="str">
        <f t="shared" si="50"/>
        <v/>
      </c>
      <c r="BB30" s="48" t="str">
        <f t="shared" si="51"/>
        <v/>
      </c>
      <c r="BC30" s="84" t="str">
        <f t="shared" si="52"/>
        <v/>
      </c>
      <c r="BD30" s="82" t="str">
        <f t="shared" si="53"/>
        <v/>
      </c>
      <c r="BE30" s="48" t="str">
        <f t="shared" si="54"/>
        <v/>
      </c>
      <c r="BF30" s="48" t="str">
        <f t="shared" si="55"/>
        <v/>
      </c>
      <c r="BG30" s="84" t="str">
        <f t="shared" si="56"/>
        <v/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 s="93" customFormat="1">
      <c r="B31" s="90" t="str">
        <f>Weekly!B23</f>
        <v>1025</v>
      </c>
      <c r="C31" s="90" t="str">
        <f>Weekly!C23</f>
        <v>Eunice</v>
      </c>
      <c r="D31" s="90" t="str">
        <f>Weekly!D28</f>
        <v>Hui</v>
      </c>
      <c r="E31" s="91" t="str">
        <f>VLOOKUP(B31,Team!$B$4:$E$183,4,FALSE)</f>
        <v>L's</v>
      </c>
      <c r="F31" s="92" t="str">
        <f>Weekly!M23</f>
        <v/>
      </c>
      <c r="G31" s="92" t="str">
        <f>Weekly!N23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 s="93" customFormat="1">
      <c r="B32" s="90" t="str">
        <f>Weekly!B24</f>
        <v>670</v>
      </c>
      <c r="C32" s="90" t="str">
        <f>Weekly!C24</f>
        <v>Fern</v>
      </c>
      <c r="D32" s="90" t="str">
        <f>Weekly!D29</f>
        <v>Rao</v>
      </c>
      <c r="E32" s="91" t="str">
        <f>VLOOKUP(B32,Team!$B$4:$E$183,4,FALSE)</f>
        <v>SM</v>
      </c>
      <c r="F32" s="92">
        <f>Weekly!M24</f>
        <v>0.35416666666666602</v>
      </c>
      <c r="G32" s="92">
        <f>Weekly!N24</f>
        <v>0.687499999999999</v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>SM</v>
      </c>
      <c r="O32" s="84" t="str">
        <f t="shared" si="12"/>
        <v>SM</v>
      </c>
      <c r="P32" s="82" t="str">
        <f t="shared" si="13"/>
        <v>SM</v>
      </c>
      <c r="Q32" s="48" t="str">
        <f t="shared" si="14"/>
        <v>SM</v>
      </c>
      <c r="R32" s="48" t="str">
        <f t="shared" si="15"/>
        <v>SM</v>
      </c>
      <c r="S32" s="84" t="str">
        <f t="shared" si="16"/>
        <v>SM</v>
      </c>
      <c r="T32" s="82" t="str">
        <f t="shared" si="17"/>
        <v>SM</v>
      </c>
      <c r="U32" s="48" t="str">
        <f t="shared" si="18"/>
        <v>SM</v>
      </c>
      <c r="V32" s="48" t="str">
        <f t="shared" si="19"/>
        <v>SM</v>
      </c>
      <c r="W32" s="84" t="str">
        <f t="shared" si="20"/>
        <v>SM</v>
      </c>
      <c r="X32" s="82" t="str">
        <f t="shared" si="21"/>
        <v>SM</v>
      </c>
      <c r="Y32" s="48" t="str">
        <f t="shared" si="22"/>
        <v>SM</v>
      </c>
      <c r="Z32" s="48" t="str">
        <f t="shared" si="23"/>
        <v>SM</v>
      </c>
      <c r="AA32" s="84" t="str">
        <f t="shared" si="24"/>
        <v>SM</v>
      </c>
      <c r="AB32" s="82" t="str">
        <f t="shared" si="25"/>
        <v>SM</v>
      </c>
      <c r="AC32" s="48" t="str">
        <f t="shared" si="26"/>
        <v>SM</v>
      </c>
      <c r="AD32" s="48" t="str">
        <f t="shared" si="27"/>
        <v>SM</v>
      </c>
      <c r="AE32" s="84" t="str">
        <f t="shared" si="28"/>
        <v>SM</v>
      </c>
      <c r="AF32" s="82" t="str">
        <f t="shared" si="29"/>
        <v>SM</v>
      </c>
      <c r="AG32" s="48" t="str">
        <f t="shared" si="30"/>
        <v>SM</v>
      </c>
      <c r="AH32" s="48" t="str">
        <f t="shared" si="31"/>
        <v>SM</v>
      </c>
      <c r="AI32" s="84" t="str">
        <f t="shared" si="32"/>
        <v>SM</v>
      </c>
      <c r="AJ32" s="82" t="str">
        <f t="shared" si="33"/>
        <v>SM</v>
      </c>
      <c r="AK32" s="48" t="str">
        <f t="shared" si="34"/>
        <v>SM</v>
      </c>
      <c r="AL32" s="48" t="str">
        <f t="shared" si="35"/>
        <v>SM</v>
      </c>
      <c r="AM32" s="84" t="str">
        <f t="shared" si="36"/>
        <v>SM</v>
      </c>
      <c r="AN32" s="82" t="str">
        <f t="shared" si="37"/>
        <v>SM</v>
      </c>
      <c r="AO32" s="48" t="str">
        <f t="shared" si="38"/>
        <v>SM</v>
      </c>
      <c r="AP32" s="48" t="str">
        <f t="shared" si="39"/>
        <v>SM</v>
      </c>
      <c r="AQ32" s="84" t="str">
        <f t="shared" si="40"/>
        <v>SM</v>
      </c>
      <c r="AR32" s="82" t="str">
        <f t="shared" si="41"/>
        <v>SM</v>
      </c>
      <c r="AS32" s="48" t="str">
        <f t="shared" si="42"/>
        <v>SM</v>
      </c>
      <c r="AT32" s="48" t="str">
        <f t="shared" si="43"/>
        <v/>
      </c>
      <c r="AU32" s="84" t="str">
        <f t="shared" si="44"/>
        <v/>
      </c>
      <c r="AV32" s="82" t="str">
        <f t="shared" si="45"/>
        <v/>
      </c>
      <c r="AW32" s="48" t="str">
        <f t="shared" si="46"/>
        <v/>
      </c>
      <c r="AX32" s="48" t="str">
        <f t="shared" si="47"/>
        <v/>
      </c>
      <c r="AY32" s="84" t="str">
        <f t="shared" si="48"/>
        <v/>
      </c>
      <c r="AZ32" s="82" t="str">
        <f t="shared" si="49"/>
        <v/>
      </c>
      <c r="BA32" s="48" t="str">
        <f t="shared" si="50"/>
        <v/>
      </c>
      <c r="BB32" s="48" t="str">
        <f t="shared" si="51"/>
        <v/>
      </c>
      <c r="BC32" s="84" t="str">
        <f t="shared" si="52"/>
        <v/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 s="93" customFormat="1">
      <c r="B33" s="90" t="str">
        <f>Weekly!B25</f>
        <v>01504</v>
      </c>
      <c r="C33" s="90" t="str">
        <f>Weekly!C25</f>
        <v>Hannah</v>
      </c>
      <c r="D33" s="90" t="str">
        <f>Weekly!D30</f>
        <v>Zhang</v>
      </c>
      <c r="E33" s="91" t="str">
        <f>VLOOKUP(B33,Team!$B$4:$E$183,4,FALSE)</f>
        <v>L's</v>
      </c>
      <c r="F33" s="92" t="str">
        <f>Weekly!M25</f>
        <v/>
      </c>
      <c r="G33" s="92" t="str">
        <f>Weekly!N25</f>
        <v/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/>
      </c>
      <c r="AC33" s="48" t="str">
        <f t="shared" si="26"/>
        <v/>
      </c>
      <c r="AD33" s="48" t="str">
        <f t="shared" si="27"/>
        <v/>
      </c>
      <c r="AE33" s="84" t="str">
        <f t="shared" si="28"/>
        <v/>
      </c>
      <c r="AF33" s="82" t="str">
        <f t="shared" si="29"/>
        <v/>
      </c>
      <c r="AG33" s="48" t="str">
        <f t="shared" si="30"/>
        <v/>
      </c>
      <c r="AH33" s="48" t="str">
        <f t="shared" si="31"/>
        <v/>
      </c>
      <c r="AI33" s="84" t="str">
        <f t="shared" si="32"/>
        <v/>
      </c>
      <c r="AJ33" s="82" t="str">
        <f t="shared" si="33"/>
        <v/>
      </c>
      <c r="AK33" s="48" t="str">
        <f t="shared" si="34"/>
        <v/>
      </c>
      <c r="AL33" s="48" t="str">
        <f t="shared" si="35"/>
        <v/>
      </c>
      <c r="AM33" s="84" t="str">
        <f t="shared" si="36"/>
        <v/>
      </c>
      <c r="AN33" s="82" t="str">
        <f t="shared" si="37"/>
        <v/>
      </c>
      <c r="AO33" s="48" t="str">
        <f t="shared" si="38"/>
        <v/>
      </c>
      <c r="AP33" s="48" t="str">
        <f t="shared" si="39"/>
        <v/>
      </c>
      <c r="AQ33" s="84" t="str">
        <f t="shared" si="40"/>
        <v/>
      </c>
      <c r="AR33" s="82" t="str">
        <f t="shared" si="41"/>
        <v/>
      </c>
      <c r="AS33" s="48" t="str">
        <f t="shared" si="42"/>
        <v/>
      </c>
      <c r="AT33" s="48" t="str">
        <f t="shared" si="43"/>
        <v/>
      </c>
      <c r="AU33" s="84" t="str">
        <f t="shared" si="44"/>
        <v/>
      </c>
      <c r="AV33" s="82" t="str">
        <f t="shared" si="45"/>
        <v/>
      </c>
      <c r="AW33" s="48" t="str">
        <f t="shared" si="46"/>
        <v/>
      </c>
      <c r="AX33" s="48" t="str">
        <f t="shared" si="47"/>
        <v/>
      </c>
      <c r="AY33" s="84" t="str">
        <f t="shared" si="48"/>
        <v/>
      </c>
      <c r="AZ33" s="82" t="str">
        <f t="shared" si="49"/>
        <v/>
      </c>
      <c r="BA33" s="48" t="str">
        <f t="shared" si="50"/>
        <v/>
      </c>
      <c r="BB33" s="48" t="str">
        <f t="shared" si="51"/>
        <v/>
      </c>
      <c r="BC33" s="84" t="str">
        <f t="shared" si="52"/>
        <v/>
      </c>
      <c r="BD33" s="82" t="str">
        <f t="shared" si="53"/>
        <v/>
      </c>
      <c r="BE33" s="48" t="str">
        <f t="shared" si="54"/>
        <v/>
      </c>
      <c r="BF33" s="48" t="str">
        <f t="shared" si="55"/>
        <v/>
      </c>
      <c r="BG33" s="84" t="str">
        <f t="shared" si="56"/>
        <v/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 s="93" customFormat="1">
      <c r="B34" s="90" t="str">
        <f>Weekly!B26</f>
        <v>01524</v>
      </c>
      <c r="C34" s="90" t="str">
        <f>Weekly!C26</f>
        <v>Isabelle</v>
      </c>
      <c r="D34" s="90" t="str">
        <f>Weekly!D31</f>
        <v>Yabut</v>
      </c>
      <c r="E34" s="91" t="str">
        <f>VLOOKUP(B34,Team!$B$4:$E$183,4,FALSE)</f>
        <v>HH</v>
      </c>
      <c r="F34" s="92" t="str">
        <f>Weekly!M26</f>
        <v/>
      </c>
      <c r="G34" s="92" t="str">
        <f>Weekly!N26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 s="93" customFormat="1">
      <c r="B35" s="90" t="str">
        <f>Weekly!B27</f>
        <v>1216</v>
      </c>
      <c r="C35" s="90" t="str">
        <f>Weekly!C27</f>
        <v>Janelle</v>
      </c>
      <c r="D35" s="90" t="str">
        <f>Weekly!D32</f>
        <v>Shue</v>
      </c>
      <c r="E35" s="91" t="str">
        <f>VLOOKUP(B35,Team!$B$4:$E$183,4,FALSE)</f>
        <v>M's</v>
      </c>
      <c r="F35" s="92" t="str">
        <f>Weekly!M27</f>
        <v/>
      </c>
      <c r="G35" s="92" t="str">
        <f>Weekly!N27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 s="93" customFormat="1">
      <c r="B36" s="90" t="str">
        <f>Weekly!B28</f>
        <v>1228</v>
      </c>
      <c r="C36" s="90" t="str">
        <f>Weekly!C28</f>
        <v>Jared</v>
      </c>
      <c r="D36" s="90" t="str">
        <f>Weekly!D33</f>
        <v>Lam</v>
      </c>
      <c r="E36" s="91" t="str">
        <f>VLOOKUP(B36,Team!$B$4:$E$183,4,FALSE)</f>
        <v>HH</v>
      </c>
      <c r="F36" s="92">
        <f>Weekly!M28</f>
        <v>0.45833333333333298</v>
      </c>
      <c r="G36" s="92">
        <f>Weekly!N28</f>
        <v>0.79166666666666596</v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/>
      </c>
      <c r="Q36" s="48" t="str">
        <f t="shared" si="14"/>
        <v/>
      </c>
      <c r="R36" s="48" t="str">
        <f t="shared" si="15"/>
        <v/>
      </c>
      <c r="S36" s="84" t="str">
        <f t="shared" si="16"/>
        <v/>
      </c>
      <c r="T36" s="82" t="str">
        <f t="shared" si="17"/>
        <v/>
      </c>
      <c r="U36" s="48" t="str">
        <f t="shared" si="18"/>
        <v/>
      </c>
      <c r="V36" s="48" t="str">
        <f t="shared" si="19"/>
        <v/>
      </c>
      <c r="W36" s="84" t="str">
        <f t="shared" si="20"/>
        <v/>
      </c>
      <c r="X36" s="82" t="str">
        <f t="shared" si="21"/>
        <v>HH</v>
      </c>
      <c r="Y36" s="48" t="str">
        <f t="shared" si="22"/>
        <v>HH</v>
      </c>
      <c r="Z36" s="48" t="str">
        <f t="shared" si="23"/>
        <v>HH</v>
      </c>
      <c r="AA36" s="84" t="str">
        <f t="shared" si="24"/>
        <v>HH</v>
      </c>
      <c r="AB36" s="82" t="str">
        <f t="shared" si="25"/>
        <v>HH</v>
      </c>
      <c r="AC36" s="48" t="str">
        <f t="shared" si="26"/>
        <v>HH</v>
      </c>
      <c r="AD36" s="48" t="str">
        <f t="shared" si="27"/>
        <v>HH</v>
      </c>
      <c r="AE36" s="84" t="str">
        <f t="shared" si="28"/>
        <v>HH</v>
      </c>
      <c r="AF36" s="82" t="str">
        <f t="shared" si="29"/>
        <v>HH</v>
      </c>
      <c r="AG36" s="48" t="str">
        <f t="shared" si="30"/>
        <v>HH</v>
      </c>
      <c r="AH36" s="48" t="str">
        <f t="shared" si="31"/>
        <v>HH</v>
      </c>
      <c r="AI36" s="84" t="str">
        <f t="shared" si="32"/>
        <v>HH</v>
      </c>
      <c r="AJ36" s="82" t="str">
        <f t="shared" si="33"/>
        <v>HH</v>
      </c>
      <c r="AK36" s="48" t="str">
        <f t="shared" si="34"/>
        <v>HH</v>
      </c>
      <c r="AL36" s="48" t="str">
        <f t="shared" si="35"/>
        <v>HH</v>
      </c>
      <c r="AM36" s="84" t="str">
        <f t="shared" si="36"/>
        <v>HH</v>
      </c>
      <c r="AN36" s="82" t="str">
        <f t="shared" si="37"/>
        <v>HH</v>
      </c>
      <c r="AO36" s="48" t="str">
        <f t="shared" si="38"/>
        <v>HH</v>
      </c>
      <c r="AP36" s="48" t="str">
        <f t="shared" si="39"/>
        <v>HH</v>
      </c>
      <c r="AQ36" s="84" t="str">
        <f t="shared" si="40"/>
        <v>HH</v>
      </c>
      <c r="AR36" s="82" t="str">
        <f t="shared" si="41"/>
        <v>HH</v>
      </c>
      <c r="AS36" s="48" t="str">
        <f t="shared" si="42"/>
        <v>HH</v>
      </c>
      <c r="AT36" s="48" t="str">
        <f t="shared" si="43"/>
        <v>HH</v>
      </c>
      <c r="AU36" s="84" t="str">
        <f t="shared" si="44"/>
        <v>HH</v>
      </c>
      <c r="AV36" s="82" t="str">
        <f t="shared" si="45"/>
        <v>HH</v>
      </c>
      <c r="AW36" s="48" t="str">
        <f t="shared" si="46"/>
        <v>HH</v>
      </c>
      <c r="AX36" s="48" t="str">
        <f t="shared" si="47"/>
        <v>HH</v>
      </c>
      <c r="AY36" s="84" t="str">
        <f t="shared" si="48"/>
        <v>HH</v>
      </c>
      <c r="AZ36" s="82" t="str">
        <f t="shared" si="49"/>
        <v>HH</v>
      </c>
      <c r="BA36" s="48" t="str">
        <f t="shared" si="50"/>
        <v>HH</v>
      </c>
      <c r="BB36" s="48" t="str">
        <f t="shared" si="51"/>
        <v>HH</v>
      </c>
      <c r="BC36" s="84" t="str">
        <f t="shared" si="52"/>
        <v>HH</v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 s="93" customFormat="1">
      <c r="B37" s="90" t="str">
        <f>Weekly!B29</f>
        <v>1196</v>
      </c>
      <c r="C37" s="90" t="str">
        <f>Weekly!C29</f>
        <v>Jessica</v>
      </c>
      <c r="D37" s="90" t="str">
        <f>Weekly!D34</f>
        <v>Ko</v>
      </c>
      <c r="E37" s="91" t="str">
        <f>VLOOKUP(B37,Team!$B$4:$E$183,4,FALSE)</f>
        <v>SPV</v>
      </c>
      <c r="F37" s="92">
        <f>Weekly!M29</f>
        <v>0.35416666666666602</v>
      </c>
      <c r="G37" s="92">
        <f>Weekly!N29</f>
        <v>0.687499999999999</v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>SPV</v>
      </c>
      <c r="O37" s="84" t="str">
        <f t="shared" si="12"/>
        <v>SPV</v>
      </c>
      <c r="P37" s="82" t="str">
        <f t="shared" si="13"/>
        <v>SPV</v>
      </c>
      <c r="Q37" s="48" t="str">
        <f t="shared" si="14"/>
        <v>SPV</v>
      </c>
      <c r="R37" s="48" t="str">
        <f t="shared" si="15"/>
        <v>SPV</v>
      </c>
      <c r="S37" s="84" t="str">
        <f t="shared" si="16"/>
        <v>SPV</v>
      </c>
      <c r="T37" s="82" t="str">
        <f t="shared" si="17"/>
        <v>SPV</v>
      </c>
      <c r="U37" s="48" t="str">
        <f t="shared" si="18"/>
        <v>SPV</v>
      </c>
      <c r="V37" s="48" t="str">
        <f t="shared" si="19"/>
        <v>SPV</v>
      </c>
      <c r="W37" s="84" t="str">
        <f t="shared" si="20"/>
        <v>SPV</v>
      </c>
      <c r="X37" s="82" t="str">
        <f t="shared" si="21"/>
        <v>SPV</v>
      </c>
      <c r="Y37" s="48" t="str">
        <f t="shared" si="22"/>
        <v>SPV</v>
      </c>
      <c r="Z37" s="48" t="str">
        <f t="shared" si="23"/>
        <v>SPV</v>
      </c>
      <c r="AA37" s="84" t="str">
        <f t="shared" si="24"/>
        <v>SPV</v>
      </c>
      <c r="AB37" s="82" t="str">
        <f t="shared" si="25"/>
        <v>SPV</v>
      </c>
      <c r="AC37" s="48" t="str">
        <f t="shared" si="26"/>
        <v>SPV</v>
      </c>
      <c r="AD37" s="48" t="str">
        <f t="shared" si="27"/>
        <v>SPV</v>
      </c>
      <c r="AE37" s="84" t="str">
        <f t="shared" si="28"/>
        <v>SPV</v>
      </c>
      <c r="AF37" s="82" t="str">
        <f t="shared" si="29"/>
        <v>SPV</v>
      </c>
      <c r="AG37" s="48" t="str">
        <f t="shared" si="30"/>
        <v>SPV</v>
      </c>
      <c r="AH37" s="48" t="str">
        <f t="shared" si="31"/>
        <v>SPV</v>
      </c>
      <c r="AI37" s="84" t="str">
        <f t="shared" si="32"/>
        <v>SPV</v>
      </c>
      <c r="AJ37" s="82" t="str">
        <f t="shared" si="33"/>
        <v>SPV</v>
      </c>
      <c r="AK37" s="48" t="str">
        <f t="shared" si="34"/>
        <v>SPV</v>
      </c>
      <c r="AL37" s="48" t="str">
        <f t="shared" si="35"/>
        <v>SPV</v>
      </c>
      <c r="AM37" s="84" t="str">
        <f t="shared" si="36"/>
        <v>SPV</v>
      </c>
      <c r="AN37" s="82" t="str">
        <f t="shared" si="37"/>
        <v>SPV</v>
      </c>
      <c r="AO37" s="48" t="str">
        <f t="shared" si="38"/>
        <v>SPV</v>
      </c>
      <c r="AP37" s="48" t="str">
        <f t="shared" si="39"/>
        <v>SPV</v>
      </c>
      <c r="AQ37" s="84" t="str">
        <f t="shared" si="40"/>
        <v>SPV</v>
      </c>
      <c r="AR37" s="82" t="str">
        <f t="shared" si="41"/>
        <v>SPV</v>
      </c>
      <c r="AS37" s="48" t="str">
        <f t="shared" si="42"/>
        <v>SPV</v>
      </c>
      <c r="AT37" s="48" t="str">
        <f t="shared" si="43"/>
        <v/>
      </c>
      <c r="AU37" s="84" t="str">
        <f t="shared" si="44"/>
        <v/>
      </c>
      <c r="AV37" s="82" t="str">
        <f t="shared" si="45"/>
        <v/>
      </c>
      <c r="AW37" s="48" t="str">
        <f t="shared" si="46"/>
        <v/>
      </c>
      <c r="AX37" s="48" t="str">
        <f t="shared" si="47"/>
        <v/>
      </c>
      <c r="AY37" s="84" t="str">
        <f t="shared" si="48"/>
        <v/>
      </c>
      <c r="AZ37" s="82" t="str">
        <f t="shared" si="49"/>
        <v/>
      </c>
      <c r="BA37" s="48" t="str">
        <f t="shared" si="50"/>
        <v/>
      </c>
      <c r="BB37" s="48" t="str">
        <f t="shared" si="51"/>
        <v/>
      </c>
      <c r="BC37" s="84" t="str">
        <f t="shared" si="52"/>
        <v/>
      </c>
      <c r="BD37" s="82" t="str">
        <f t="shared" si="53"/>
        <v/>
      </c>
      <c r="BE37" s="48" t="str">
        <f t="shared" si="54"/>
        <v/>
      </c>
      <c r="BF37" s="48" t="str">
        <f t="shared" si="55"/>
        <v/>
      </c>
      <c r="BG37" s="84" t="str">
        <f t="shared" si="56"/>
        <v/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 s="93" customFormat="1">
      <c r="B38" s="90" t="str">
        <f>Weekly!B30</f>
        <v>01520</v>
      </c>
      <c r="C38" s="90" t="str">
        <f>Weekly!C30</f>
        <v>Jessie</v>
      </c>
      <c r="D38" s="90" t="str">
        <f>Weekly!D35</f>
        <v>Luong</v>
      </c>
      <c r="E38" s="91" t="str">
        <f>VLOOKUP(B38,Team!$B$4:$E$183,4,FALSE)</f>
        <v>L's</v>
      </c>
      <c r="F38" s="92" t="str">
        <f>Weekly!M30</f>
        <v/>
      </c>
      <c r="G38" s="92" t="str">
        <f>Weekly!N30</f>
        <v/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/>
      </c>
      <c r="Y38" s="48" t="str">
        <f t="shared" si="22"/>
        <v/>
      </c>
      <c r="Z38" s="48" t="str">
        <f t="shared" si="23"/>
        <v/>
      </c>
      <c r="AA38" s="84" t="str">
        <f t="shared" si="24"/>
        <v/>
      </c>
      <c r="AB38" s="82" t="str">
        <f t="shared" si="25"/>
        <v/>
      </c>
      <c r="AC38" s="48" t="str">
        <f t="shared" si="26"/>
        <v/>
      </c>
      <c r="AD38" s="48" t="str">
        <f t="shared" si="27"/>
        <v/>
      </c>
      <c r="AE38" s="84" t="str">
        <f t="shared" si="28"/>
        <v/>
      </c>
      <c r="AF38" s="82" t="str">
        <f t="shared" si="29"/>
        <v/>
      </c>
      <c r="AG38" s="48" t="str">
        <f t="shared" si="30"/>
        <v/>
      </c>
      <c r="AH38" s="48" t="str">
        <f t="shared" si="31"/>
        <v/>
      </c>
      <c r="AI38" s="84" t="str">
        <f t="shared" si="32"/>
        <v/>
      </c>
      <c r="AJ38" s="82" t="str">
        <f t="shared" si="33"/>
        <v/>
      </c>
      <c r="AK38" s="48" t="str">
        <f t="shared" si="34"/>
        <v/>
      </c>
      <c r="AL38" s="48" t="str">
        <f t="shared" si="35"/>
        <v/>
      </c>
      <c r="AM38" s="84" t="str">
        <f t="shared" si="36"/>
        <v/>
      </c>
      <c r="AN38" s="82" t="str">
        <f t="shared" si="37"/>
        <v/>
      </c>
      <c r="AO38" s="48" t="str">
        <f t="shared" si="38"/>
        <v/>
      </c>
      <c r="AP38" s="48" t="str">
        <f t="shared" si="39"/>
        <v/>
      </c>
      <c r="AQ38" s="84" t="str">
        <f t="shared" si="40"/>
        <v/>
      </c>
      <c r="AR38" s="82" t="str">
        <f t="shared" si="41"/>
        <v/>
      </c>
      <c r="AS38" s="48" t="str">
        <f t="shared" si="42"/>
        <v/>
      </c>
      <c r="AT38" s="48" t="str">
        <f t="shared" si="43"/>
        <v/>
      </c>
      <c r="AU38" s="84" t="str">
        <f t="shared" si="44"/>
        <v/>
      </c>
      <c r="AV38" s="82" t="str">
        <f t="shared" si="45"/>
        <v/>
      </c>
      <c r="AW38" s="48" t="str">
        <f t="shared" si="46"/>
        <v/>
      </c>
      <c r="AX38" s="48" t="str">
        <f t="shared" si="47"/>
        <v/>
      </c>
      <c r="AY38" s="84" t="str">
        <f t="shared" si="48"/>
        <v/>
      </c>
      <c r="AZ38" s="82" t="str">
        <f t="shared" si="49"/>
        <v/>
      </c>
      <c r="BA38" s="48" t="str">
        <f t="shared" si="50"/>
        <v/>
      </c>
      <c r="BB38" s="48" t="str">
        <f t="shared" si="51"/>
        <v/>
      </c>
      <c r="BC38" s="84" t="str">
        <f t="shared" si="52"/>
        <v/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 s="93" customFormat="1">
      <c r="B39" s="90" t="str">
        <f>Weekly!B31</f>
        <v>01505</v>
      </c>
      <c r="C39" s="90" t="str">
        <f>Weekly!C31</f>
        <v>Jewel</v>
      </c>
      <c r="D39" s="90" t="str">
        <f>Weekly!D36</f>
        <v>Sy</v>
      </c>
      <c r="E39" s="91" t="str">
        <f>VLOOKUP(B39,Team!$B$4:$E$183,4,FALSE)</f>
        <v>L's</v>
      </c>
      <c r="F39" s="92" t="str">
        <f>Weekly!M31</f>
        <v/>
      </c>
      <c r="G39" s="92" t="str">
        <f>Weekly!N31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 s="93" customFormat="1">
      <c r="B40" s="90" t="str">
        <f>Weekly!B32</f>
        <v>1289</v>
      </c>
      <c r="C40" s="90" t="str">
        <f>Weekly!C32</f>
        <v>Jordan</v>
      </c>
      <c r="D40" s="90" t="str">
        <f>Weekly!D37</f>
        <v>Htun</v>
      </c>
      <c r="E40" s="91" t="str">
        <f>VLOOKUP(B40,Team!$B$4:$E$183,4,FALSE)</f>
        <v>SPV</v>
      </c>
      <c r="F40" s="92">
        <f>Weekly!M32</f>
        <v>0.45833333333333298</v>
      </c>
      <c r="G40" s="92">
        <f>Weekly!N32</f>
        <v>0.79166666666666596</v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>SPV</v>
      </c>
      <c r="Y40" s="48" t="str">
        <f t="shared" si="22"/>
        <v>SPV</v>
      </c>
      <c r="Z40" s="48" t="str">
        <f t="shared" si="23"/>
        <v>SPV</v>
      </c>
      <c r="AA40" s="84" t="str">
        <f t="shared" si="24"/>
        <v>SPV</v>
      </c>
      <c r="AB40" s="82" t="str">
        <f t="shared" si="25"/>
        <v>SPV</v>
      </c>
      <c r="AC40" s="48" t="str">
        <f t="shared" si="26"/>
        <v>SPV</v>
      </c>
      <c r="AD40" s="48" t="str">
        <f t="shared" si="27"/>
        <v>SPV</v>
      </c>
      <c r="AE40" s="84" t="str">
        <f t="shared" si="28"/>
        <v>SPV</v>
      </c>
      <c r="AF40" s="82" t="str">
        <f t="shared" si="29"/>
        <v>SPV</v>
      </c>
      <c r="AG40" s="48" t="str">
        <f t="shared" si="30"/>
        <v>SPV</v>
      </c>
      <c r="AH40" s="48" t="str">
        <f t="shared" si="31"/>
        <v>SPV</v>
      </c>
      <c r="AI40" s="84" t="str">
        <f t="shared" si="32"/>
        <v>SPV</v>
      </c>
      <c r="AJ40" s="82" t="str">
        <f t="shared" si="33"/>
        <v>SPV</v>
      </c>
      <c r="AK40" s="48" t="str">
        <f t="shared" si="34"/>
        <v>SPV</v>
      </c>
      <c r="AL40" s="48" t="str">
        <f t="shared" si="35"/>
        <v>SPV</v>
      </c>
      <c r="AM40" s="84" t="str">
        <f t="shared" si="36"/>
        <v>SPV</v>
      </c>
      <c r="AN40" s="82" t="str">
        <f t="shared" si="37"/>
        <v>SPV</v>
      </c>
      <c r="AO40" s="48" t="str">
        <f t="shared" si="38"/>
        <v>SPV</v>
      </c>
      <c r="AP40" s="48" t="str">
        <f t="shared" si="39"/>
        <v>SPV</v>
      </c>
      <c r="AQ40" s="84" t="str">
        <f t="shared" si="40"/>
        <v>SPV</v>
      </c>
      <c r="AR40" s="82" t="str">
        <f t="shared" si="41"/>
        <v>SPV</v>
      </c>
      <c r="AS40" s="48" t="str">
        <f t="shared" si="42"/>
        <v>SPV</v>
      </c>
      <c r="AT40" s="48" t="str">
        <f t="shared" si="43"/>
        <v>SPV</v>
      </c>
      <c r="AU40" s="84" t="str">
        <f t="shared" si="44"/>
        <v>SPV</v>
      </c>
      <c r="AV40" s="82" t="str">
        <f t="shared" si="45"/>
        <v>SPV</v>
      </c>
      <c r="AW40" s="48" t="str">
        <f t="shared" si="46"/>
        <v>SPV</v>
      </c>
      <c r="AX40" s="48" t="str">
        <f t="shared" si="47"/>
        <v>SPV</v>
      </c>
      <c r="AY40" s="84" t="str">
        <f t="shared" si="48"/>
        <v>SPV</v>
      </c>
      <c r="AZ40" s="82" t="str">
        <f t="shared" si="49"/>
        <v>SPV</v>
      </c>
      <c r="BA40" s="48" t="str">
        <f t="shared" si="50"/>
        <v>SPV</v>
      </c>
      <c r="BB40" s="48" t="str">
        <f t="shared" si="51"/>
        <v>SPV</v>
      </c>
      <c r="BC40" s="84" t="str">
        <f t="shared" si="52"/>
        <v>SPV</v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 s="93" customFormat="1">
      <c r="B41" s="90" t="str">
        <f>Weekly!B33</f>
        <v>1094</v>
      </c>
      <c r="C41" s="90" t="str">
        <f>Weekly!C33</f>
        <v>Joslyn</v>
      </c>
      <c r="D41" s="90" t="str">
        <f>Weekly!D38</f>
        <v>Bongolan</v>
      </c>
      <c r="E41" s="91" t="str">
        <f>VLOOKUP(B41,Team!$B$4:$E$183,4,FALSE)</f>
        <v>HH</v>
      </c>
      <c r="F41" s="92">
        <f>Weekly!M33</f>
        <v>0.35416666666666602</v>
      </c>
      <c r="G41" s="92">
        <f>Weekly!N33</f>
        <v>0.687499999999999</v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>HH</v>
      </c>
      <c r="O41" s="84" t="str">
        <f t="shared" si="12"/>
        <v>HH</v>
      </c>
      <c r="P41" s="82" t="str">
        <f t="shared" si="13"/>
        <v>HH</v>
      </c>
      <c r="Q41" s="48" t="str">
        <f t="shared" si="14"/>
        <v>HH</v>
      </c>
      <c r="R41" s="48" t="str">
        <f t="shared" si="15"/>
        <v>HH</v>
      </c>
      <c r="S41" s="84" t="str">
        <f t="shared" si="16"/>
        <v>HH</v>
      </c>
      <c r="T41" s="82" t="str">
        <f t="shared" si="17"/>
        <v>HH</v>
      </c>
      <c r="U41" s="48" t="str">
        <f t="shared" si="18"/>
        <v>HH</v>
      </c>
      <c r="V41" s="48" t="str">
        <f t="shared" si="19"/>
        <v>HH</v>
      </c>
      <c r="W41" s="84" t="str">
        <f t="shared" si="20"/>
        <v>HH</v>
      </c>
      <c r="X41" s="82" t="str">
        <f t="shared" si="21"/>
        <v>HH</v>
      </c>
      <c r="Y41" s="48" t="str">
        <f t="shared" si="22"/>
        <v>HH</v>
      </c>
      <c r="Z41" s="48" t="str">
        <f t="shared" si="23"/>
        <v>HH</v>
      </c>
      <c r="AA41" s="84" t="str">
        <f t="shared" si="24"/>
        <v>HH</v>
      </c>
      <c r="AB41" s="82" t="str">
        <f t="shared" si="25"/>
        <v>HH</v>
      </c>
      <c r="AC41" s="48" t="str">
        <f t="shared" si="26"/>
        <v>HH</v>
      </c>
      <c r="AD41" s="48" t="str">
        <f t="shared" si="27"/>
        <v>HH</v>
      </c>
      <c r="AE41" s="84" t="str">
        <f t="shared" si="28"/>
        <v>HH</v>
      </c>
      <c r="AF41" s="82" t="str">
        <f t="shared" si="29"/>
        <v>HH</v>
      </c>
      <c r="AG41" s="48" t="str">
        <f t="shared" si="30"/>
        <v>HH</v>
      </c>
      <c r="AH41" s="48" t="str">
        <f t="shared" si="31"/>
        <v>HH</v>
      </c>
      <c r="AI41" s="84" t="str">
        <f t="shared" si="32"/>
        <v>HH</v>
      </c>
      <c r="AJ41" s="82" t="str">
        <f t="shared" si="33"/>
        <v>HH</v>
      </c>
      <c r="AK41" s="48" t="str">
        <f t="shared" si="34"/>
        <v>HH</v>
      </c>
      <c r="AL41" s="48" t="str">
        <f t="shared" si="35"/>
        <v>HH</v>
      </c>
      <c r="AM41" s="84" t="str">
        <f t="shared" si="36"/>
        <v>HH</v>
      </c>
      <c r="AN41" s="82" t="str">
        <f t="shared" si="37"/>
        <v>HH</v>
      </c>
      <c r="AO41" s="48" t="str">
        <f t="shared" si="38"/>
        <v>HH</v>
      </c>
      <c r="AP41" s="48" t="str">
        <f t="shared" si="39"/>
        <v>HH</v>
      </c>
      <c r="AQ41" s="84" t="str">
        <f t="shared" si="40"/>
        <v>HH</v>
      </c>
      <c r="AR41" s="82" t="str">
        <f t="shared" si="41"/>
        <v>HH</v>
      </c>
      <c r="AS41" s="48" t="str">
        <f t="shared" si="42"/>
        <v>HH</v>
      </c>
      <c r="AT41" s="48" t="str">
        <f t="shared" si="43"/>
        <v/>
      </c>
      <c r="AU41" s="84" t="str">
        <f t="shared" si="44"/>
        <v/>
      </c>
      <c r="AV41" s="82" t="str">
        <f t="shared" si="45"/>
        <v/>
      </c>
      <c r="AW41" s="48" t="str">
        <f t="shared" si="46"/>
        <v/>
      </c>
      <c r="AX41" s="48" t="str">
        <f t="shared" si="47"/>
        <v/>
      </c>
      <c r="AY41" s="84" t="str">
        <f t="shared" si="48"/>
        <v/>
      </c>
      <c r="AZ41" s="82" t="str">
        <f t="shared" si="49"/>
        <v/>
      </c>
      <c r="BA41" s="48" t="str">
        <f t="shared" si="50"/>
        <v/>
      </c>
      <c r="BB41" s="48" t="str">
        <f t="shared" si="51"/>
        <v/>
      </c>
      <c r="BC41" s="84" t="str">
        <f t="shared" si="52"/>
        <v/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 s="93" customFormat="1">
      <c r="B42" s="90" t="str">
        <f>Weekly!B34</f>
        <v>1014</v>
      </c>
      <c r="C42" s="90" t="str">
        <f>Weekly!C34</f>
        <v>Julie K.</v>
      </c>
      <c r="D42" s="90" t="str">
        <f>Weekly!D39</f>
        <v>Ng</v>
      </c>
      <c r="E42" s="91" t="str">
        <f>VLOOKUP(B42,Team!$B$4:$E$183,4,FALSE)</f>
        <v>H&amp;B</v>
      </c>
      <c r="F42" s="92" t="str">
        <f>Weekly!M34</f>
        <v/>
      </c>
      <c r="G42" s="92" t="str">
        <f>Weekly!N34</f>
        <v/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/>
      </c>
      <c r="Q42" s="48" t="str">
        <f t="shared" si="14"/>
        <v/>
      </c>
      <c r="R42" s="48" t="str">
        <f t="shared" si="15"/>
        <v/>
      </c>
      <c r="S42" s="84" t="str">
        <f t="shared" si="16"/>
        <v/>
      </c>
      <c r="T42" s="82" t="str">
        <f t="shared" si="17"/>
        <v/>
      </c>
      <c r="U42" s="48" t="str">
        <f t="shared" si="18"/>
        <v/>
      </c>
      <c r="V42" s="48" t="str">
        <f t="shared" si="19"/>
        <v/>
      </c>
      <c r="W42" s="84" t="str">
        <f t="shared" si="20"/>
        <v/>
      </c>
      <c r="X42" s="82" t="str">
        <f t="shared" si="21"/>
        <v/>
      </c>
      <c r="Y42" s="48" t="str">
        <f t="shared" si="22"/>
        <v/>
      </c>
      <c r="Z42" s="48" t="str">
        <f t="shared" si="23"/>
        <v/>
      </c>
      <c r="AA42" s="84" t="str">
        <f t="shared" si="24"/>
        <v/>
      </c>
      <c r="AB42" s="82" t="str">
        <f t="shared" si="25"/>
        <v/>
      </c>
      <c r="AC42" s="48" t="str">
        <f t="shared" si="26"/>
        <v/>
      </c>
      <c r="AD42" s="48" t="str">
        <f t="shared" si="27"/>
        <v/>
      </c>
      <c r="AE42" s="84" t="str">
        <f t="shared" si="28"/>
        <v/>
      </c>
      <c r="AF42" s="82" t="str">
        <f t="shared" si="29"/>
        <v/>
      </c>
      <c r="AG42" s="48" t="str">
        <f t="shared" si="30"/>
        <v/>
      </c>
      <c r="AH42" s="48" t="str">
        <f t="shared" si="31"/>
        <v/>
      </c>
      <c r="AI42" s="84" t="str">
        <f t="shared" si="32"/>
        <v/>
      </c>
      <c r="AJ42" s="82" t="str">
        <f t="shared" si="33"/>
        <v/>
      </c>
      <c r="AK42" s="48" t="str">
        <f t="shared" si="34"/>
        <v/>
      </c>
      <c r="AL42" s="48" t="str">
        <f t="shared" si="35"/>
        <v/>
      </c>
      <c r="AM42" s="84" t="str">
        <f t="shared" si="36"/>
        <v/>
      </c>
      <c r="AN42" s="82" t="str">
        <f t="shared" si="37"/>
        <v/>
      </c>
      <c r="AO42" s="48" t="str">
        <f t="shared" si="38"/>
        <v/>
      </c>
      <c r="AP42" s="48" t="str">
        <f t="shared" si="39"/>
        <v/>
      </c>
      <c r="AQ42" s="84" t="str">
        <f t="shared" si="40"/>
        <v/>
      </c>
      <c r="AR42" s="82" t="str">
        <f t="shared" si="41"/>
        <v/>
      </c>
      <c r="AS42" s="48" t="str">
        <f t="shared" si="42"/>
        <v/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 s="93" customFormat="1">
      <c r="B43" s="90" t="str">
        <f>Weekly!B35</f>
        <v>01518</v>
      </c>
      <c r="C43" s="90" t="str">
        <f>Weekly!C35</f>
        <v>Julie L.</v>
      </c>
      <c r="D43" s="90" t="str">
        <f>Weekly!D40</f>
        <v>Huynh</v>
      </c>
      <c r="E43" s="91" t="str">
        <f>VLOOKUP(B43,Team!$B$4:$E$183,4,FALSE)</f>
        <v>F</v>
      </c>
      <c r="F43" s="92" t="str">
        <f>Weekly!M35</f>
        <v/>
      </c>
      <c r="G43" s="92" t="str">
        <f>Weekly!N35</f>
        <v/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/>
      </c>
      <c r="Y43" s="48" t="str">
        <f t="shared" si="22"/>
        <v/>
      </c>
      <c r="Z43" s="48" t="str">
        <f t="shared" si="23"/>
        <v/>
      </c>
      <c r="AA43" s="84" t="str">
        <f t="shared" si="24"/>
        <v/>
      </c>
      <c r="AB43" s="82" t="str">
        <f t="shared" si="25"/>
        <v/>
      </c>
      <c r="AC43" s="48" t="str">
        <f t="shared" si="26"/>
        <v/>
      </c>
      <c r="AD43" s="48" t="str">
        <f t="shared" si="27"/>
        <v/>
      </c>
      <c r="AE43" s="84" t="str">
        <f t="shared" si="28"/>
        <v/>
      </c>
      <c r="AF43" s="82" t="str">
        <f t="shared" si="29"/>
        <v/>
      </c>
      <c r="AG43" s="48" t="str">
        <f t="shared" si="30"/>
        <v/>
      </c>
      <c r="AH43" s="48" t="str">
        <f t="shared" si="31"/>
        <v/>
      </c>
      <c r="AI43" s="84" t="str">
        <f t="shared" si="32"/>
        <v/>
      </c>
      <c r="AJ43" s="82" t="str">
        <f t="shared" si="33"/>
        <v/>
      </c>
      <c r="AK43" s="48" t="str">
        <f t="shared" si="34"/>
        <v/>
      </c>
      <c r="AL43" s="48" t="str">
        <f t="shared" si="35"/>
        <v/>
      </c>
      <c r="AM43" s="84" t="str">
        <f t="shared" si="36"/>
        <v/>
      </c>
      <c r="AN43" s="82" t="str">
        <f t="shared" si="37"/>
        <v/>
      </c>
      <c r="AO43" s="48" t="str">
        <f t="shared" si="38"/>
        <v/>
      </c>
      <c r="AP43" s="48" t="str">
        <f t="shared" si="39"/>
        <v/>
      </c>
      <c r="AQ43" s="84" t="str">
        <f t="shared" si="40"/>
        <v/>
      </c>
      <c r="AR43" s="82" t="str">
        <f t="shared" si="41"/>
        <v/>
      </c>
      <c r="AS43" s="48" t="str">
        <f t="shared" si="42"/>
        <v/>
      </c>
      <c r="AT43" s="48" t="str">
        <f t="shared" si="43"/>
        <v/>
      </c>
      <c r="AU43" s="84" t="str">
        <f t="shared" si="44"/>
        <v/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 s="93" customFormat="1">
      <c r="B44" s="90" t="str">
        <f>Weekly!B36</f>
        <v>01527</v>
      </c>
      <c r="C44" s="90" t="str">
        <f>Weekly!C36</f>
        <v>Justine</v>
      </c>
      <c r="D44" s="90" t="str">
        <f>Weekly!D41</f>
        <v>Simkhada</v>
      </c>
      <c r="E44" s="91" t="str">
        <f>VLOOKUP(B44,Team!$B$4:$E$183,4,FALSE)</f>
        <v>Stat.</v>
      </c>
      <c r="F44" s="92" t="str">
        <f>Weekly!M36</f>
        <v/>
      </c>
      <c r="G44" s="92" t="str">
        <f>Weekly!N36</f>
        <v/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/>
      </c>
      <c r="Q44" s="48" t="str">
        <f t="shared" si="14"/>
        <v/>
      </c>
      <c r="R44" s="48" t="str">
        <f t="shared" si="15"/>
        <v/>
      </c>
      <c r="S44" s="84" t="str">
        <f t="shared" si="16"/>
        <v/>
      </c>
      <c r="T44" s="82" t="str">
        <f t="shared" si="17"/>
        <v/>
      </c>
      <c r="U44" s="48" t="str">
        <f t="shared" si="18"/>
        <v/>
      </c>
      <c r="V44" s="48" t="str">
        <f t="shared" si="19"/>
        <v/>
      </c>
      <c r="W44" s="84" t="str">
        <f t="shared" si="20"/>
        <v/>
      </c>
      <c r="X44" s="82" t="str">
        <f t="shared" si="21"/>
        <v/>
      </c>
      <c r="Y44" s="48" t="str">
        <f t="shared" si="22"/>
        <v/>
      </c>
      <c r="Z44" s="48" t="str">
        <f t="shared" si="23"/>
        <v/>
      </c>
      <c r="AA44" s="84" t="str">
        <f t="shared" si="24"/>
        <v/>
      </c>
      <c r="AB44" s="82" t="str">
        <f t="shared" si="25"/>
        <v/>
      </c>
      <c r="AC44" s="48" t="str">
        <f t="shared" si="26"/>
        <v/>
      </c>
      <c r="AD44" s="48" t="str">
        <f t="shared" si="27"/>
        <v/>
      </c>
      <c r="AE44" s="84" t="str">
        <f t="shared" si="28"/>
        <v/>
      </c>
      <c r="AF44" s="82" t="str">
        <f t="shared" si="29"/>
        <v/>
      </c>
      <c r="AG44" s="48" t="str">
        <f t="shared" si="30"/>
        <v/>
      </c>
      <c r="AH44" s="48" t="str">
        <f t="shared" si="31"/>
        <v/>
      </c>
      <c r="AI44" s="84" t="str">
        <f t="shared" si="32"/>
        <v/>
      </c>
      <c r="AJ44" s="82" t="str">
        <f t="shared" si="33"/>
        <v/>
      </c>
      <c r="AK44" s="48" t="str">
        <f t="shared" si="34"/>
        <v/>
      </c>
      <c r="AL44" s="48" t="str">
        <f t="shared" si="35"/>
        <v/>
      </c>
      <c r="AM44" s="84" t="str">
        <f t="shared" si="36"/>
        <v/>
      </c>
      <c r="AN44" s="82" t="str">
        <f t="shared" si="37"/>
        <v/>
      </c>
      <c r="AO44" s="48" t="str">
        <f t="shared" si="38"/>
        <v/>
      </c>
      <c r="AP44" s="48" t="str">
        <f t="shared" si="39"/>
        <v/>
      </c>
      <c r="AQ44" s="84" t="str">
        <f t="shared" si="40"/>
        <v/>
      </c>
      <c r="AR44" s="82" t="str">
        <f t="shared" si="41"/>
        <v/>
      </c>
      <c r="AS44" s="48" t="str">
        <f t="shared" si="42"/>
        <v/>
      </c>
      <c r="AT44" s="48" t="str">
        <f t="shared" si="43"/>
        <v/>
      </c>
      <c r="AU44" s="84" t="str">
        <f t="shared" si="44"/>
        <v/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 s="93" customFormat="1">
      <c r="B45" s="90" t="str">
        <f>Weekly!B37</f>
        <v>01519</v>
      </c>
      <c r="C45" s="90" t="str">
        <f>Weekly!C37</f>
        <v>Kathy</v>
      </c>
      <c r="D45" s="90" t="str">
        <f>Weekly!D42</f>
        <v>Lee</v>
      </c>
      <c r="E45" s="91" t="str">
        <f>VLOOKUP(B45,Team!$B$4:$E$183,4,FALSE)</f>
        <v>Stat.</v>
      </c>
      <c r="F45" s="92" t="str">
        <f>Weekly!M37</f>
        <v/>
      </c>
      <c r="G45" s="92" t="str">
        <f>Weekly!N37</f>
        <v/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/>
      </c>
      <c r="Y45" s="48" t="str">
        <f t="shared" si="22"/>
        <v/>
      </c>
      <c r="Z45" s="48" t="str">
        <f t="shared" si="23"/>
        <v/>
      </c>
      <c r="AA45" s="84" t="str">
        <f t="shared" si="24"/>
        <v/>
      </c>
      <c r="AB45" s="82" t="str">
        <f t="shared" si="25"/>
        <v/>
      </c>
      <c r="AC45" s="48" t="str">
        <f t="shared" si="26"/>
        <v/>
      </c>
      <c r="AD45" s="48" t="str">
        <f t="shared" si="27"/>
        <v/>
      </c>
      <c r="AE45" s="84" t="str">
        <f t="shared" si="28"/>
        <v/>
      </c>
      <c r="AF45" s="82" t="str">
        <f t="shared" si="29"/>
        <v/>
      </c>
      <c r="AG45" s="48" t="str">
        <f t="shared" si="30"/>
        <v/>
      </c>
      <c r="AH45" s="48" t="str">
        <f t="shared" si="31"/>
        <v/>
      </c>
      <c r="AI45" s="84" t="str">
        <f t="shared" si="32"/>
        <v/>
      </c>
      <c r="AJ45" s="82" t="str">
        <f t="shared" si="33"/>
        <v/>
      </c>
      <c r="AK45" s="48" t="str">
        <f t="shared" si="34"/>
        <v/>
      </c>
      <c r="AL45" s="48" t="str">
        <f t="shared" si="35"/>
        <v/>
      </c>
      <c r="AM45" s="84" t="str">
        <f t="shared" si="36"/>
        <v/>
      </c>
      <c r="AN45" s="82" t="str">
        <f t="shared" si="37"/>
        <v/>
      </c>
      <c r="AO45" s="48" t="str">
        <f t="shared" si="38"/>
        <v/>
      </c>
      <c r="AP45" s="48" t="str">
        <f t="shared" si="39"/>
        <v/>
      </c>
      <c r="AQ45" s="84" t="str">
        <f t="shared" si="40"/>
        <v/>
      </c>
      <c r="AR45" s="82" t="str">
        <f t="shared" si="41"/>
        <v/>
      </c>
      <c r="AS45" s="48" t="str">
        <f t="shared" si="42"/>
        <v/>
      </c>
      <c r="AT45" s="48" t="str">
        <f t="shared" si="43"/>
        <v/>
      </c>
      <c r="AU45" s="84" t="str">
        <f t="shared" si="44"/>
        <v/>
      </c>
      <c r="AV45" s="82" t="str">
        <f t="shared" si="45"/>
        <v/>
      </c>
      <c r="AW45" s="48" t="str">
        <f t="shared" si="46"/>
        <v/>
      </c>
      <c r="AX45" s="48" t="str">
        <f t="shared" si="47"/>
        <v/>
      </c>
      <c r="AY45" s="84" t="str">
        <f t="shared" si="48"/>
        <v/>
      </c>
      <c r="AZ45" s="82" t="str">
        <f t="shared" si="49"/>
        <v/>
      </c>
      <c r="BA45" s="48" t="str">
        <f t="shared" si="50"/>
        <v/>
      </c>
      <c r="BB45" s="48" t="str">
        <f t="shared" si="51"/>
        <v/>
      </c>
      <c r="BC45" s="84" t="str">
        <f t="shared" si="52"/>
        <v/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 s="93" customFormat="1">
      <c r="B46" s="90" t="str">
        <f>Weekly!B38</f>
        <v>1143</v>
      </c>
      <c r="C46" s="90" t="str">
        <f>Weekly!C38</f>
        <v>Kaye</v>
      </c>
      <c r="D46" s="90" t="str">
        <f>Weekly!D43</f>
        <v>Banh</v>
      </c>
      <c r="E46" s="91" t="str">
        <f>VLOOKUP(B46,Team!$B$4:$E$183,4,FALSE)</f>
        <v>L's</v>
      </c>
      <c r="F46" s="92" t="str">
        <f>Weekly!M38</f>
        <v/>
      </c>
      <c r="G46" s="92" t="str">
        <f>Weekly!N38</f>
        <v/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/>
      </c>
      <c r="Y46" s="48" t="str">
        <f t="shared" si="22"/>
        <v/>
      </c>
      <c r="Z46" s="48" t="str">
        <f t="shared" si="23"/>
        <v/>
      </c>
      <c r="AA46" s="84" t="str">
        <f t="shared" si="24"/>
        <v/>
      </c>
      <c r="AB46" s="82" t="str">
        <f t="shared" si="25"/>
        <v/>
      </c>
      <c r="AC46" s="48" t="str">
        <f t="shared" si="26"/>
        <v/>
      </c>
      <c r="AD46" s="48" t="str">
        <f t="shared" si="27"/>
        <v/>
      </c>
      <c r="AE46" s="84" t="str">
        <f t="shared" si="28"/>
        <v/>
      </c>
      <c r="AF46" s="82" t="str">
        <f t="shared" si="29"/>
        <v/>
      </c>
      <c r="AG46" s="48" t="str">
        <f t="shared" si="30"/>
        <v/>
      </c>
      <c r="AH46" s="48" t="str">
        <f t="shared" si="31"/>
        <v/>
      </c>
      <c r="AI46" s="84" t="str">
        <f t="shared" si="32"/>
        <v/>
      </c>
      <c r="AJ46" s="82" t="str">
        <f t="shared" si="33"/>
        <v/>
      </c>
      <c r="AK46" s="48" t="str">
        <f t="shared" si="34"/>
        <v/>
      </c>
      <c r="AL46" s="48" t="str">
        <f t="shared" si="35"/>
        <v/>
      </c>
      <c r="AM46" s="84" t="str">
        <f t="shared" si="36"/>
        <v/>
      </c>
      <c r="AN46" s="82" t="str">
        <f t="shared" si="37"/>
        <v/>
      </c>
      <c r="AO46" s="48" t="str">
        <f t="shared" si="38"/>
        <v/>
      </c>
      <c r="AP46" s="48" t="str">
        <f t="shared" si="39"/>
        <v/>
      </c>
      <c r="AQ46" s="84" t="str">
        <f t="shared" si="40"/>
        <v/>
      </c>
      <c r="AR46" s="82" t="str">
        <f t="shared" si="41"/>
        <v/>
      </c>
      <c r="AS46" s="48" t="str">
        <f t="shared" si="42"/>
        <v/>
      </c>
      <c r="AT46" s="48" t="str">
        <f t="shared" si="43"/>
        <v/>
      </c>
      <c r="AU46" s="84" t="str">
        <f t="shared" si="44"/>
        <v/>
      </c>
      <c r="AV46" s="82" t="str">
        <f t="shared" si="45"/>
        <v/>
      </c>
      <c r="AW46" s="48" t="str">
        <f t="shared" si="46"/>
        <v/>
      </c>
      <c r="AX46" s="48" t="str">
        <f t="shared" si="47"/>
        <v/>
      </c>
      <c r="AY46" s="84" t="str">
        <f t="shared" si="48"/>
        <v/>
      </c>
      <c r="AZ46" s="82" t="str">
        <f t="shared" si="49"/>
        <v/>
      </c>
      <c r="BA46" s="48" t="str">
        <f t="shared" si="50"/>
        <v/>
      </c>
      <c r="BB46" s="48" t="str">
        <f t="shared" si="51"/>
        <v/>
      </c>
      <c r="BC46" s="84" t="str">
        <f t="shared" si="52"/>
        <v/>
      </c>
      <c r="BD46" s="82" t="str">
        <f t="shared" si="53"/>
        <v/>
      </c>
      <c r="BE46" s="48" t="str">
        <f t="shared" si="54"/>
        <v/>
      </c>
      <c r="BF46" s="48" t="str">
        <f t="shared" si="55"/>
        <v/>
      </c>
      <c r="BG46" s="84" t="str">
        <f t="shared" si="56"/>
        <v/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 s="93" customFormat="1">
      <c r="B47" s="90" t="str">
        <f>Weekly!B39</f>
        <v>01523</v>
      </c>
      <c r="C47" s="90" t="str">
        <f>Weekly!C39</f>
        <v>Lachlan</v>
      </c>
      <c r="D47" s="90" t="str">
        <f>Weekly!D44</f>
        <v>Tran Wo</v>
      </c>
      <c r="E47" s="91" t="str">
        <f>VLOOKUP(B47,Team!$B$4:$E$183,4,FALSE)</f>
        <v>L's</v>
      </c>
      <c r="F47" s="92" t="str">
        <f>Weekly!M39</f>
        <v/>
      </c>
      <c r="G47" s="92" t="str">
        <f>Weekly!N39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 s="93" customFormat="1">
      <c r="B48" s="90" t="str">
        <f>Weekly!B40</f>
        <v>614</v>
      </c>
      <c r="C48" s="90" t="str">
        <f>Weekly!C40</f>
        <v>Lauren</v>
      </c>
      <c r="D48" s="90" t="str">
        <f>Weekly!D45</f>
        <v>Ishikawa</v>
      </c>
      <c r="E48" s="91" t="str">
        <f>VLOOKUP(B48,Team!$B$4:$E$183,4,FALSE)</f>
        <v>L's</v>
      </c>
      <c r="F48" s="92" t="str">
        <f>Weekly!M40</f>
        <v/>
      </c>
      <c r="G48" s="92" t="str">
        <f>Weekly!N40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 s="93" customFormat="1">
      <c r="B49" s="90" t="str">
        <f>Weekly!B41</f>
        <v>01517</v>
      </c>
      <c r="C49" s="90" t="str">
        <f>Weekly!C41</f>
        <v>Lona</v>
      </c>
      <c r="D49" s="90" t="str">
        <f>Weekly!D46</f>
        <v>Choi</v>
      </c>
      <c r="E49" s="91" t="str">
        <f>VLOOKUP(B49,Team!$B$4:$E$183,4,FALSE)</f>
        <v>M's</v>
      </c>
      <c r="F49" s="92">
        <f>Weekly!M41</f>
        <v>0.35416666666666602</v>
      </c>
      <c r="G49" s="92">
        <f>Weekly!N41</f>
        <v>0.687499999999999</v>
      </c>
      <c r="H49" s="48" t="str">
        <f t="shared" ref="H49:H80" si="70">IF(AND($H$12&gt;=$F49,$H$12&lt;$G49),$E49,"")</f>
        <v/>
      </c>
      <c r="I49" s="48" t="str">
        <f t="shared" ref="I49:I80" si="71">IF(AND($I$12&gt;=$F49,$I$12&lt;$G49),$E49,"")</f>
        <v/>
      </c>
      <c r="J49" s="48" t="str">
        <f t="shared" ref="J49:J80" si="72">IF(AND($J$12&gt;=$F49,$J$12&lt;$G49),$E49,"")</f>
        <v/>
      </c>
      <c r="K49" s="84" t="str">
        <f t="shared" ref="K49:K80" si="73">IF(AND($K$12&gt;=$F49,$K$12&lt;$G49),$E49,"")</f>
        <v/>
      </c>
      <c r="L49" s="82" t="str">
        <f t="shared" ref="L49:L80" si="74">IF(AND($L$12&gt;=$F49,$L$12&lt;$G49),$E49,"")</f>
        <v/>
      </c>
      <c r="M49" s="48" t="str">
        <f t="shared" ref="M49:M80" si="75">IF(AND($M$12&gt;=$F49,$M$12&lt;$G49),$E49,"")</f>
        <v/>
      </c>
      <c r="N49" s="48" t="str">
        <f t="shared" ref="N49:N80" si="76">IF(AND($N$12&gt;=$F49,$N$12&lt;$G49),$E49,"")</f>
        <v>M's</v>
      </c>
      <c r="O49" s="84" t="str">
        <f t="shared" ref="O49:O80" si="77">IF(AND($O$12&gt;=$F49,$O$12&lt;$G49),$E49,"")</f>
        <v>M's</v>
      </c>
      <c r="P49" s="82" t="str">
        <f t="shared" ref="P49:P80" si="78">IF(AND($P$12&gt;=$F49,$P$12&lt;$G49),$E49,"")</f>
        <v>M's</v>
      </c>
      <c r="Q49" s="48" t="str">
        <f t="shared" ref="Q49:Q80" si="79">IF(AND($Q$12&gt;=$F49,$Q$12&lt;$G49),$E49,"")</f>
        <v>M's</v>
      </c>
      <c r="R49" s="48" t="str">
        <f t="shared" ref="R49:R80" si="80">IF(AND($R$12&gt;=$F49,$R$12&lt;$G49),$E49,"")</f>
        <v>M's</v>
      </c>
      <c r="S49" s="84" t="str">
        <f t="shared" ref="S49:S80" si="81">IF(AND($S$12&gt;=$F49,$S$12&lt;$G49),$E49,"")</f>
        <v>M's</v>
      </c>
      <c r="T49" s="82" t="str">
        <f t="shared" ref="T49:T80" si="82">IF(AND($T$12&gt;=$F49,$T$12&lt;$G49),$E49,"")</f>
        <v>M's</v>
      </c>
      <c r="U49" s="48" t="str">
        <f t="shared" ref="U49:U80" si="83">IF(AND($U$12&gt;=$F49,$U$12&lt;$G49),$E49,"")</f>
        <v>M's</v>
      </c>
      <c r="V49" s="48" t="str">
        <f t="shared" ref="V49:V80" si="84">IF(AND($V$12&gt;=$F49,$V$12&lt;$G49),$E49,"")</f>
        <v>M's</v>
      </c>
      <c r="W49" s="84" t="str">
        <f t="shared" ref="W49:W80" si="85">IF(AND($W$12&gt;=$F49,$W$12&lt;$G49),$E49,"")</f>
        <v>M's</v>
      </c>
      <c r="X49" s="82" t="str">
        <f t="shared" ref="X49:X80" si="86">IF(AND($X$12&gt;=$F49,$X$12&lt;$G49),$E49,"")</f>
        <v>M's</v>
      </c>
      <c r="Y49" s="48" t="str">
        <f t="shared" ref="Y49:Y80" si="87">IF(AND($Y$12&gt;=$F49,$Y$12&lt;$G49),$E49,"")</f>
        <v>M's</v>
      </c>
      <c r="Z49" s="48" t="str">
        <f t="shared" ref="Z49:Z80" si="88">IF(AND($Z$12&gt;=$F49,$Z$12&lt;$G49),$E49,"")</f>
        <v>M's</v>
      </c>
      <c r="AA49" s="84" t="str">
        <f t="shared" ref="AA49:AA80" si="89">IF(AND($AA$12&gt;=$F49,$AA$12&lt;$G49),$E49,"")</f>
        <v>M's</v>
      </c>
      <c r="AB49" s="82" t="str">
        <f t="shared" ref="AB49:AB80" si="90">IF(AND($AB$12&gt;=$F49,$AB$12&lt;$G49),$E49,"")</f>
        <v>M's</v>
      </c>
      <c r="AC49" s="48" t="str">
        <f t="shared" ref="AC49:AC80" si="91">IF(AND($AC$12&gt;=$F49,$AC$12&lt;$G49),$E49,"")</f>
        <v>M's</v>
      </c>
      <c r="AD49" s="48" t="str">
        <f t="shared" ref="AD49:AD80" si="92">IF(AND($AD$12&gt;=$F49,$AD$12&lt;$G49),$E49,"")</f>
        <v>M's</v>
      </c>
      <c r="AE49" s="84" t="str">
        <f t="shared" ref="AE49:AE80" si="93">IF(AND($AE$12&gt;=$F49,$AE$12&lt;$G49),$E49,"")</f>
        <v>M's</v>
      </c>
      <c r="AF49" s="82" t="str">
        <f t="shared" ref="AF49:AF80" si="94">IF(AND($AF$12&gt;=$F49,$AF$12&lt;$G49),$E49,"")</f>
        <v>M's</v>
      </c>
      <c r="AG49" s="48" t="str">
        <f t="shared" ref="AG49:AG80" si="95">IF(AND($AG$12&gt;=$F49,$AG$12&lt;$G49),$E49,"")</f>
        <v>M's</v>
      </c>
      <c r="AH49" s="48" t="str">
        <f t="shared" ref="AH49:AH80" si="96">IF(AND($AH$12&gt;=$F49,$AH$12&lt;$G49),$E49,"")</f>
        <v>M's</v>
      </c>
      <c r="AI49" s="84" t="str">
        <f t="shared" ref="AI49:AI80" si="97">IF(AND($AI$12&gt;=$F49,$AI$12&lt;$G49),$E49,"")</f>
        <v>M's</v>
      </c>
      <c r="AJ49" s="82" t="str">
        <f t="shared" ref="AJ49:AJ80" si="98">IF(AND($AJ$12&gt;=$F49,$AJ$12&lt;$G49),$E49,"")</f>
        <v>M's</v>
      </c>
      <c r="AK49" s="48" t="str">
        <f t="shared" ref="AK49:AK80" si="99">IF(AND($AK$12&gt;=$F49,$AK$12&lt;$G49),$E49,"")</f>
        <v>M's</v>
      </c>
      <c r="AL49" s="48" t="str">
        <f t="shared" ref="AL49:AL80" si="100">IF(AND($AL$12&gt;=$F49,$AL$12&lt;$G49),$E49,"")</f>
        <v>M's</v>
      </c>
      <c r="AM49" s="84" t="str">
        <f t="shared" ref="AM49:AM80" si="101">IF(AND($AM$12&gt;=$F49,$AM$12&lt;$G49),$E49,"")</f>
        <v>M's</v>
      </c>
      <c r="AN49" s="82" t="str">
        <f t="shared" ref="AN49:AN80" si="102">IF(AND($AN$12&gt;=$F49,$AN$12&lt;$G49),$E49,"")</f>
        <v>M's</v>
      </c>
      <c r="AO49" s="48" t="str">
        <f t="shared" ref="AO49:AO80" si="103">IF(AND($AO$12&gt;=$F49,$AO$12&lt;$G49),$E49,"")</f>
        <v>M's</v>
      </c>
      <c r="AP49" s="48" t="str">
        <f t="shared" ref="AP49:AP80" si="104">IF(AND($AP$12&gt;=$F49,$AP$12&lt;$G49),$E49,"")</f>
        <v>M's</v>
      </c>
      <c r="AQ49" s="84" t="str">
        <f t="shared" ref="AQ49:AQ80" si="105">IF(AND($AQ$12&gt;=$F49,$AQ$12&lt;$G49),$E49,"")</f>
        <v>M's</v>
      </c>
      <c r="AR49" s="82" t="str">
        <f t="shared" ref="AR49:AR80" si="106">IF(AND($AR$12&gt;=$F49,$AR$12&lt;$G49),$E49,"")</f>
        <v>M's</v>
      </c>
      <c r="AS49" s="48" t="str">
        <f t="shared" ref="AS49:AS80" si="107">IF(AND($AS$12&gt;=$F49,$AS$12&lt;$G49),$E49,"")</f>
        <v>M's</v>
      </c>
      <c r="AT49" s="48" t="str">
        <f t="shared" ref="AT49:AT80" si="108">IF(AND($AT$12&gt;=$F49,$AT$12&lt;$G49),$E49,"")</f>
        <v/>
      </c>
      <c r="AU49" s="84" t="str">
        <f t="shared" ref="AU49:AU80" si="109">IF(AND($AU$12&gt;=$F49,$AU$12&lt;$G49),$E49,"")</f>
        <v/>
      </c>
      <c r="AV49" s="82" t="str">
        <f t="shared" ref="AV49:AV80" si="110">IF(AND($AV$12&gt;=$F49,$AV$12&lt;$G49),$E49,"")</f>
        <v/>
      </c>
      <c r="AW49" s="48" t="str">
        <f t="shared" ref="AW49:AW80" si="111">IF(AND($AW$12&gt;=$F49,$AW$12&lt;$G49),$E49,"")</f>
        <v/>
      </c>
      <c r="AX49" s="48" t="str">
        <f t="shared" ref="AX49:AX80" si="112">IF(AND($AX$12&gt;=$F49,$AX$12&lt;$G49),$E49,"")</f>
        <v/>
      </c>
      <c r="AY49" s="84" t="str">
        <f t="shared" ref="AY49:AY80" si="113">IF(AND($AY$12&gt;=$F49,$AY$12&lt;$G49),$E49,"")</f>
        <v/>
      </c>
      <c r="AZ49" s="82" t="str">
        <f t="shared" ref="AZ49:AZ80" si="114">IF(AND($AZ$12&gt;=$F49,$AZ$12&lt;$G49),$E49,"")</f>
        <v/>
      </c>
      <c r="BA49" s="48" t="str">
        <f t="shared" ref="BA49:BA80" si="115">IF(AND($BA$12&gt;=$F49,$BA$12&lt;$G49),$E49,"")</f>
        <v/>
      </c>
      <c r="BB49" s="48" t="str">
        <f t="shared" ref="BB49:BB80" si="116">IF(AND($BB$12&gt;=$F49,$BB$12&lt;$G49),$E49,"")</f>
        <v/>
      </c>
      <c r="BC49" s="84" t="str">
        <f t="shared" ref="BC49:BC80" si="117">IF(AND($BC$12&gt;=$F49,$BC$12&lt;$G49),$E49,"")</f>
        <v/>
      </c>
      <c r="BD49" s="82" t="str">
        <f t="shared" ref="BD49:BD80" si="118">IF(AND($BD$12&gt;=$F49,$BD$12&lt;$G49),$E49,"")</f>
        <v/>
      </c>
      <c r="BE49" s="48" t="str">
        <f t="shared" ref="BE49:BE80" si="119">IF(AND($BE$12&gt;=$F49,$BE$12&lt;$G49),$E49,"")</f>
        <v/>
      </c>
      <c r="BF49" s="48" t="str">
        <f t="shared" ref="BF49:BF80" si="120">IF(AND($BF$12&gt;=$F49,$BF$12&lt;$G49),$E49,"")</f>
        <v/>
      </c>
      <c r="BG49" s="84" t="str">
        <f t="shared" ref="BG49:BG80" si="121">IF(AND($BG$12&gt;=$F49,$BG$12&lt;$G49),$E49,"")</f>
        <v/>
      </c>
      <c r="BH49" s="87" t="str">
        <f t="shared" ref="BH49:BH80" si="122">IF(AND($BH$12&gt;=$F49,$BH$12&lt;$G49),$E49,"")</f>
        <v/>
      </c>
      <c r="BI49" s="49" t="str">
        <f t="shared" ref="BI49:BI80" si="123">IF(AND($BI$12&gt;=$F49,$BI$12&lt;$G49),$E49,"")</f>
        <v/>
      </c>
      <c r="BJ49" s="49" t="str">
        <f t="shared" ref="BJ49:BJ80" si="124">IF(AND($BJ$12&gt;=$F49,$BJ$12&lt;$G49),$E49,"")</f>
        <v/>
      </c>
      <c r="BK49" s="89" t="str">
        <f t="shared" ref="BK49:BK80" si="125">IF(AND($BK$12&gt;=$F49,$BK$12&lt;$G49),$E49,"")</f>
        <v/>
      </c>
      <c r="BL49" s="87" t="str">
        <f t="shared" ref="BL49:BL80" si="126">IF(AND($BL$12&gt;=$F49,$BL$12&lt;$G49),$E49,"")</f>
        <v/>
      </c>
      <c r="BM49" s="49" t="str">
        <f t="shared" ref="BM49:BM80" si="127">IF(AND($BM$12&gt;=$F49,$BM$12&lt;$G49),$E49,"")</f>
        <v/>
      </c>
      <c r="BN49" s="49" t="str">
        <f t="shared" ref="BN49:BN80" si="128">IF(AND($BN$12&gt;=$F49,$BN$12&lt;$G49),$E49,"")</f>
        <v/>
      </c>
      <c r="BO49" s="89" t="str">
        <f t="shared" ref="BO49:BO80" si="129">IF(AND($BO$12&gt;=$F49,$BO$12&lt;$G49),$E49,"")</f>
        <v/>
      </c>
      <c r="BP49" s="87" t="str">
        <f t="shared" ref="BP49:BP80" si="130">IF(AND($BP$12&gt;=$F49,$BP$12&lt;$G49),$E49,"")</f>
        <v/>
      </c>
      <c r="BQ49" s="49" t="str">
        <f t="shared" ref="BQ49:BQ80" si="131">IF(AND($BQ$12&gt;=$F49,$BQ$12&lt;$G49),$E49,"")</f>
        <v/>
      </c>
      <c r="BR49" s="49" t="str">
        <f t="shared" ref="BR49:BR80" si="132">IF(AND($BR$12&gt;=$F49,$BR$12&lt;$G49),$E49,"")</f>
        <v/>
      </c>
      <c r="BS49" s="89" t="str">
        <f t="shared" ref="BS49:BS80" si="133">IF(AND($BS$12&gt;=$F49,$BS$12&lt;$G49),$E49,"")</f>
        <v/>
      </c>
      <c r="BT49" s="87" t="str">
        <f t="shared" ref="BT49:BT80" si="134">IF(AND($BT$12&gt;=$F49,$BT$12&lt;$G49),$E49,"")</f>
        <v/>
      </c>
    </row>
    <row r="50" spans="2:72" s="93" customFormat="1">
      <c r="B50" s="90" t="str">
        <f>Weekly!B42</f>
        <v>882</v>
      </c>
      <c r="C50" s="90" t="str">
        <f>Weekly!C42</f>
        <v>Masami</v>
      </c>
      <c r="D50" s="90" t="str">
        <f>Weekly!D47</f>
        <v>Nguyen</v>
      </c>
      <c r="E50" s="91" t="str">
        <f>VLOOKUP(B50,Team!$B$4:$E$183,4,FALSE)</f>
        <v>Acc.</v>
      </c>
      <c r="F50" s="92" t="str">
        <f>Weekly!M42</f>
        <v/>
      </c>
      <c r="G50" s="92" t="str">
        <f>Weekly!N42</f>
        <v/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/>
      </c>
      <c r="O50" s="84" t="str">
        <f t="shared" si="77"/>
        <v/>
      </c>
      <c r="P50" s="82" t="str">
        <f t="shared" si="78"/>
        <v/>
      </c>
      <c r="Q50" s="48" t="str">
        <f t="shared" si="79"/>
        <v/>
      </c>
      <c r="R50" s="48" t="str">
        <f t="shared" si="80"/>
        <v/>
      </c>
      <c r="S50" s="84" t="str">
        <f t="shared" si="81"/>
        <v/>
      </c>
      <c r="T50" s="82" t="str">
        <f t="shared" si="82"/>
        <v/>
      </c>
      <c r="U50" s="48" t="str">
        <f t="shared" si="83"/>
        <v/>
      </c>
      <c r="V50" s="48" t="str">
        <f t="shared" si="84"/>
        <v/>
      </c>
      <c r="W50" s="84" t="str">
        <f t="shared" si="85"/>
        <v/>
      </c>
      <c r="X50" s="82" t="str">
        <f t="shared" si="86"/>
        <v/>
      </c>
      <c r="Y50" s="48" t="str">
        <f t="shared" si="87"/>
        <v/>
      </c>
      <c r="Z50" s="48" t="str">
        <f t="shared" si="88"/>
        <v/>
      </c>
      <c r="AA50" s="84" t="str">
        <f t="shared" si="89"/>
        <v/>
      </c>
      <c r="AB50" s="82" t="str">
        <f t="shared" si="90"/>
        <v/>
      </c>
      <c r="AC50" s="48" t="str">
        <f t="shared" si="91"/>
        <v/>
      </c>
      <c r="AD50" s="48" t="str">
        <f t="shared" si="92"/>
        <v/>
      </c>
      <c r="AE50" s="84" t="str">
        <f t="shared" si="93"/>
        <v/>
      </c>
      <c r="AF50" s="82" t="str">
        <f t="shared" si="94"/>
        <v/>
      </c>
      <c r="AG50" s="48" t="str">
        <f t="shared" si="95"/>
        <v/>
      </c>
      <c r="AH50" s="48" t="str">
        <f t="shared" si="96"/>
        <v/>
      </c>
      <c r="AI50" s="84" t="str">
        <f t="shared" si="97"/>
        <v/>
      </c>
      <c r="AJ50" s="82" t="str">
        <f t="shared" si="98"/>
        <v/>
      </c>
      <c r="AK50" s="48" t="str">
        <f t="shared" si="99"/>
        <v/>
      </c>
      <c r="AL50" s="48" t="str">
        <f t="shared" si="100"/>
        <v/>
      </c>
      <c r="AM50" s="84" t="str">
        <f t="shared" si="101"/>
        <v/>
      </c>
      <c r="AN50" s="82" t="str">
        <f t="shared" si="102"/>
        <v/>
      </c>
      <c r="AO50" s="48" t="str">
        <f t="shared" si="103"/>
        <v/>
      </c>
      <c r="AP50" s="48" t="str">
        <f t="shared" si="104"/>
        <v/>
      </c>
      <c r="AQ50" s="84" t="str">
        <f t="shared" si="105"/>
        <v/>
      </c>
      <c r="AR50" s="82" t="str">
        <f t="shared" si="106"/>
        <v/>
      </c>
      <c r="AS50" s="48" t="str">
        <f t="shared" si="107"/>
        <v/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 s="93" customFormat="1">
      <c r="B51" s="90" t="str">
        <f>Weekly!B43</f>
        <v>1132</v>
      </c>
      <c r="C51" s="90" t="str">
        <f>Weekly!C43</f>
        <v>Michelle B.</v>
      </c>
      <c r="D51" s="90" t="str">
        <f>Weekly!D48</f>
        <v>De Vera</v>
      </c>
      <c r="E51" s="91" t="str">
        <f>VLOOKUP(B51,Team!$B$4:$E$183,4,FALSE)</f>
        <v>Stat.</v>
      </c>
      <c r="F51" s="92" t="str">
        <f>Weekly!M43</f>
        <v/>
      </c>
      <c r="G51" s="92" t="str">
        <f>Weekly!N43</f>
        <v/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/>
      </c>
      <c r="O51" s="84" t="str">
        <f t="shared" si="77"/>
        <v/>
      </c>
      <c r="P51" s="82" t="str">
        <f t="shared" si="78"/>
        <v/>
      </c>
      <c r="Q51" s="48" t="str">
        <f t="shared" si="79"/>
        <v/>
      </c>
      <c r="R51" s="48" t="str">
        <f t="shared" si="80"/>
        <v/>
      </c>
      <c r="S51" s="84" t="str">
        <f t="shared" si="81"/>
        <v/>
      </c>
      <c r="T51" s="82" t="str">
        <f t="shared" si="82"/>
        <v/>
      </c>
      <c r="U51" s="48" t="str">
        <f t="shared" si="83"/>
        <v/>
      </c>
      <c r="V51" s="48" t="str">
        <f t="shared" si="84"/>
        <v/>
      </c>
      <c r="W51" s="84" t="str">
        <f t="shared" si="85"/>
        <v/>
      </c>
      <c r="X51" s="82" t="str">
        <f t="shared" si="86"/>
        <v/>
      </c>
      <c r="Y51" s="48" t="str">
        <f t="shared" si="87"/>
        <v/>
      </c>
      <c r="Z51" s="48" t="str">
        <f t="shared" si="88"/>
        <v/>
      </c>
      <c r="AA51" s="84" t="str">
        <f t="shared" si="89"/>
        <v/>
      </c>
      <c r="AB51" s="82" t="str">
        <f t="shared" si="90"/>
        <v/>
      </c>
      <c r="AC51" s="48" t="str">
        <f t="shared" si="91"/>
        <v/>
      </c>
      <c r="AD51" s="48" t="str">
        <f t="shared" si="92"/>
        <v/>
      </c>
      <c r="AE51" s="84" t="str">
        <f t="shared" si="93"/>
        <v/>
      </c>
      <c r="AF51" s="82" t="str">
        <f t="shared" si="94"/>
        <v/>
      </c>
      <c r="AG51" s="48" t="str">
        <f t="shared" si="95"/>
        <v/>
      </c>
      <c r="AH51" s="48" t="str">
        <f t="shared" si="96"/>
        <v/>
      </c>
      <c r="AI51" s="84" t="str">
        <f t="shared" si="97"/>
        <v/>
      </c>
      <c r="AJ51" s="82" t="str">
        <f t="shared" si="98"/>
        <v/>
      </c>
      <c r="AK51" s="48" t="str">
        <f t="shared" si="99"/>
        <v/>
      </c>
      <c r="AL51" s="48" t="str">
        <f t="shared" si="100"/>
        <v/>
      </c>
      <c r="AM51" s="84" t="str">
        <f t="shared" si="101"/>
        <v/>
      </c>
      <c r="AN51" s="82" t="str">
        <f t="shared" si="102"/>
        <v/>
      </c>
      <c r="AO51" s="48" t="str">
        <f t="shared" si="103"/>
        <v/>
      </c>
      <c r="AP51" s="48" t="str">
        <f t="shared" si="104"/>
        <v/>
      </c>
      <c r="AQ51" s="84" t="str">
        <f t="shared" si="105"/>
        <v/>
      </c>
      <c r="AR51" s="82" t="str">
        <f t="shared" si="106"/>
        <v/>
      </c>
      <c r="AS51" s="48" t="str">
        <f t="shared" si="107"/>
        <v/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 s="93" customFormat="1">
      <c r="B52" s="90" t="str">
        <f>Weekly!B44</f>
        <v>01525</v>
      </c>
      <c r="C52" s="90" t="str">
        <f>Weekly!C44</f>
        <v>Michelle T.</v>
      </c>
      <c r="D52" s="90" t="str">
        <f>Weekly!D49</f>
        <v>Lin</v>
      </c>
      <c r="E52" s="91" t="str">
        <f>VLOOKUP(B52,Team!$B$4:$E$183,4,FALSE)</f>
        <v>Acc.</v>
      </c>
      <c r="F52" s="92">
        <f>Weekly!M44</f>
        <v>0.35416666666666602</v>
      </c>
      <c r="G52" s="92">
        <f>Weekly!N44</f>
        <v>0.687499999999999</v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>Acc.</v>
      </c>
      <c r="O52" s="84" t="str">
        <f t="shared" si="77"/>
        <v>Acc.</v>
      </c>
      <c r="P52" s="82" t="str">
        <f t="shared" si="78"/>
        <v>Acc.</v>
      </c>
      <c r="Q52" s="48" t="str">
        <f t="shared" si="79"/>
        <v>Acc.</v>
      </c>
      <c r="R52" s="48" t="str">
        <f t="shared" si="80"/>
        <v>Acc.</v>
      </c>
      <c r="S52" s="84" t="str">
        <f t="shared" si="81"/>
        <v>Acc.</v>
      </c>
      <c r="T52" s="82" t="str">
        <f t="shared" si="82"/>
        <v>Acc.</v>
      </c>
      <c r="U52" s="48" t="str">
        <f t="shared" si="83"/>
        <v>Acc.</v>
      </c>
      <c r="V52" s="48" t="str">
        <f t="shared" si="84"/>
        <v>Acc.</v>
      </c>
      <c r="W52" s="84" t="str">
        <f t="shared" si="85"/>
        <v>Acc.</v>
      </c>
      <c r="X52" s="82" t="str">
        <f t="shared" si="86"/>
        <v>Acc.</v>
      </c>
      <c r="Y52" s="48" t="str">
        <f t="shared" si="87"/>
        <v>Acc.</v>
      </c>
      <c r="Z52" s="48" t="str">
        <f t="shared" si="88"/>
        <v>Acc.</v>
      </c>
      <c r="AA52" s="84" t="str">
        <f t="shared" si="89"/>
        <v>Acc.</v>
      </c>
      <c r="AB52" s="82" t="str">
        <f t="shared" si="90"/>
        <v>Acc.</v>
      </c>
      <c r="AC52" s="48" t="str">
        <f t="shared" si="91"/>
        <v>Acc.</v>
      </c>
      <c r="AD52" s="48" t="str">
        <f t="shared" si="92"/>
        <v>Acc.</v>
      </c>
      <c r="AE52" s="84" t="str">
        <f t="shared" si="93"/>
        <v>Acc.</v>
      </c>
      <c r="AF52" s="82" t="str">
        <f t="shared" si="94"/>
        <v>Acc.</v>
      </c>
      <c r="AG52" s="48" t="str">
        <f t="shared" si="95"/>
        <v>Acc.</v>
      </c>
      <c r="AH52" s="48" t="str">
        <f t="shared" si="96"/>
        <v>Acc.</v>
      </c>
      <c r="AI52" s="84" t="str">
        <f t="shared" si="97"/>
        <v>Acc.</v>
      </c>
      <c r="AJ52" s="82" t="str">
        <f t="shared" si="98"/>
        <v>Acc.</v>
      </c>
      <c r="AK52" s="48" t="str">
        <f t="shared" si="99"/>
        <v>Acc.</v>
      </c>
      <c r="AL52" s="48" t="str">
        <f t="shared" si="100"/>
        <v>Acc.</v>
      </c>
      <c r="AM52" s="84" t="str">
        <f t="shared" si="101"/>
        <v>Acc.</v>
      </c>
      <c r="AN52" s="82" t="str">
        <f t="shared" si="102"/>
        <v>Acc.</v>
      </c>
      <c r="AO52" s="48" t="str">
        <f t="shared" si="103"/>
        <v>Acc.</v>
      </c>
      <c r="AP52" s="48" t="str">
        <f t="shared" si="104"/>
        <v>Acc.</v>
      </c>
      <c r="AQ52" s="84" t="str">
        <f t="shared" si="105"/>
        <v>Acc.</v>
      </c>
      <c r="AR52" s="82" t="str">
        <f t="shared" si="106"/>
        <v>Acc.</v>
      </c>
      <c r="AS52" s="48" t="str">
        <f t="shared" si="107"/>
        <v>Acc.</v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 s="93" customFormat="1">
      <c r="B53" s="90" t="str">
        <f>Weekly!B45</f>
        <v>1234</v>
      </c>
      <c r="C53" s="90" t="str">
        <f>Weekly!C45</f>
        <v>Misato</v>
      </c>
      <c r="D53" s="90" t="str">
        <f>Weekly!D50</f>
        <v>Rabena</v>
      </c>
      <c r="E53" s="91" t="str">
        <f>VLOOKUP(B53,Team!$B$4:$E$183,4,FALSE)</f>
        <v>L's</v>
      </c>
      <c r="F53" s="92" t="str">
        <f>Weekly!M45</f>
        <v/>
      </c>
      <c r="G53" s="92" t="str">
        <f>Weekly!N45</f>
        <v/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/>
      </c>
      <c r="O53" s="84" t="str">
        <f t="shared" si="77"/>
        <v/>
      </c>
      <c r="P53" s="82" t="str">
        <f t="shared" si="78"/>
        <v/>
      </c>
      <c r="Q53" s="48" t="str">
        <f t="shared" si="79"/>
        <v/>
      </c>
      <c r="R53" s="48" t="str">
        <f t="shared" si="80"/>
        <v/>
      </c>
      <c r="S53" s="84" t="str">
        <f t="shared" si="81"/>
        <v/>
      </c>
      <c r="T53" s="82" t="str">
        <f t="shared" si="82"/>
        <v/>
      </c>
      <c r="U53" s="48" t="str">
        <f t="shared" si="83"/>
        <v/>
      </c>
      <c r="V53" s="48" t="str">
        <f t="shared" si="84"/>
        <v/>
      </c>
      <c r="W53" s="84" t="str">
        <f t="shared" si="85"/>
        <v/>
      </c>
      <c r="X53" s="82" t="str">
        <f t="shared" si="86"/>
        <v/>
      </c>
      <c r="Y53" s="48" t="str">
        <f t="shared" si="87"/>
        <v/>
      </c>
      <c r="Z53" s="48" t="str">
        <f t="shared" si="88"/>
        <v/>
      </c>
      <c r="AA53" s="84" t="str">
        <f t="shared" si="89"/>
        <v/>
      </c>
      <c r="AB53" s="82" t="str">
        <f t="shared" si="90"/>
        <v/>
      </c>
      <c r="AC53" s="48" t="str">
        <f t="shared" si="91"/>
        <v/>
      </c>
      <c r="AD53" s="48" t="str">
        <f t="shared" si="92"/>
        <v/>
      </c>
      <c r="AE53" s="84" t="str">
        <f t="shared" si="93"/>
        <v/>
      </c>
      <c r="AF53" s="82" t="str">
        <f t="shared" si="94"/>
        <v/>
      </c>
      <c r="AG53" s="48" t="str">
        <f t="shared" si="95"/>
        <v/>
      </c>
      <c r="AH53" s="48" t="str">
        <f t="shared" si="96"/>
        <v/>
      </c>
      <c r="AI53" s="84" t="str">
        <f t="shared" si="97"/>
        <v/>
      </c>
      <c r="AJ53" s="82" t="str">
        <f t="shared" si="98"/>
        <v/>
      </c>
      <c r="AK53" s="48" t="str">
        <f t="shared" si="99"/>
        <v/>
      </c>
      <c r="AL53" s="48" t="str">
        <f t="shared" si="100"/>
        <v/>
      </c>
      <c r="AM53" s="84" t="str">
        <f t="shared" si="101"/>
        <v/>
      </c>
      <c r="AN53" s="82" t="str">
        <f t="shared" si="102"/>
        <v/>
      </c>
      <c r="AO53" s="48" t="str">
        <f t="shared" si="103"/>
        <v/>
      </c>
      <c r="AP53" s="48" t="str">
        <f t="shared" si="104"/>
        <v/>
      </c>
      <c r="AQ53" s="84" t="str">
        <f t="shared" si="105"/>
        <v/>
      </c>
      <c r="AR53" s="82" t="str">
        <f t="shared" si="106"/>
        <v/>
      </c>
      <c r="AS53" s="48" t="str">
        <f t="shared" si="107"/>
        <v/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 s="93" customFormat="1">
      <c r="B54" s="90" t="str">
        <f>Weekly!B46</f>
        <v>1015</v>
      </c>
      <c r="C54" s="90" t="str">
        <f>Weekly!C46</f>
        <v>Natalie C.</v>
      </c>
      <c r="D54" s="90" t="str">
        <f>Weekly!D51</f>
        <v>Seeto</v>
      </c>
      <c r="E54" s="91" t="str">
        <f>VLOOKUP(B54,Team!$B$4:$E$183,4,FALSE)</f>
        <v>H&amp;B</v>
      </c>
      <c r="F54" s="92" t="str">
        <f>Weekly!M46</f>
        <v/>
      </c>
      <c r="G54" s="92" t="str">
        <f>Weekly!N46</f>
        <v/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/>
      </c>
      <c r="Y54" s="48" t="str">
        <f t="shared" si="87"/>
        <v/>
      </c>
      <c r="Z54" s="48" t="str">
        <f t="shared" si="88"/>
        <v/>
      </c>
      <c r="AA54" s="84" t="str">
        <f t="shared" si="89"/>
        <v/>
      </c>
      <c r="AB54" s="82" t="str">
        <f t="shared" si="90"/>
        <v/>
      </c>
      <c r="AC54" s="48" t="str">
        <f t="shared" si="91"/>
        <v/>
      </c>
      <c r="AD54" s="48" t="str">
        <f t="shared" si="92"/>
        <v/>
      </c>
      <c r="AE54" s="84" t="str">
        <f t="shared" si="93"/>
        <v/>
      </c>
      <c r="AF54" s="82" t="str">
        <f t="shared" si="94"/>
        <v/>
      </c>
      <c r="AG54" s="48" t="str">
        <f t="shared" si="95"/>
        <v/>
      </c>
      <c r="AH54" s="48" t="str">
        <f t="shared" si="96"/>
        <v/>
      </c>
      <c r="AI54" s="84" t="str">
        <f t="shared" si="97"/>
        <v/>
      </c>
      <c r="AJ54" s="82" t="str">
        <f t="shared" si="98"/>
        <v/>
      </c>
      <c r="AK54" s="48" t="str">
        <f t="shared" si="99"/>
        <v/>
      </c>
      <c r="AL54" s="48" t="str">
        <f t="shared" si="100"/>
        <v/>
      </c>
      <c r="AM54" s="84" t="str">
        <f t="shared" si="101"/>
        <v/>
      </c>
      <c r="AN54" s="82" t="str">
        <f t="shared" si="102"/>
        <v/>
      </c>
      <c r="AO54" s="48" t="str">
        <f t="shared" si="103"/>
        <v/>
      </c>
      <c r="AP54" s="48" t="str">
        <f t="shared" si="104"/>
        <v/>
      </c>
      <c r="AQ54" s="84" t="str">
        <f t="shared" si="105"/>
        <v/>
      </c>
      <c r="AR54" s="82" t="str">
        <f t="shared" si="106"/>
        <v/>
      </c>
      <c r="AS54" s="48" t="str">
        <f t="shared" si="107"/>
        <v/>
      </c>
      <c r="AT54" s="48" t="str">
        <f t="shared" si="108"/>
        <v/>
      </c>
      <c r="AU54" s="84" t="str">
        <f t="shared" si="109"/>
        <v/>
      </c>
      <c r="AV54" s="82" t="str">
        <f t="shared" si="110"/>
        <v/>
      </c>
      <c r="AW54" s="48" t="str">
        <f t="shared" si="111"/>
        <v/>
      </c>
      <c r="AX54" s="48" t="str">
        <f t="shared" si="112"/>
        <v/>
      </c>
      <c r="AY54" s="84" t="str">
        <f t="shared" si="113"/>
        <v/>
      </c>
      <c r="AZ54" s="82" t="str">
        <f t="shared" si="114"/>
        <v/>
      </c>
      <c r="BA54" s="48" t="str">
        <f t="shared" si="115"/>
        <v/>
      </c>
      <c r="BB54" s="48" t="str">
        <f t="shared" si="116"/>
        <v/>
      </c>
      <c r="BC54" s="84" t="str">
        <f t="shared" si="117"/>
        <v/>
      </c>
      <c r="BD54" s="82" t="str">
        <f t="shared" si="118"/>
        <v/>
      </c>
      <c r="BE54" s="48" t="str">
        <f t="shared" si="119"/>
        <v/>
      </c>
      <c r="BF54" s="48" t="str">
        <f t="shared" si="120"/>
        <v/>
      </c>
      <c r="BG54" s="84" t="str">
        <f t="shared" si="121"/>
        <v/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 s="93" customFormat="1">
      <c r="B55" s="90" t="str">
        <f>Weekly!B47</f>
        <v>01529</v>
      </c>
      <c r="C55" s="90" t="str">
        <f>Weekly!C47</f>
        <v>Natalie N.</v>
      </c>
      <c r="D55" s="90" t="str">
        <f>Weekly!D52</f>
        <v>Deoferio</v>
      </c>
      <c r="E55" s="91" t="str">
        <f>VLOOKUP(B55,Team!$B$4:$E$183,4,FALSE)</f>
        <v>L's</v>
      </c>
      <c r="F55" s="92" t="str">
        <f>Weekly!M47</f>
        <v/>
      </c>
      <c r="G55" s="92" t="str">
        <f>Weekly!N47</f>
        <v/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/>
      </c>
      <c r="O55" s="84" t="str">
        <f t="shared" si="77"/>
        <v/>
      </c>
      <c r="P55" s="82" t="str">
        <f t="shared" si="78"/>
        <v/>
      </c>
      <c r="Q55" s="48" t="str">
        <f t="shared" si="79"/>
        <v/>
      </c>
      <c r="R55" s="48" t="str">
        <f t="shared" si="80"/>
        <v/>
      </c>
      <c r="S55" s="84" t="str">
        <f t="shared" si="81"/>
        <v/>
      </c>
      <c r="T55" s="82" t="str">
        <f t="shared" si="82"/>
        <v/>
      </c>
      <c r="U55" s="48" t="str">
        <f t="shared" si="83"/>
        <v/>
      </c>
      <c r="V55" s="48" t="str">
        <f t="shared" si="84"/>
        <v/>
      </c>
      <c r="W55" s="84" t="str">
        <f t="shared" si="85"/>
        <v/>
      </c>
      <c r="X55" s="82" t="str">
        <f t="shared" si="86"/>
        <v/>
      </c>
      <c r="Y55" s="48" t="str">
        <f t="shared" si="87"/>
        <v/>
      </c>
      <c r="Z55" s="48" t="str">
        <f t="shared" si="88"/>
        <v/>
      </c>
      <c r="AA55" s="84" t="str">
        <f t="shared" si="89"/>
        <v/>
      </c>
      <c r="AB55" s="82" t="str">
        <f t="shared" si="90"/>
        <v/>
      </c>
      <c r="AC55" s="48" t="str">
        <f t="shared" si="91"/>
        <v/>
      </c>
      <c r="AD55" s="48" t="str">
        <f t="shared" si="92"/>
        <v/>
      </c>
      <c r="AE55" s="84" t="str">
        <f t="shared" si="93"/>
        <v/>
      </c>
      <c r="AF55" s="82" t="str">
        <f t="shared" si="94"/>
        <v/>
      </c>
      <c r="AG55" s="48" t="str">
        <f t="shared" si="95"/>
        <v/>
      </c>
      <c r="AH55" s="48" t="str">
        <f t="shared" si="96"/>
        <v/>
      </c>
      <c r="AI55" s="84" t="str">
        <f t="shared" si="97"/>
        <v/>
      </c>
      <c r="AJ55" s="82" t="str">
        <f t="shared" si="98"/>
        <v/>
      </c>
      <c r="AK55" s="48" t="str">
        <f t="shared" si="99"/>
        <v/>
      </c>
      <c r="AL55" s="48" t="str">
        <f t="shared" si="100"/>
        <v/>
      </c>
      <c r="AM55" s="84" t="str">
        <f t="shared" si="101"/>
        <v/>
      </c>
      <c r="AN55" s="82" t="str">
        <f t="shared" si="102"/>
        <v/>
      </c>
      <c r="AO55" s="48" t="str">
        <f t="shared" si="103"/>
        <v/>
      </c>
      <c r="AP55" s="48" t="str">
        <f t="shared" si="104"/>
        <v/>
      </c>
      <c r="AQ55" s="84" t="str">
        <f t="shared" si="105"/>
        <v/>
      </c>
      <c r="AR55" s="82" t="str">
        <f t="shared" si="106"/>
        <v/>
      </c>
      <c r="AS55" s="48" t="str">
        <f t="shared" si="107"/>
        <v/>
      </c>
      <c r="AT55" s="48" t="str">
        <f t="shared" si="108"/>
        <v/>
      </c>
      <c r="AU55" s="84" t="str">
        <f t="shared" si="109"/>
        <v/>
      </c>
      <c r="AV55" s="82" t="str">
        <f t="shared" si="110"/>
        <v/>
      </c>
      <c r="AW55" s="48" t="str">
        <f t="shared" si="111"/>
        <v/>
      </c>
      <c r="AX55" s="48" t="str">
        <f t="shared" si="112"/>
        <v/>
      </c>
      <c r="AY55" s="84" t="str">
        <f t="shared" si="113"/>
        <v/>
      </c>
      <c r="AZ55" s="82" t="str">
        <f t="shared" si="114"/>
        <v/>
      </c>
      <c r="BA55" s="48" t="str">
        <f t="shared" si="115"/>
        <v/>
      </c>
      <c r="BB55" s="48" t="str">
        <f t="shared" si="116"/>
        <v/>
      </c>
      <c r="BC55" s="84" t="str">
        <f t="shared" si="117"/>
        <v/>
      </c>
      <c r="BD55" s="82" t="str">
        <f t="shared" si="118"/>
        <v/>
      </c>
      <c r="BE55" s="48" t="str">
        <f t="shared" si="119"/>
        <v/>
      </c>
      <c r="BF55" s="48" t="str">
        <f t="shared" si="120"/>
        <v/>
      </c>
      <c r="BG55" s="84" t="str">
        <f t="shared" si="121"/>
        <v/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 s="93" customFormat="1">
      <c r="B56" s="90" t="str">
        <f>Weekly!B48</f>
        <v>1257</v>
      </c>
      <c r="C56" s="90" t="str">
        <f>Weekly!C48</f>
        <v>Noreen</v>
      </c>
      <c r="D56" s="90" t="str">
        <f>Weekly!D53</f>
        <v>Chen</v>
      </c>
      <c r="E56" s="91" t="str">
        <f>VLOOKUP(B56,Team!$B$4:$E$183,4,FALSE)</f>
        <v>L's</v>
      </c>
      <c r="F56" s="92" t="str">
        <f>Weekly!M48</f>
        <v/>
      </c>
      <c r="G56" s="92" t="str">
        <f>Weekly!N48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 s="93" customFormat="1">
      <c r="B57" s="90" t="str">
        <f>Weekly!B49</f>
        <v>1287</v>
      </c>
      <c r="C57" s="90" t="str">
        <f>Weekly!C49</f>
        <v>Pearl</v>
      </c>
      <c r="D57" s="90" t="str">
        <f>Weekly!D54</f>
        <v>Ma</v>
      </c>
      <c r="E57" s="91" t="str">
        <f>VLOOKUP(B57,Team!$B$4:$E$183,4,FALSE)</f>
        <v>L's</v>
      </c>
      <c r="F57" s="92" t="str">
        <f>Weekly!M49</f>
        <v/>
      </c>
      <c r="G57" s="92" t="str">
        <f>Weekly!N49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 s="93" customFormat="1">
      <c r="B58" s="90" t="str">
        <f>Weekly!B50</f>
        <v>1232</v>
      </c>
      <c r="C58" s="90" t="str">
        <f>Weekly!C50</f>
        <v>Penny</v>
      </c>
      <c r="D58" s="90" t="str">
        <f>Weekly!D55</f>
        <v>Lee</v>
      </c>
      <c r="E58" s="91" t="str">
        <f>VLOOKUP(B58,Team!$B$4:$E$183,4,FALSE)</f>
        <v>L's</v>
      </c>
      <c r="F58" s="92" t="str">
        <f>Weekly!M50</f>
        <v/>
      </c>
      <c r="G58" s="92" t="str">
        <f>Weekly!N50</f>
        <v/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/>
      </c>
      <c r="O58" s="84" t="str">
        <f t="shared" si="77"/>
        <v/>
      </c>
      <c r="P58" s="82" t="str">
        <f t="shared" si="78"/>
        <v/>
      </c>
      <c r="Q58" s="48" t="str">
        <f t="shared" si="79"/>
        <v/>
      </c>
      <c r="R58" s="48" t="str">
        <f t="shared" si="80"/>
        <v/>
      </c>
      <c r="S58" s="84" t="str">
        <f t="shared" si="81"/>
        <v/>
      </c>
      <c r="T58" s="82" t="str">
        <f t="shared" si="82"/>
        <v/>
      </c>
      <c r="U58" s="48" t="str">
        <f t="shared" si="83"/>
        <v/>
      </c>
      <c r="V58" s="48" t="str">
        <f t="shared" si="84"/>
        <v/>
      </c>
      <c r="W58" s="84" t="str">
        <f t="shared" si="85"/>
        <v/>
      </c>
      <c r="X58" s="82" t="str">
        <f t="shared" si="86"/>
        <v/>
      </c>
      <c r="Y58" s="48" t="str">
        <f t="shared" si="87"/>
        <v/>
      </c>
      <c r="Z58" s="48" t="str">
        <f t="shared" si="88"/>
        <v/>
      </c>
      <c r="AA58" s="84" t="str">
        <f t="shared" si="89"/>
        <v/>
      </c>
      <c r="AB58" s="82" t="str">
        <f t="shared" si="90"/>
        <v/>
      </c>
      <c r="AC58" s="48" t="str">
        <f t="shared" si="91"/>
        <v/>
      </c>
      <c r="AD58" s="48" t="str">
        <f t="shared" si="92"/>
        <v/>
      </c>
      <c r="AE58" s="84" t="str">
        <f t="shared" si="93"/>
        <v/>
      </c>
      <c r="AF58" s="82" t="str">
        <f t="shared" si="94"/>
        <v/>
      </c>
      <c r="AG58" s="48" t="str">
        <f t="shared" si="95"/>
        <v/>
      </c>
      <c r="AH58" s="48" t="str">
        <f t="shared" si="96"/>
        <v/>
      </c>
      <c r="AI58" s="84" t="str">
        <f t="shared" si="97"/>
        <v/>
      </c>
      <c r="AJ58" s="82" t="str">
        <f t="shared" si="98"/>
        <v/>
      </c>
      <c r="AK58" s="48" t="str">
        <f t="shared" si="99"/>
        <v/>
      </c>
      <c r="AL58" s="48" t="str">
        <f t="shared" si="100"/>
        <v/>
      </c>
      <c r="AM58" s="84" t="str">
        <f t="shared" si="101"/>
        <v/>
      </c>
      <c r="AN58" s="82" t="str">
        <f t="shared" si="102"/>
        <v/>
      </c>
      <c r="AO58" s="48" t="str">
        <f t="shared" si="103"/>
        <v/>
      </c>
      <c r="AP58" s="48" t="str">
        <f t="shared" si="104"/>
        <v/>
      </c>
      <c r="AQ58" s="84" t="str">
        <f t="shared" si="105"/>
        <v/>
      </c>
      <c r="AR58" s="82" t="str">
        <f t="shared" si="106"/>
        <v/>
      </c>
      <c r="AS58" s="48" t="str">
        <f t="shared" si="107"/>
        <v/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 s="93" customFormat="1">
      <c r="B59" s="90" t="str">
        <f>Weekly!B51</f>
        <v>303</v>
      </c>
      <c r="C59" s="90" t="str">
        <f>Weekly!C51</f>
        <v>Rachel</v>
      </c>
      <c r="D59" s="90" t="str">
        <f>Weekly!D56</f>
        <v>Lim</v>
      </c>
      <c r="E59" s="91" t="str">
        <f>VLOOKUP(B59,Team!$B$4:$E$183,4,FALSE)</f>
        <v>ADM</v>
      </c>
      <c r="F59" s="92" t="str">
        <f>Weekly!M51</f>
        <v/>
      </c>
      <c r="G59" s="92" t="str">
        <f>Weekly!N51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 s="93" customFormat="1">
      <c r="B60" s="90" t="str">
        <f>Weekly!B52</f>
        <v>1142</v>
      </c>
      <c r="C60" s="90" t="str">
        <f>Weekly!C52</f>
        <v>Ralph</v>
      </c>
      <c r="D60" s="90" t="str">
        <f>Weekly!D57</f>
        <v>Turner</v>
      </c>
      <c r="E60" s="91" t="str">
        <f>VLOOKUP(B60,Team!$B$4:$E$183,4,FALSE)</f>
        <v>L's</v>
      </c>
      <c r="F60" s="92" t="str">
        <f>Weekly!M52</f>
        <v/>
      </c>
      <c r="G60" s="92" t="str">
        <f>Weekly!N52</f>
        <v/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/>
      </c>
      <c r="O60" s="84" t="str">
        <f t="shared" si="77"/>
        <v/>
      </c>
      <c r="P60" s="82" t="str">
        <f t="shared" si="78"/>
        <v/>
      </c>
      <c r="Q60" s="48" t="str">
        <f t="shared" si="79"/>
        <v/>
      </c>
      <c r="R60" s="48" t="str">
        <f t="shared" si="80"/>
        <v/>
      </c>
      <c r="S60" s="84" t="str">
        <f t="shared" si="81"/>
        <v/>
      </c>
      <c r="T60" s="82" t="str">
        <f t="shared" si="82"/>
        <v/>
      </c>
      <c r="U60" s="48" t="str">
        <f t="shared" si="83"/>
        <v/>
      </c>
      <c r="V60" s="48" t="str">
        <f t="shared" si="84"/>
        <v/>
      </c>
      <c r="W60" s="84" t="str">
        <f t="shared" si="85"/>
        <v/>
      </c>
      <c r="X60" s="82" t="str">
        <f t="shared" si="86"/>
        <v/>
      </c>
      <c r="Y60" s="48" t="str">
        <f t="shared" si="87"/>
        <v/>
      </c>
      <c r="Z60" s="48" t="str">
        <f t="shared" si="88"/>
        <v/>
      </c>
      <c r="AA60" s="84" t="str">
        <f t="shared" si="89"/>
        <v/>
      </c>
      <c r="AB60" s="82" t="str">
        <f t="shared" si="90"/>
        <v/>
      </c>
      <c r="AC60" s="48" t="str">
        <f t="shared" si="91"/>
        <v/>
      </c>
      <c r="AD60" s="48" t="str">
        <f t="shared" si="92"/>
        <v/>
      </c>
      <c r="AE60" s="84" t="str">
        <f t="shared" si="93"/>
        <v/>
      </c>
      <c r="AF60" s="82" t="str">
        <f t="shared" si="94"/>
        <v/>
      </c>
      <c r="AG60" s="48" t="str">
        <f t="shared" si="95"/>
        <v/>
      </c>
      <c r="AH60" s="48" t="str">
        <f t="shared" si="96"/>
        <v/>
      </c>
      <c r="AI60" s="84" t="str">
        <f t="shared" si="97"/>
        <v/>
      </c>
      <c r="AJ60" s="82" t="str">
        <f t="shared" si="98"/>
        <v/>
      </c>
      <c r="AK60" s="48" t="str">
        <f t="shared" si="99"/>
        <v/>
      </c>
      <c r="AL60" s="48" t="str">
        <f t="shared" si="100"/>
        <v/>
      </c>
      <c r="AM60" s="84" t="str">
        <f t="shared" si="101"/>
        <v/>
      </c>
      <c r="AN60" s="82" t="str">
        <f t="shared" si="102"/>
        <v/>
      </c>
      <c r="AO60" s="48" t="str">
        <f t="shared" si="103"/>
        <v/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 s="93" customFormat="1">
      <c r="B61" s="90" t="str">
        <f>Weekly!B53</f>
        <v>01528</v>
      </c>
      <c r="C61" s="90" t="str">
        <f>Weekly!C53</f>
        <v>Rena</v>
      </c>
      <c r="D61" s="90" t="str">
        <f>Weekly!D58</f>
        <v>Wu</v>
      </c>
      <c r="E61" s="91" t="str">
        <f>VLOOKUP(B61,Team!$B$4:$E$183,4,FALSE)</f>
        <v>L's</v>
      </c>
      <c r="F61" s="92" t="str">
        <f>Weekly!M53</f>
        <v/>
      </c>
      <c r="G61" s="92" t="str">
        <f>Weekly!N53</f>
        <v/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/>
      </c>
      <c r="O61" s="84" t="str">
        <f t="shared" si="77"/>
        <v/>
      </c>
      <c r="P61" s="82" t="str">
        <f t="shared" si="78"/>
        <v/>
      </c>
      <c r="Q61" s="48" t="str">
        <f t="shared" si="79"/>
        <v/>
      </c>
      <c r="R61" s="48" t="str">
        <f t="shared" si="80"/>
        <v/>
      </c>
      <c r="S61" s="84" t="str">
        <f t="shared" si="81"/>
        <v/>
      </c>
      <c r="T61" s="82" t="str">
        <f t="shared" si="82"/>
        <v/>
      </c>
      <c r="U61" s="48" t="str">
        <f t="shared" si="83"/>
        <v/>
      </c>
      <c r="V61" s="48" t="str">
        <f t="shared" si="84"/>
        <v/>
      </c>
      <c r="W61" s="84" t="str">
        <f t="shared" si="85"/>
        <v/>
      </c>
      <c r="X61" s="82" t="str">
        <f t="shared" si="86"/>
        <v/>
      </c>
      <c r="Y61" s="48" t="str">
        <f t="shared" si="87"/>
        <v/>
      </c>
      <c r="Z61" s="48" t="str">
        <f t="shared" si="88"/>
        <v/>
      </c>
      <c r="AA61" s="84" t="str">
        <f t="shared" si="89"/>
        <v/>
      </c>
      <c r="AB61" s="82" t="str">
        <f t="shared" si="90"/>
        <v/>
      </c>
      <c r="AC61" s="48" t="str">
        <f t="shared" si="91"/>
        <v/>
      </c>
      <c r="AD61" s="48" t="str">
        <f t="shared" si="92"/>
        <v/>
      </c>
      <c r="AE61" s="84" t="str">
        <f t="shared" si="93"/>
        <v/>
      </c>
      <c r="AF61" s="82" t="str">
        <f t="shared" si="94"/>
        <v/>
      </c>
      <c r="AG61" s="48" t="str">
        <f t="shared" si="95"/>
        <v/>
      </c>
      <c r="AH61" s="48" t="str">
        <f t="shared" si="96"/>
        <v/>
      </c>
      <c r="AI61" s="84" t="str">
        <f t="shared" si="97"/>
        <v/>
      </c>
      <c r="AJ61" s="82" t="str">
        <f t="shared" si="98"/>
        <v/>
      </c>
      <c r="AK61" s="48" t="str">
        <f t="shared" si="99"/>
        <v/>
      </c>
      <c r="AL61" s="48" t="str">
        <f t="shared" si="100"/>
        <v/>
      </c>
      <c r="AM61" s="84" t="str">
        <f t="shared" si="101"/>
        <v/>
      </c>
      <c r="AN61" s="82" t="str">
        <f t="shared" si="102"/>
        <v/>
      </c>
      <c r="AO61" s="48" t="str">
        <f t="shared" si="103"/>
        <v/>
      </c>
      <c r="AP61" s="48" t="str">
        <f t="shared" si="104"/>
        <v/>
      </c>
      <c r="AQ61" s="84" t="str">
        <f t="shared" si="105"/>
        <v/>
      </c>
      <c r="AR61" s="82" t="str">
        <f t="shared" si="106"/>
        <v/>
      </c>
      <c r="AS61" s="48" t="str">
        <f t="shared" si="107"/>
        <v/>
      </c>
      <c r="AT61" s="48" t="str">
        <f t="shared" si="108"/>
        <v/>
      </c>
      <c r="AU61" s="84" t="str">
        <f t="shared" si="109"/>
        <v/>
      </c>
      <c r="AV61" s="82" t="str">
        <f t="shared" si="110"/>
        <v/>
      </c>
      <c r="AW61" s="48" t="str">
        <f t="shared" si="111"/>
        <v/>
      </c>
      <c r="AX61" s="48" t="str">
        <f t="shared" si="112"/>
        <v/>
      </c>
      <c r="AY61" s="84" t="str">
        <f t="shared" si="113"/>
        <v/>
      </c>
      <c r="AZ61" s="82" t="str">
        <f t="shared" si="114"/>
        <v/>
      </c>
      <c r="BA61" s="48" t="str">
        <f t="shared" si="115"/>
        <v/>
      </c>
      <c r="BB61" s="48" t="str">
        <f t="shared" si="116"/>
        <v/>
      </c>
      <c r="BC61" s="84" t="str">
        <f t="shared" si="117"/>
        <v/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 s="93" customFormat="1">
      <c r="B62" s="90" t="str">
        <f>Weekly!B54</f>
        <v>1237</v>
      </c>
      <c r="C62" s="90" t="str">
        <f>Weekly!C54</f>
        <v>Rich</v>
      </c>
      <c r="D62" s="90" t="str">
        <f>Weekly!D59</f>
        <v>Shimada</v>
      </c>
      <c r="E62" s="91" t="str">
        <f>VLOOKUP(B62,Team!$B$4:$E$183,4,FALSE)</f>
        <v>F</v>
      </c>
      <c r="F62" s="92" t="str">
        <f>Weekly!M54</f>
        <v/>
      </c>
      <c r="G62" s="92" t="str">
        <f>Weekly!N54</f>
        <v/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/>
      </c>
      <c r="Q62" s="48" t="str">
        <f t="shared" si="79"/>
        <v/>
      </c>
      <c r="R62" s="48" t="str">
        <f t="shared" si="80"/>
        <v/>
      </c>
      <c r="S62" s="84" t="str">
        <f t="shared" si="81"/>
        <v/>
      </c>
      <c r="T62" s="82" t="str">
        <f t="shared" si="82"/>
        <v/>
      </c>
      <c r="U62" s="48" t="str">
        <f t="shared" si="83"/>
        <v/>
      </c>
      <c r="V62" s="48" t="str">
        <f t="shared" si="84"/>
        <v/>
      </c>
      <c r="W62" s="84" t="str">
        <f t="shared" si="85"/>
        <v/>
      </c>
      <c r="X62" s="82" t="str">
        <f t="shared" si="86"/>
        <v/>
      </c>
      <c r="Y62" s="48" t="str">
        <f t="shared" si="87"/>
        <v/>
      </c>
      <c r="Z62" s="48" t="str">
        <f t="shared" si="88"/>
        <v/>
      </c>
      <c r="AA62" s="84" t="str">
        <f t="shared" si="89"/>
        <v/>
      </c>
      <c r="AB62" s="82" t="str">
        <f t="shared" si="90"/>
        <v/>
      </c>
      <c r="AC62" s="48" t="str">
        <f t="shared" si="91"/>
        <v/>
      </c>
      <c r="AD62" s="48" t="str">
        <f t="shared" si="92"/>
        <v/>
      </c>
      <c r="AE62" s="84" t="str">
        <f t="shared" si="93"/>
        <v/>
      </c>
      <c r="AF62" s="82" t="str">
        <f t="shared" si="94"/>
        <v/>
      </c>
      <c r="AG62" s="48" t="str">
        <f t="shared" si="95"/>
        <v/>
      </c>
      <c r="AH62" s="48" t="str">
        <f t="shared" si="96"/>
        <v/>
      </c>
      <c r="AI62" s="84" t="str">
        <f t="shared" si="97"/>
        <v/>
      </c>
      <c r="AJ62" s="82" t="str">
        <f t="shared" si="98"/>
        <v/>
      </c>
      <c r="AK62" s="48" t="str">
        <f t="shared" si="99"/>
        <v/>
      </c>
      <c r="AL62" s="48" t="str">
        <f t="shared" si="100"/>
        <v/>
      </c>
      <c r="AM62" s="84" t="str">
        <f t="shared" si="101"/>
        <v/>
      </c>
      <c r="AN62" s="82" t="str">
        <f t="shared" si="102"/>
        <v/>
      </c>
      <c r="AO62" s="48" t="str">
        <f t="shared" si="103"/>
        <v/>
      </c>
      <c r="AP62" s="48" t="str">
        <f t="shared" si="104"/>
        <v/>
      </c>
      <c r="AQ62" s="84" t="str">
        <f t="shared" si="105"/>
        <v/>
      </c>
      <c r="AR62" s="82" t="str">
        <f t="shared" si="106"/>
        <v/>
      </c>
      <c r="AS62" s="48" t="str">
        <f t="shared" si="107"/>
        <v/>
      </c>
      <c r="AT62" s="48" t="str">
        <f t="shared" si="108"/>
        <v/>
      </c>
      <c r="AU62" s="84" t="str">
        <f t="shared" si="109"/>
        <v/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 s="93" customFormat="1">
      <c r="B63" s="90" t="str">
        <f>Weekly!B55</f>
        <v>1133</v>
      </c>
      <c r="C63" s="90" t="str">
        <f>Weekly!C55</f>
        <v>Sarah</v>
      </c>
      <c r="D63" s="90" t="str">
        <f>Weekly!D60</f>
        <v>Kim</v>
      </c>
      <c r="E63" s="91" t="str">
        <f>VLOOKUP(B63,Team!$B$4:$E$183,4,FALSE)</f>
        <v>L's</v>
      </c>
      <c r="F63" s="92" t="str">
        <f>Weekly!M55</f>
        <v/>
      </c>
      <c r="G63" s="92" t="str">
        <f>Weekly!N55</f>
        <v/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/>
      </c>
      <c r="Q63" s="48" t="str">
        <f t="shared" si="79"/>
        <v/>
      </c>
      <c r="R63" s="48" t="str">
        <f t="shared" si="80"/>
        <v/>
      </c>
      <c r="S63" s="84" t="str">
        <f t="shared" si="81"/>
        <v/>
      </c>
      <c r="T63" s="82" t="str">
        <f t="shared" si="82"/>
        <v/>
      </c>
      <c r="U63" s="48" t="str">
        <f t="shared" si="83"/>
        <v/>
      </c>
      <c r="V63" s="48" t="str">
        <f t="shared" si="84"/>
        <v/>
      </c>
      <c r="W63" s="84" t="str">
        <f t="shared" si="85"/>
        <v/>
      </c>
      <c r="X63" s="82" t="str">
        <f t="shared" si="86"/>
        <v/>
      </c>
      <c r="Y63" s="48" t="str">
        <f t="shared" si="87"/>
        <v/>
      </c>
      <c r="Z63" s="48" t="str">
        <f t="shared" si="88"/>
        <v/>
      </c>
      <c r="AA63" s="84" t="str">
        <f t="shared" si="89"/>
        <v/>
      </c>
      <c r="AB63" s="82" t="str">
        <f t="shared" si="90"/>
        <v/>
      </c>
      <c r="AC63" s="48" t="str">
        <f t="shared" si="91"/>
        <v/>
      </c>
      <c r="AD63" s="48" t="str">
        <f t="shared" si="92"/>
        <v/>
      </c>
      <c r="AE63" s="84" t="str">
        <f t="shared" si="93"/>
        <v/>
      </c>
      <c r="AF63" s="82" t="str">
        <f t="shared" si="94"/>
        <v/>
      </c>
      <c r="AG63" s="48" t="str">
        <f t="shared" si="95"/>
        <v/>
      </c>
      <c r="AH63" s="48" t="str">
        <f t="shared" si="96"/>
        <v/>
      </c>
      <c r="AI63" s="84" t="str">
        <f t="shared" si="97"/>
        <v/>
      </c>
      <c r="AJ63" s="82" t="str">
        <f t="shared" si="98"/>
        <v/>
      </c>
      <c r="AK63" s="48" t="str">
        <f t="shared" si="99"/>
        <v/>
      </c>
      <c r="AL63" s="48" t="str">
        <f t="shared" si="100"/>
        <v/>
      </c>
      <c r="AM63" s="84" t="str">
        <f t="shared" si="101"/>
        <v/>
      </c>
      <c r="AN63" s="82" t="str">
        <f t="shared" si="102"/>
        <v/>
      </c>
      <c r="AO63" s="48" t="str">
        <f t="shared" si="103"/>
        <v/>
      </c>
      <c r="AP63" s="48" t="str">
        <f t="shared" si="104"/>
        <v/>
      </c>
      <c r="AQ63" s="84" t="str">
        <f t="shared" si="105"/>
        <v/>
      </c>
      <c r="AR63" s="82" t="str">
        <f t="shared" si="106"/>
        <v/>
      </c>
      <c r="AS63" s="48" t="str">
        <f t="shared" si="107"/>
        <v/>
      </c>
      <c r="AT63" s="48" t="str">
        <f t="shared" si="108"/>
        <v/>
      </c>
      <c r="AU63" s="84" t="str">
        <f t="shared" si="109"/>
        <v/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 s="93" customFormat="1">
      <c r="B64" s="90" t="str">
        <f>Weekly!B56</f>
        <v>891</v>
      </c>
      <c r="C64" s="90" t="str">
        <f>Weekly!C56</f>
        <v>Sienna</v>
      </c>
      <c r="D64" s="90" t="str">
        <f>Weekly!D61</f>
        <v>Sin</v>
      </c>
      <c r="E64" s="91" t="str">
        <f>VLOOKUP(B64,Team!$B$4:$E$183,4,FALSE)</f>
        <v>Stat.</v>
      </c>
      <c r="F64" s="92">
        <f>Weekly!M56</f>
        <v>0.45833333333333298</v>
      </c>
      <c r="G64" s="92">
        <f>Weekly!N56</f>
        <v>0.79166666666666596</v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>Stat.</v>
      </c>
      <c r="Y64" s="48" t="str">
        <f t="shared" si="87"/>
        <v>Stat.</v>
      </c>
      <c r="Z64" s="48" t="str">
        <f t="shared" si="88"/>
        <v>Stat.</v>
      </c>
      <c r="AA64" s="84" t="str">
        <f t="shared" si="89"/>
        <v>Stat.</v>
      </c>
      <c r="AB64" s="82" t="str">
        <f t="shared" si="90"/>
        <v>Stat.</v>
      </c>
      <c r="AC64" s="48" t="str">
        <f t="shared" si="91"/>
        <v>Stat.</v>
      </c>
      <c r="AD64" s="48" t="str">
        <f t="shared" si="92"/>
        <v>Stat.</v>
      </c>
      <c r="AE64" s="84" t="str">
        <f t="shared" si="93"/>
        <v>Stat.</v>
      </c>
      <c r="AF64" s="82" t="str">
        <f t="shared" si="94"/>
        <v>Stat.</v>
      </c>
      <c r="AG64" s="48" t="str">
        <f t="shared" si="95"/>
        <v>Stat.</v>
      </c>
      <c r="AH64" s="48" t="str">
        <f t="shared" si="96"/>
        <v>Stat.</v>
      </c>
      <c r="AI64" s="84" t="str">
        <f t="shared" si="97"/>
        <v>Stat.</v>
      </c>
      <c r="AJ64" s="82" t="str">
        <f t="shared" si="98"/>
        <v>Stat.</v>
      </c>
      <c r="AK64" s="48" t="str">
        <f t="shared" si="99"/>
        <v>Stat.</v>
      </c>
      <c r="AL64" s="48" t="str">
        <f t="shared" si="100"/>
        <v>Stat.</v>
      </c>
      <c r="AM64" s="84" t="str">
        <f t="shared" si="101"/>
        <v>Stat.</v>
      </c>
      <c r="AN64" s="82" t="str">
        <f t="shared" si="102"/>
        <v>Stat.</v>
      </c>
      <c r="AO64" s="48" t="str">
        <f t="shared" si="103"/>
        <v>Stat.</v>
      </c>
      <c r="AP64" s="48" t="str">
        <f t="shared" si="104"/>
        <v>Stat.</v>
      </c>
      <c r="AQ64" s="84" t="str">
        <f t="shared" si="105"/>
        <v>Stat.</v>
      </c>
      <c r="AR64" s="82" t="str">
        <f t="shared" si="106"/>
        <v>Stat.</v>
      </c>
      <c r="AS64" s="48" t="str">
        <f t="shared" si="107"/>
        <v>Stat.</v>
      </c>
      <c r="AT64" s="48" t="str">
        <f t="shared" si="108"/>
        <v>Stat.</v>
      </c>
      <c r="AU64" s="84" t="str">
        <f t="shared" si="109"/>
        <v>Stat.</v>
      </c>
      <c r="AV64" s="82" t="str">
        <f t="shared" si="110"/>
        <v>Stat.</v>
      </c>
      <c r="AW64" s="48" t="str">
        <f t="shared" si="111"/>
        <v>Stat.</v>
      </c>
      <c r="AX64" s="48" t="str">
        <f t="shared" si="112"/>
        <v>Stat.</v>
      </c>
      <c r="AY64" s="84" t="str">
        <f t="shared" si="113"/>
        <v>Stat.</v>
      </c>
      <c r="AZ64" s="82" t="str">
        <f t="shared" si="114"/>
        <v>Stat.</v>
      </c>
      <c r="BA64" s="48" t="str">
        <f t="shared" si="115"/>
        <v>Stat.</v>
      </c>
      <c r="BB64" s="48" t="str">
        <f t="shared" si="116"/>
        <v>Stat.</v>
      </c>
      <c r="BC64" s="84" t="str">
        <f t="shared" si="117"/>
        <v>Stat.</v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 s="93" customFormat="1">
      <c r="B65" s="90" t="str">
        <f>Weekly!B57</f>
        <v>1108</v>
      </c>
      <c r="C65" s="90" t="str">
        <f>Weekly!C57</f>
        <v>Tara</v>
      </c>
      <c r="D65" s="90">
        <f>Weekly!D62</f>
        <v>0</v>
      </c>
      <c r="E65" s="91" t="str">
        <f>VLOOKUP(B65,Team!$B$4:$E$183,4,FALSE)</f>
        <v>ASM</v>
      </c>
      <c r="F65" s="92">
        <f>Weekly!M57</f>
        <v>0.45833333333333298</v>
      </c>
      <c r="G65" s="92">
        <f>Weekly!N57</f>
        <v>0.79166666666666596</v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/>
      </c>
      <c r="Q65" s="48" t="str">
        <f t="shared" si="79"/>
        <v/>
      </c>
      <c r="R65" s="48" t="str">
        <f t="shared" si="80"/>
        <v/>
      </c>
      <c r="S65" s="84" t="str">
        <f t="shared" si="81"/>
        <v/>
      </c>
      <c r="T65" s="82" t="str">
        <f t="shared" si="82"/>
        <v/>
      </c>
      <c r="U65" s="48" t="str">
        <f t="shared" si="83"/>
        <v/>
      </c>
      <c r="V65" s="48" t="str">
        <f t="shared" si="84"/>
        <v/>
      </c>
      <c r="W65" s="84" t="str">
        <f t="shared" si="85"/>
        <v/>
      </c>
      <c r="X65" s="82" t="str">
        <f t="shared" si="86"/>
        <v>ASM</v>
      </c>
      <c r="Y65" s="48" t="str">
        <f t="shared" si="87"/>
        <v>ASM</v>
      </c>
      <c r="Z65" s="48" t="str">
        <f t="shared" si="88"/>
        <v>ASM</v>
      </c>
      <c r="AA65" s="84" t="str">
        <f t="shared" si="89"/>
        <v>ASM</v>
      </c>
      <c r="AB65" s="82" t="str">
        <f t="shared" si="90"/>
        <v>ASM</v>
      </c>
      <c r="AC65" s="48" t="str">
        <f t="shared" si="91"/>
        <v>ASM</v>
      </c>
      <c r="AD65" s="48" t="str">
        <f t="shared" si="92"/>
        <v>ASM</v>
      </c>
      <c r="AE65" s="84" t="str">
        <f t="shared" si="93"/>
        <v>ASM</v>
      </c>
      <c r="AF65" s="82" t="str">
        <f t="shared" si="94"/>
        <v>ASM</v>
      </c>
      <c r="AG65" s="48" t="str">
        <f t="shared" si="95"/>
        <v>ASM</v>
      </c>
      <c r="AH65" s="48" t="str">
        <f t="shared" si="96"/>
        <v>ASM</v>
      </c>
      <c r="AI65" s="84" t="str">
        <f t="shared" si="97"/>
        <v>ASM</v>
      </c>
      <c r="AJ65" s="82" t="str">
        <f t="shared" si="98"/>
        <v>ASM</v>
      </c>
      <c r="AK65" s="48" t="str">
        <f t="shared" si="99"/>
        <v>ASM</v>
      </c>
      <c r="AL65" s="48" t="str">
        <f t="shared" si="100"/>
        <v>ASM</v>
      </c>
      <c r="AM65" s="84" t="str">
        <f t="shared" si="101"/>
        <v>ASM</v>
      </c>
      <c r="AN65" s="82" t="str">
        <f t="shared" si="102"/>
        <v>ASM</v>
      </c>
      <c r="AO65" s="48" t="str">
        <f t="shared" si="103"/>
        <v>ASM</v>
      </c>
      <c r="AP65" s="48" t="str">
        <f t="shared" si="104"/>
        <v>ASM</v>
      </c>
      <c r="AQ65" s="84" t="str">
        <f t="shared" si="105"/>
        <v>ASM</v>
      </c>
      <c r="AR65" s="82" t="str">
        <f t="shared" si="106"/>
        <v>ASM</v>
      </c>
      <c r="AS65" s="48" t="str">
        <f t="shared" si="107"/>
        <v>ASM</v>
      </c>
      <c r="AT65" s="48" t="str">
        <f t="shared" si="108"/>
        <v>ASM</v>
      </c>
      <c r="AU65" s="84" t="str">
        <f t="shared" si="109"/>
        <v>ASM</v>
      </c>
      <c r="AV65" s="82" t="str">
        <f t="shared" si="110"/>
        <v>ASM</v>
      </c>
      <c r="AW65" s="48" t="str">
        <f t="shared" si="111"/>
        <v>ASM</v>
      </c>
      <c r="AX65" s="48" t="str">
        <f t="shared" si="112"/>
        <v>ASM</v>
      </c>
      <c r="AY65" s="84" t="str">
        <f t="shared" si="113"/>
        <v>ASM</v>
      </c>
      <c r="AZ65" s="82" t="str">
        <f t="shared" si="114"/>
        <v>ASM</v>
      </c>
      <c r="BA65" s="48" t="str">
        <f t="shared" si="115"/>
        <v>ASM</v>
      </c>
      <c r="BB65" s="48" t="str">
        <f t="shared" si="116"/>
        <v>ASM</v>
      </c>
      <c r="BC65" s="84" t="str">
        <f t="shared" si="117"/>
        <v>ASM</v>
      </c>
      <c r="BD65" s="82" t="str">
        <f t="shared" si="118"/>
        <v/>
      </c>
      <c r="BE65" s="48" t="str">
        <f t="shared" si="119"/>
        <v/>
      </c>
      <c r="BF65" s="48" t="str">
        <f t="shared" si="120"/>
        <v/>
      </c>
      <c r="BG65" s="84" t="str">
        <f t="shared" si="121"/>
        <v/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 s="93" customFormat="1">
      <c r="B66" s="90" t="str">
        <f>Weekly!B58</f>
        <v>01521</v>
      </c>
      <c r="C66" s="90" t="str">
        <f>Weekly!C58</f>
        <v>Tom</v>
      </c>
      <c r="D66" s="90">
        <f>Weekly!D63</f>
        <v>0</v>
      </c>
      <c r="E66" s="91" t="str">
        <f>VLOOKUP(B66,Team!$B$4:$E$183,4,FALSE)</f>
        <v>M's</v>
      </c>
      <c r="F66" s="92" t="str">
        <f>Weekly!M58</f>
        <v/>
      </c>
      <c r="G66" s="92" t="str">
        <f>Weekly!N58</f>
        <v/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/>
      </c>
      <c r="Q66" s="48" t="str">
        <f t="shared" si="79"/>
        <v/>
      </c>
      <c r="R66" s="48" t="str">
        <f t="shared" si="80"/>
        <v/>
      </c>
      <c r="S66" s="84" t="str">
        <f t="shared" si="81"/>
        <v/>
      </c>
      <c r="T66" s="82" t="str">
        <f t="shared" si="82"/>
        <v/>
      </c>
      <c r="U66" s="48" t="str">
        <f t="shared" si="83"/>
        <v/>
      </c>
      <c r="V66" s="48" t="str">
        <f t="shared" si="84"/>
        <v/>
      </c>
      <c r="W66" s="84" t="str">
        <f t="shared" si="85"/>
        <v/>
      </c>
      <c r="X66" s="82" t="str">
        <f t="shared" si="86"/>
        <v/>
      </c>
      <c r="Y66" s="48" t="str">
        <f t="shared" si="87"/>
        <v/>
      </c>
      <c r="Z66" s="48" t="str">
        <f t="shared" si="88"/>
        <v/>
      </c>
      <c r="AA66" s="84" t="str">
        <f t="shared" si="89"/>
        <v/>
      </c>
      <c r="AB66" s="82" t="str">
        <f t="shared" si="90"/>
        <v/>
      </c>
      <c r="AC66" s="48" t="str">
        <f t="shared" si="91"/>
        <v/>
      </c>
      <c r="AD66" s="48" t="str">
        <f t="shared" si="92"/>
        <v/>
      </c>
      <c r="AE66" s="84" t="str">
        <f t="shared" si="93"/>
        <v/>
      </c>
      <c r="AF66" s="82" t="str">
        <f t="shared" si="94"/>
        <v/>
      </c>
      <c r="AG66" s="48" t="str">
        <f t="shared" si="95"/>
        <v/>
      </c>
      <c r="AH66" s="48" t="str">
        <f t="shared" si="96"/>
        <v/>
      </c>
      <c r="AI66" s="84" t="str">
        <f t="shared" si="97"/>
        <v/>
      </c>
      <c r="AJ66" s="82" t="str">
        <f t="shared" si="98"/>
        <v/>
      </c>
      <c r="AK66" s="48" t="str">
        <f t="shared" si="99"/>
        <v/>
      </c>
      <c r="AL66" s="48" t="str">
        <f t="shared" si="100"/>
        <v/>
      </c>
      <c r="AM66" s="84" t="str">
        <f t="shared" si="101"/>
        <v/>
      </c>
      <c r="AN66" s="82" t="str">
        <f t="shared" si="102"/>
        <v/>
      </c>
      <c r="AO66" s="48" t="str">
        <f t="shared" si="103"/>
        <v/>
      </c>
      <c r="AP66" s="48" t="str">
        <f t="shared" si="104"/>
        <v/>
      </c>
      <c r="AQ66" s="84" t="str">
        <f t="shared" si="105"/>
        <v/>
      </c>
      <c r="AR66" s="82" t="str">
        <f t="shared" si="106"/>
        <v/>
      </c>
      <c r="AS66" s="48" t="str">
        <f t="shared" si="107"/>
        <v/>
      </c>
      <c r="AT66" s="48" t="str">
        <f t="shared" si="108"/>
        <v/>
      </c>
      <c r="AU66" s="84" t="str">
        <f t="shared" si="109"/>
        <v/>
      </c>
      <c r="AV66" s="82" t="str">
        <f t="shared" si="110"/>
        <v/>
      </c>
      <c r="AW66" s="48" t="str">
        <f t="shared" si="111"/>
        <v/>
      </c>
      <c r="AX66" s="48" t="str">
        <f t="shared" si="112"/>
        <v/>
      </c>
      <c r="AY66" s="84" t="str">
        <f t="shared" si="113"/>
        <v/>
      </c>
      <c r="AZ66" s="82" t="str">
        <f t="shared" si="114"/>
        <v/>
      </c>
      <c r="BA66" s="48" t="str">
        <f t="shared" si="115"/>
        <v/>
      </c>
      <c r="BB66" s="48" t="str">
        <f t="shared" si="116"/>
        <v/>
      </c>
      <c r="BC66" s="84" t="str">
        <f t="shared" si="117"/>
        <v/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 s="93" customFormat="1">
      <c r="B67" s="90" t="str">
        <f>Weekly!B59</f>
        <v>1062</v>
      </c>
      <c r="C67" s="90" t="str">
        <f>Weekly!C59</f>
        <v>Tomoko</v>
      </c>
      <c r="D67" s="90">
        <f>Weekly!D64</f>
        <v>0</v>
      </c>
      <c r="E67" s="91" t="str">
        <f>VLOOKUP(B67,Team!$B$4:$E$183,4,FALSE)</f>
        <v>L's</v>
      </c>
      <c r="F67" s="92" t="str">
        <f>Weekly!M59</f>
        <v/>
      </c>
      <c r="G67" s="92" t="str">
        <f>Weekly!N59</f>
        <v/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/>
      </c>
      <c r="AC67" s="48" t="str">
        <f t="shared" si="91"/>
        <v/>
      </c>
      <c r="AD67" s="48" t="str">
        <f t="shared" si="92"/>
        <v/>
      </c>
      <c r="AE67" s="84" t="str">
        <f t="shared" si="93"/>
        <v/>
      </c>
      <c r="AF67" s="82" t="str">
        <f t="shared" si="94"/>
        <v/>
      </c>
      <c r="AG67" s="48" t="str">
        <f t="shared" si="95"/>
        <v/>
      </c>
      <c r="AH67" s="48" t="str">
        <f t="shared" si="96"/>
        <v/>
      </c>
      <c r="AI67" s="84" t="str">
        <f t="shared" si="97"/>
        <v/>
      </c>
      <c r="AJ67" s="82" t="str">
        <f t="shared" si="98"/>
        <v/>
      </c>
      <c r="AK67" s="48" t="str">
        <f t="shared" si="99"/>
        <v/>
      </c>
      <c r="AL67" s="48" t="str">
        <f t="shared" si="100"/>
        <v/>
      </c>
      <c r="AM67" s="84" t="str">
        <f t="shared" si="101"/>
        <v/>
      </c>
      <c r="AN67" s="82" t="str">
        <f t="shared" si="102"/>
        <v/>
      </c>
      <c r="AO67" s="48" t="str">
        <f t="shared" si="103"/>
        <v/>
      </c>
      <c r="AP67" s="48" t="str">
        <f t="shared" si="104"/>
        <v/>
      </c>
      <c r="AQ67" s="84" t="str">
        <f t="shared" si="105"/>
        <v/>
      </c>
      <c r="AR67" s="82" t="str">
        <f t="shared" si="106"/>
        <v/>
      </c>
      <c r="AS67" s="48" t="str">
        <f t="shared" si="107"/>
        <v/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 s="93" customFormat="1">
      <c r="B68" s="90" t="str">
        <f>Weekly!B60</f>
        <v>1149</v>
      </c>
      <c r="C68" s="90" t="str">
        <f>Weekly!C60</f>
        <v>Vera</v>
      </c>
      <c r="D68" s="90">
        <f>Weekly!D65</f>
        <v>0</v>
      </c>
      <c r="E68" s="91" t="str">
        <f>VLOOKUP(B68,Team!$B$4:$E$183,4,FALSE)</f>
        <v>L's</v>
      </c>
      <c r="F68" s="92" t="str">
        <f>Weekly!M60</f>
        <v/>
      </c>
      <c r="G68" s="92" t="str">
        <f>Weekly!N60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 s="93" customFormat="1">
      <c r="B69" s="90" t="str">
        <f>Weekly!B61</f>
        <v>1160</v>
      </c>
      <c r="C69" s="90" t="str">
        <f>Weekly!C61</f>
        <v>Yura</v>
      </c>
      <c r="D69" s="90">
        <f>Weekly!D66</f>
        <v>0</v>
      </c>
      <c r="E69" s="91" t="str">
        <f>VLOOKUP(B69,Team!$B$4:$E$183,4,FALSE)</f>
        <v>SPV</v>
      </c>
      <c r="F69" s="92">
        <f>Weekly!M61</f>
        <v>0.35416666666666602</v>
      </c>
      <c r="G69" s="92">
        <f>Weekly!N61</f>
        <v>0.687499999999999</v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>SPV</v>
      </c>
      <c r="O69" s="84" t="str">
        <f t="shared" si="77"/>
        <v>SPV</v>
      </c>
      <c r="P69" s="82" t="str">
        <f t="shared" si="78"/>
        <v>SPV</v>
      </c>
      <c r="Q69" s="48" t="str">
        <f t="shared" si="79"/>
        <v>SPV</v>
      </c>
      <c r="R69" s="48" t="str">
        <f t="shared" si="80"/>
        <v>SPV</v>
      </c>
      <c r="S69" s="84" t="str">
        <f t="shared" si="81"/>
        <v>SPV</v>
      </c>
      <c r="T69" s="82" t="str">
        <f t="shared" si="82"/>
        <v>SPV</v>
      </c>
      <c r="U69" s="48" t="str">
        <f t="shared" si="83"/>
        <v>SPV</v>
      </c>
      <c r="V69" s="48" t="str">
        <f t="shared" si="84"/>
        <v>SPV</v>
      </c>
      <c r="W69" s="84" t="str">
        <f t="shared" si="85"/>
        <v>SPV</v>
      </c>
      <c r="X69" s="82" t="str">
        <f t="shared" si="86"/>
        <v>SPV</v>
      </c>
      <c r="Y69" s="48" t="str">
        <f t="shared" si="87"/>
        <v>SPV</v>
      </c>
      <c r="Z69" s="48" t="str">
        <f t="shared" si="88"/>
        <v>SPV</v>
      </c>
      <c r="AA69" s="84" t="str">
        <f t="shared" si="89"/>
        <v>SPV</v>
      </c>
      <c r="AB69" s="82" t="str">
        <f t="shared" si="90"/>
        <v>SPV</v>
      </c>
      <c r="AC69" s="48" t="str">
        <f t="shared" si="91"/>
        <v>SPV</v>
      </c>
      <c r="AD69" s="48" t="str">
        <f t="shared" si="92"/>
        <v>SPV</v>
      </c>
      <c r="AE69" s="84" t="str">
        <f t="shared" si="93"/>
        <v>SPV</v>
      </c>
      <c r="AF69" s="82" t="str">
        <f t="shared" si="94"/>
        <v>SPV</v>
      </c>
      <c r="AG69" s="48" t="str">
        <f t="shared" si="95"/>
        <v>SPV</v>
      </c>
      <c r="AH69" s="48" t="str">
        <f t="shared" si="96"/>
        <v>SPV</v>
      </c>
      <c r="AI69" s="84" t="str">
        <f t="shared" si="97"/>
        <v>SPV</v>
      </c>
      <c r="AJ69" s="82" t="str">
        <f t="shared" si="98"/>
        <v>SPV</v>
      </c>
      <c r="AK69" s="48" t="str">
        <f t="shared" si="99"/>
        <v>SPV</v>
      </c>
      <c r="AL69" s="48" t="str">
        <f t="shared" si="100"/>
        <v>SPV</v>
      </c>
      <c r="AM69" s="84" t="str">
        <f t="shared" si="101"/>
        <v>SPV</v>
      </c>
      <c r="AN69" s="82" t="str">
        <f t="shared" si="102"/>
        <v>SPV</v>
      </c>
      <c r="AO69" s="48" t="str">
        <f t="shared" si="103"/>
        <v>SPV</v>
      </c>
      <c r="AP69" s="48" t="str">
        <f t="shared" si="104"/>
        <v>SPV</v>
      </c>
      <c r="AQ69" s="84" t="str">
        <f t="shared" si="105"/>
        <v>SPV</v>
      </c>
      <c r="AR69" s="82" t="str">
        <f t="shared" si="106"/>
        <v>SPV</v>
      </c>
      <c r="AS69" s="48" t="str">
        <f t="shared" si="107"/>
        <v>SPV</v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 s="93" customFormat="1">
      <c r="B70" s="90">
        <f>Weekly!B62</f>
        <v>0</v>
      </c>
      <c r="C70" s="90">
        <f>Weekly!C62</f>
        <v>0</v>
      </c>
      <c r="D70" s="90">
        <f>Weekly!D67</f>
        <v>0</v>
      </c>
      <c r="E70" s="91" t="e">
        <f>VLOOKUP(B70,Team!$B$4:$E$183,4,FALSE)</f>
        <v>#N/A</v>
      </c>
      <c r="F70" s="92" t="str">
        <f>Weekly!M62</f>
        <v/>
      </c>
      <c r="G70" s="92" t="str">
        <f>Weekly!N62</f>
        <v/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/>
      </c>
      <c r="O70" s="84" t="str">
        <f t="shared" si="77"/>
        <v/>
      </c>
      <c r="P70" s="82" t="str">
        <f t="shared" si="78"/>
        <v/>
      </c>
      <c r="Q70" s="48" t="str">
        <f t="shared" si="79"/>
        <v/>
      </c>
      <c r="R70" s="48" t="str">
        <f t="shared" si="80"/>
        <v/>
      </c>
      <c r="S70" s="84" t="str">
        <f t="shared" si="81"/>
        <v/>
      </c>
      <c r="T70" s="82" t="str">
        <f t="shared" si="82"/>
        <v/>
      </c>
      <c r="U70" s="48" t="str">
        <f t="shared" si="83"/>
        <v/>
      </c>
      <c r="V70" s="48" t="str">
        <f t="shared" si="84"/>
        <v/>
      </c>
      <c r="W70" s="84" t="str">
        <f t="shared" si="85"/>
        <v/>
      </c>
      <c r="X70" s="82" t="str">
        <f t="shared" si="86"/>
        <v/>
      </c>
      <c r="Y70" s="48" t="str">
        <f t="shared" si="87"/>
        <v/>
      </c>
      <c r="Z70" s="48" t="str">
        <f t="shared" si="88"/>
        <v/>
      </c>
      <c r="AA70" s="84" t="str">
        <f t="shared" si="89"/>
        <v/>
      </c>
      <c r="AB70" s="82" t="str">
        <f t="shared" si="90"/>
        <v/>
      </c>
      <c r="AC70" s="48" t="str">
        <f t="shared" si="91"/>
        <v/>
      </c>
      <c r="AD70" s="48" t="str">
        <f t="shared" si="92"/>
        <v/>
      </c>
      <c r="AE70" s="84" t="str">
        <f t="shared" si="93"/>
        <v/>
      </c>
      <c r="AF70" s="82" t="str">
        <f t="shared" si="94"/>
        <v/>
      </c>
      <c r="AG70" s="48" t="str">
        <f t="shared" si="95"/>
        <v/>
      </c>
      <c r="AH70" s="48" t="str">
        <f t="shared" si="96"/>
        <v/>
      </c>
      <c r="AI70" s="84" t="str">
        <f t="shared" si="97"/>
        <v/>
      </c>
      <c r="AJ70" s="82" t="str">
        <f t="shared" si="98"/>
        <v/>
      </c>
      <c r="AK70" s="48" t="str">
        <f t="shared" si="99"/>
        <v/>
      </c>
      <c r="AL70" s="48" t="str">
        <f t="shared" si="100"/>
        <v/>
      </c>
      <c r="AM70" s="84" t="str">
        <f t="shared" si="101"/>
        <v/>
      </c>
      <c r="AN70" s="82" t="str">
        <f t="shared" si="102"/>
        <v/>
      </c>
      <c r="AO70" s="48" t="str">
        <f t="shared" si="103"/>
        <v/>
      </c>
      <c r="AP70" s="48" t="str">
        <f t="shared" si="104"/>
        <v/>
      </c>
      <c r="AQ70" s="84" t="str">
        <f t="shared" si="105"/>
        <v/>
      </c>
      <c r="AR70" s="82" t="str">
        <f t="shared" si="106"/>
        <v/>
      </c>
      <c r="AS70" s="48" t="str">
        <f t="shared" si="107"/>
        <v/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 s="93" customFormat="1">
      <c r="B71" s="90">
        <f>Weekly!B63</f>
        <v>0</v>
      </c>
      <c r="C71" s="90">
        <f>Weekly!C63</f>
        <v>0</v>
      </c>
      <c r="D71" s="90">
        <f>Weekly!D68</f>
        <v>0</v>
      </c>
      <c r="E71" s="91" t="e">
        <f>VLOOKUP(B71,Team!$B$4:$E$183,4,FALSE)</f>
        <v>#N/A</v>
      </c>
      <c r="F71" s="92" t="str">
        <f>Weekly!M63</f>
        <v/>
      </c>
      <c r="G71" s="92" t="str">
        <f>Weekly!N63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 s="93" customFormat="1">
      <c r="B72" s="90">
        <f>Weekly!B64</f>
        <v>0</v>
      </c>
      <c r="C72" s="90">
        <f>Weekly!C64</f>
        <v>0</v>
      </c>
      <c r="D72" s="90">
        <f>Weekly!D69</f>
        <v>0</v>
      </c>
      <c r="E72" s="91" t="e">
        <f>VLOOKUP(B72,Team!$B$4:$E$183,4,FALSE)</f>
        <v>#N/A</v>
      </c>
      <c r="F72" s="92" t="str">
        <f>Weekly!M64</f>
        <v/>
      </c>
      <c r="G72" s="92" t="str">
        <f>Weekly!N64</f>
        <v/>
      </c>
      <c r="H72" s="48" t="str">
        <f t="shared" si="70"/>
        <v/>
      </c>
      <c r="I72" s="48" t="str">
        <f t="shared" si="71"/>
        <v/>
      </c>
      <c r="J72" s="48" t="str">
        <f t="shared" si="72"/>
        <v/>
      </c>
      <c r="K72" s="84" t="str">
        <f t="shared" si="73"/>
        <v/>
      </c>
      <c r="L72" s="82" t="str">
        <f t="shared" si="74"/>
        <v/>
      </c>
      <c r="M72" s="48" t="str">
        <f t="shared" si="75"/>
        <v/>
      </c>
      <c r="N72" s="48" t="str">
        <f t="shared" si="76"/>
        <v/>
      </c>
      <c r="O72" s="84" t="str">
        <f t="shared" si="77"/>
        <v/>
      </c>
      <c r="P72" s="82" t="str">
        <f t="shared" si="78"/>
        <v/>
      </c>
      <c r="Q72" s="48" t="str">
        <f t="shared" si="79"/>
        <v/>
      </c>
      <c r="R72" s="48" t="str">
        <f t="shared" si="80"/>
        <v/>
      </c>
      <c r="S72" s="84" t="str">
        <f t="shared" si="81"/>
        <v/>
      </c>
      <c r="T72" s="82" t="str">
        <f t="shared" si="82"/>
        <v/>
      </c>
      <c r="U72" s="48" t="str">
        <f t="shared" si="83"/>
        <v/>
      </c>
      <c r="V72" s="48" t="str">
        <f t="shared" si="84"/>
        <v/>
      </c>
      <c r="W72" s="84" t="str">
        <f t="shared" si="85"/>
        <v/>
      </c>
      <c r="X72" s="82" t="str">
        <f t="shared" si="86"/>
        <v/>
      </c>
      <c r="Y72" s="48" t="str">
        <f t="shared" si="87"/>
        <v/>
      </c>
      <c r="Z72" s="48" t="str">
        <f t="shared" si="88"/>
        <v/>
      </c>
      <c r="AA72" s="84" t="str">
        <f t="shared" si="89"/>
        <v/>
      </c>
      <c r="AB72" s="82" t="str">
        <f t="shared" si="90"/>
        <v/>
      </c>
      <c r="AC72" s="48" t="str">
        <f t="shared" si="91"/>
        <v/>
      </c>
      <c r="AD72" s="48" t="str">
        <f t="shared" si="92"/>
        <v/>
      </c>
      <c r="AE72" s="84" t="str">
        <f t="shared" si="93"/>
        <v/>
      </c>
      <c r="AF72" s="82" t="str">
        <f t="shared" si="94"/>
        <v/>
      </c>
      <c r="AG72" s="48" t="str">
        <f t="shared" si="95"/>
        <v/>
      </c>
      <c r="AH72" s="48" t="str">
        <f t="shared" si="96"/>
        <v/>
      </c>
      <c r="AI72" s="84" t="str">
        <f t="shared" si="97"/>
        <v/>
      </c>
      <c r="AJ72" s="82" t="str">
        <f t="shared" si="98"/>
        <v/>
      </c>
      <c r="AK72" s="48" t="str">
        <f t="shared" si="99"/>
        <v/>
      </c>
      <c r="AL72" s="48" t="str">
        <f t="shared" si="100"/>
        <v/>
      </c>
      <c r="AM72" s="84" t="str">
        <f t="shared" si="101"/>
        <v/>
      </c>
      <c r="AN72" s="82" t="str">
        <f t="shared" si="102"/>
        <v/>
      </c>
      <c r="AO72" s="48" t="str">
        <f t="shared" si="103"/>
        <v/>
      </c>
      <c r="AP72" s="48" t="str">
        <f t="shared" si="104"/>
        <v/>
      </c>
      <c r="AQ72" s="84" t="str">
        <f t="shared" si="105"/>
        <v/>
      </c>
      <c r="AR72" s="82" t="str">
        <f t="shared" si="106"/>
        <v/>
      </c>
      <c r="AS72" s="48" t="str">
        <f t="shared" si="107"/>
        <v/>
      </c>
      <c r="AT72" s="48" t="str">
        <f t="shared" si="108"/>
        <v/>
      </c>
      <c r="AU72" s="84" t="str">
        <f t="shared" si="109"/>
        <v/>
      </c>
      <c r="AV72" s="82" t="str">
        <f t="shared" si="110"/>
        <v/>
      </c>
      <c r="AW72" s="48" t="str">
        <f t="shared" si="111"/>
        <v/>
      </c>
      <c r="AX72" s="48" t="str">
        <f t="shared" si="112"/>
        <v/>
      </c>
      <c r="AY72" s="84" t="str">
        <f t="shared" si="113"/>
        <v/>
      </c>
      <c r="AZ72" s="82" t="str">
        <f t="shared" si="114"/>
        <v/>
      </c>
      <c r="BA72" s="48" t="str">
        <f t="shared" si="115"/>
        <v/>
      </c>
      <c r="BB72" s="48" t="str">
        <f t="shared" si="116"/>
        <v/>
      </c>
      <c r="BC72" s="84" t="str">
        <f t="shared" si="117"/>
        <v/>
      </c>
      <c r="BD72" s="82" t="str">
        <f t="shared" si="118"/>
        <v/>
      </c>
      <c r="BE72" s="48" t="str">
        <f t="shared" si="119"/>
        <v/>
      </c>
      <c r="BF72" s="48" t="str">
        <f t="shared" si="120"/>
        <v/>
      </c>
      <c r="BG72" s="84" t="str">
        <f t="shared" si="121"/>
        <v/>
      </c>
      <c r="BH72" s="87" t="str">
        <f t="shared" si="122"/>
        <v/>
      </c>
      <c r="BI72" s="49" t="str">
        <f t="shared" si="123"/>
        <v/>
      </c>
      <c r="BJ72" s="49" t="str">
        <f t="shared" si="124"/>
        <v/>
      </c>
      <c r="BK72" s="89" t="str">
        <f t="shared" si="125"/>
        <v/>
      </c>
      <c r="BL72" s="87" t="str">
        <f t="shared" si="126"/>
        <v/>
      </c>
      <c r="BM72" s="49" t="str">
        <f t="shared" si="127"/>
        <v/>
      </c>
      <c r="BN72" s="49" t="str">
        <f t="shared" si="128"/>
        <v/>
      </c>
      <c r="BO72" s="89" t="str">
        <f t="shared" si="129"/>
        <v/>
      </c>
      <c r="BP72" s="87" t="str">
        <f t="shared" si="130"/>
        <v/>
      </c>
      <c r="BQ72" s="49" t="str">
        <f t="shared" si="131"/>
        <v/>
      </c>
      <c r="BR72" s="49" t="str">
        <f t="shared" si="132"/>
        <v/>
      </c>
      <c r="BS72" s="89" t="str">
        <f t="shared" si="133"/>
        <v/>
      </c>
      <c r="BT72" s="87" t="str">
        <f t="shared" si="134"/>
        <v/>
      </c>
    </row>
    <row r="73" spans="2:72" s="93" customFormat="1">
      <c r="B73" s="90">
        <f>Weekly!B65</f>
        <v>0</v>
      </c>
      <c r="C73" s="90">
        <f>Weekly!C65</f>
        <v>0</v>
      </c>
      <c r="D73" s="90">
        <f>Weekly!D70</f>
        <v>0</v>
      </c>
      <c r="E73" s="91" t="e">
        <f>VLOOKUP(B73,Team!$B$4:$E$183,4,FALSE)</f>
        <v>#N/A</v>
      </c>
      <c r="F73" s="92" t="str">
        <f>Weekly!M65</f>
        <v/>
      </c>
      <c r="G73" s="92" t="str">
        <f>Weekly!N65</f>
        <v/>
      </c>
      <c r="H73" s="48" t="str">
        <f t="shared" si="70"/>
        <v/>
      </c>
      <c r="I73" s="48" t="str">
        <f t="shared" si="71"/>
        <v/>
      </c>
      <c r="J73" s="48" t="str">
        <f t="shared" si="72"/>
        <v/>
      </c>
      <c r="K73" s="84" t="str">
        <f t="shared" si="73"/>
        <v/>
      </c>
      <c r="L73" s="82" t="str">
        <f t="shared" si="74"/>
        <v/>
      </c>
      <c r="M73" s="48" t="str">
        <f t="shared" si="75"/>
        <v/>
      </c>
      <c r="N73" s="48" t="str">
        <f t="shared" si="76"/>
        <v/>
      </c>
      <c r="O73" s="84" t="str">
        <f t="shared" si="77"/>
        <v/>
      </c>
      <c r="P73" s="82" t="str">
        <f t="shared" si="78"/>
        <v/>
      </c>
      <c r="Q73" s="48" t="str">
        <f t="shared" si="79"/>
        <v/>
      </c>
      <c r="R73" s="48" t="str">
        <f t="shared" si="80"/>
        <v/>
      </c>
      <c r="S73" s="84" t="str">
        <f t="shared" si="81"/>
        <v/>
      </c>
      <c r="T73" s="82" t="str">
        <f t="shared" si="82"/>
        <v/>
      </c>
      <c r="U73" s="48" t="str">
        <f t="shared" si="83"/>
        <v/>
      </c>
      <c r="V73" s="48" t="str">
        <f t="shared" si="84"/>
        <v/>
      </c>
      <c r="W73" s="84" t="str">
        <f t="shared" si="85"/>
        <v/>
      </c>
      <c r="X73" s="82" t="str">
        <f t="shared" si="86"/>
        <v/>
      </c>
      <c r="Y73" s="48" t="str">
        <f t="shared" si="87"/>
        <v/>
      </c>
      <c r="Z73" s="48" t="str">
        <f t="shared" si="88"/>
        <v/>
      </c>
      <c r="AA73" s="84" t="str">
        <f t="shared" si="89"/>
        <v/>
      </c>
      <c r="AB73" s="82" t="str">
        <f t="shared" si="90"/>
        <v/>
      </c>
      <c r="AC73" s="48" t="str">
        <f t="shared" si="91"/>
        <v/>
      </c>
      <c r="AD73" s="48" t="str">
        <f t="shared" si="92"/>
        <v/>
      </c>
      <c r="AE73" s="84" t="str">
        <f t="shared" si="93"/>
        <v/>
      </c>
      <c r="AF73" s="82" t="str">
        <f t="shared" si="94"/>
        <v/>
      </c>
      <c r="AG73" s="48" t="str">
        <f t="shared" si="95"/>
        <v/>
      </c>
      <c r="AH73" s="48" t="str">
        <f t="shared" si="96"/>
        <v/>
      </c>
      <c r="AI73" s="84" t="str">
        <f t="shared" si="97"/>
        <v/>
      </c>
      <c r="AJ73" s="82" t="str">
        <f t="shared" si="98"/>
        <v/>
      </c>
      <c r="AK73" s="48" t="str">
        <f t="shared" si="99"/>
        <v/>
      </c>
      <c r="AL73" s="48" t="str">
        <f t="shared" si="100"/>
        <v/>
      </c>
      <c r="AM73" s="84" t="str">
        <f t="shared" si="101"/>
        <v/>
      </c>
      <c r="AN73" s="82" t="str">
        <f t="shared" si="102"/>
        <v/>
      </c>
      <c r="AO73" s="48" t="str">
        <f t="shared" si="103"/>
        <v/>
      </c>
      <c r="AP73" s="48" t="str">
        <f t="shared" si="104"/>
        <v/>
      </c>
      <c r="AQ73" s="84" t="str">
        <f t="shared" si="105"/>
        <v/>
      </c>
      <c r="AR73" s="82" t="str">
        <f t="shared" si="106"/>
        <v/>
      </c>
      <c r="AS73" s="48" t="str">
        <f t="shared" si="107"/>
        <v/>
      </c>
      <c r="AT73" s="48" t="str">
        <f t="shared" si="108"/>
        <v/>
      </c>
      <c r="AU73" s="84" t="str">
        <f t="shared" si="109"/>
        <v/>
      </c>
      <c r="AV73" s="82" t="str">
        <f t="shared" si="110"/>
        <v/>
      </c>
      <c r="AW73" s="48" t="str">
        <f t="shared" si="111"/>
        <v/>
      </c>
      <c r="AX73" s="48" t="str">
        <f t="shared" si="112"/>
        <v/>
      </c>
      <c r="AY73" s="84" t="str">
        <f t="shared" si="113"/>
        <v/>
      </c>
      <c r="AZ73" s="82" t="str">
        <f t="shared" si="114"/>
        <v/>
      </c>
      <c r="BA73" s="48" t="str">
        <f t="shared" si="115"/>
        <v/>
      </c>
      <c r="BB73" s="48" t="str">
        <f t="shared" si="116"/>
        <v/>
      </c>
      <c r="BC73" s="84" t="str">
        <f t="shared" si="117"/>
        <v/>
      </c>
      <c r="BD73" s="82" t="str">
        <f t="shared" si="118"/>
        <v/>
      </c>
      <c r="BE73" s="48" t="str">
        <f t="shared" si="119"/>
        <v/>
      </c>
      <c r="BF73" s="48" t="str">
        <f t="shared" si="120"/>
        <v/>
      </c>
      <c r="BG73" s="84" t="str">
        <f t="shared" si="121"/>
        <v/>
      </c>
      <c r="BH73" s="87" t="str">
        <f t="shared" si="122"/>
        <v/>
      </c>
      <c r="BI73" s="49" t="str">
        <f t="shared" si="123"/>
        <v/>
      </c>
      <c r="BJ73" s="49" t="str">
        <f t="shared" si="124"/>
        <v/>
      </c>
      <c r="BK73" s="89" t="str">
        <f t="shared" si="125"/>
        <v/>
      </c>
      <c r="BL73" s="87" t="str">
        <f t="shared" si="126"/>
        <v/>
      </c>
      <c r="BM73" s="49" t="str">
        <f t="shared" si="127"/>
        <v/>
      </c>
      <c r="BN73" s="49" t="str">
        <f t="shared" si="128"/>
        <v/>
      </c>
      <c r="BO73" s="89" t="str">
        <f t="shared" si="129"/>
        <v/>
      </c>
      <c r="BP73" s="87" t="str">
        <f t="shared" si="130"/>
        <v/>
      </c>
      <c r="BQ73" s="49" t="str">
        <f t="shared" si="131"/>
        <v/>
      </c>
      <c r="BR73" s="49" t="str">
        <f t="shared" si="132"/>
        <v/>
      </c>
      <c r="BS73" s="89" t="str">
        <f t="shared" si="133"/>
        <v/>
      </c>
      <c r="BT73" s="87" t="str">
        <f t="shared" si="134"/>
        <v/>
      </c>
    </row>
    <row r="74" spans="2:72" s="93" customFormat="1">
      <c r="B74" s="90">
        <f>Weekly!B66</f>
        <v>0</v>
      </c>
      <c r="C74" s="90">
        <f>Weekly!C66</f>
        <v>0</v>
      </c>
      <c r="D74" s="90">
        <f>Weekly!D71</f>
        <v>0</v>
      </c>
      <c r="E74" s="91" t="e">
        <f>VLOOKUP(B74,Team!$B$4:$E$183,4,FALSE)</f>
        <v>#N/A</v>
      </c>
      <c r="F74" s="92" t="str">
        <f>Weekly!M66</f>
        <v/>
      </c>
      <c r="G74" s="92" t="str">
        <f>Weekly!N66</f>
        <v/>
      </c>
      <c r="H74" s="48" t="str">
        <f t="shared" si="70"/>
        <v/>
      </c>
      <c r="I74" s="48" t="str">
        <f t="shared" si="71"/>
        <v/>
      </c>
      <c r="J74" s="48" t="str">
        <f t="shared" si="72"/>
        <v/>
      </c>
      <c r="K74" s="84" t="str">
        <f t="shared" si="73"/>
        <v/>
      </c>
      <c r="L74" s="82" t="str">
        <f t="shared" si="74"/>
        <v/>
      </c>
      <c r="M74" s="48" t="str">
        <f t="shared" si="75"/>
        <v/>
      </c>
      <c r="N74" s="48" t="str">
        <f t="shared" si="76"/>
        <v/>
      </c>
      <c r="O74" s="84" t="str">
        <f t="shared" si="77"/>
        <v/>
      </c>
      <c r="P74" s="82" t="str">
        <f t="shared" si="78"/>
        <v/>
      </c>
      <c r="Q74" s="48" t="str">
        <f t="shared" si="79"/>
        <v/>
      </c>
      <c r="R74" s="48" t="str">
        <f t="shared" si="80"/>
        <v/>
      </c>
      <c r="S74" s="84" t="str">
        <f t="shared" si="81"/>
        <v/>
      </c>
      <c r="T74" s="82" t="str">
        <f t="shared" si="82"/>
        <v/>
      </c>
      <c r="U74" s="48" t="str">
        <f t="shared" si="83"/>
        <v/>
      </c>
      <c r="V74" s="48" t="str">
        <f t="shared" si="84"/>
        <v/>
      </c>
      <c r="W74" s="84" t="str">
        <f t="shared" si="85"/>
        <v/>
      </c>
      <c r="X74" s="82" t="str">
        <f t="shared" si="86"/>
        <v/>
      </c>
      <c r="Y74" s="48" t="str">
        <f t="shared" si="87"/>
        <v/>
      </c>
      <c r="Z74" s="48" t="str">
        <f t="shared" si="88"/>
        <v/>
      </c>
      <c r="AA74" s="84" t="str">
        <f t="shared" si="89"/>
        <v/>
      </c>
      <c r="AB74" s="82" t="str">
        <f t="shared" si="90"/>
        <v/>
      </c>
      <c r="AC74" s="48" t="str">
        <f t="shared" si="91"/>
        <v/>
      </c>
      <c r="AD74" s="48" t="str">
        <f t="shared" si="92"/>
        <v/>
      </c>
      <c r="AE74" s="84" t="str">
        <f t="shared" si="93"/>
        <v/>
      </c>
      <c r="AF74" s="82" t="str">
        <f t="shared" si="94"/>
        <v/>
      </c>
      <c r="AG74" s="48" t="str">
        <f t="shared" si="95"/>
        <v/>
      </c>
      <c r="AH74" s="48" t="str">
        <f t="shared" si="96"/>
        <v/>
      </c>
      <c r="AI74" s="84" t="str">
        <f t="shared" si="97"/>
        <v/>
      </c>
      <c r="AJ74" s="82" t="str">
        <f t="shared" si="98"/>
        <v/>
      </c>
      <c r="AK74" s="48" t="str">
        <f t="shared" si="99"/>
        <v/>
      </c>
      <c r="AL74" s="48" t="str">
        <f t="shared" si="100"/>
        <v/>
      </c>
      <c r="AM74" s="84" t="str">
        <f t="shared" si="101"/>
        <v/>
      </c>
      <c r="AN74" s="82" t="str">
        <f t="shared" si="102"/>
        <v/>
      </c>
      <c r="AO74" s="48" t="str">
        <f t="shared" si="103"/>
        <v/>
      </c>
      <c r="AP74" s="48" t="str">
        <f t="shared" si="104"/>
        <v/>
      </c>
      <c r="AQ74" s="84" t="str">
        <f t="shared" si="105"/>
        <v/>
      </c>
      <c r="AR74" s="82" t="str">
        <f t="shared" si="106"/>
        <v/>
      </c>
      <c r="AS74" s="48" t="str">
        <f t="shared" si="107"/>
        <v/>
      </c>
      <c r="AT74" s="48" t="str">
        <f t="shared" si="108"/>
        <v/>
      </c>
      <c r="AU74" s="84" t="str">
        <f t="shared" si="109"/>
        <v/>
      </c>
      <c r="AV74" s="82" t="str">
        <f t="shared" si="110"/>
        <v/>
      </c>
      <c r="AW74" s="48" t="str">
        <f t="shared" si="111"/>
        <v/>
      </c>
      <c r="AX74" s="48" t="str">
        <f t="shared" si="112"/>
        <v/>
      </c>
      <c r="AY74" s="84" t="str">
        <f t="shared" si="113"/>
        <v/>
      </c>
      <c r="AZ74" s="82" t="str">
        <f t="shared" si="114"/>
        <v/>
      </c>
      <c r="BA74" s="48" t="str">
        <f t="shared" si="115"/>
        <v/>
      </c>
      <c r="BB74" s="48" t="str">
        <f t="shared" si="116"/>
        <v/>
      </c>
      <c r="BC74" s="84" t="str">
        <f t="shared" si="117"/>
        <v/>
      </c>
      <c r="BD74" s="82" t="str">
        <f t="shared" si="118"/>
        <v/>
      </c>
      <c r="BE74" s="48" t="str">
        <f t="shared" si="119"/>
        <v/>
      </c>
      <c r="BF74" s="48" t="str">
        <f t="shared" si="120"/>
        <v/>
      </c>
      <c r="BG74" s="84" t="str">
        <f t="shared" si="121"/>
        <v/>
      </c>
      <c r="BH74" s="87" t="str">
        <f t="shared" si="122"/>
        <v/>
      </c>
      <c r="BI74" s="49" t="str">
        <f t="shared" si="123"/>
        <v/>
      </c>
      <c r="BJ74" s="49" t="str">
        <f t="shared" si="124"/>
        <v/>
      </c>
      <c r="BK74" s="89" t="str">
        <f t="shared" si="125"/>
        <v/>
      </c>
      <c r="BL74" s="87" t="str">
        <f t="shared" si="126"/>
        <v/>
      </c>
      <c r="BM74" s="49" t="str">
        <f t="shared" si="127"/>
        <v/>
      </c>
      <c r="BN74" s="49" t="str">
        <f t="shared" si="128"/>
        <v/>
      </c>
      <c r="BO74" s="89" t="str">
        <f t="shared" si="129"/>
        <v/>
      </c>
      <c r="BP74" s="87" t="str">
        <f t="shared" si="130"/>
        <v/>
      </c>
      <c r="BQ74" s="49" t="str">
        <f t="shared" si="131"/>
        <v/>
      </c>
      <c r="BR74" s="49" t="str">
        <f t="shared" si="132"/>
        <v/>
      </c>
      <c r="BS74" s="89" t="str">
        <f t="shared" si="133"/>
        <v/>
      </c>
      <c r="BT74" s="87" t="str">
        <f t="shared" si="134"/>
        <v/>
      </c>
    </row>
    <row r="75" spans="2:72" s="93" customFormat="1">
      <c r="B75" s="90">
        <f>Weekly!B67</f>
        <v>0</v>
      </c>
      <c r="C75" s="90">
        <f>Weekly!C67</f>
        <v>0</v>
      </c>
      <c r="D75" s="90">
        <f>Weekly!D72</f>
        <v>0</v>
      </c>
      <c r="E75" s="91" t="e">
        <f>VLOOKUP(B75,Team!$B$4:$E$183,4,FALSE)</f>
        <v>#N/A</v>
      </c>
      <c r="F75" s="92" t="str">
        <f>Weekly!M67</f>
        <v/>
      </c>
      <c r="G75" s="92" t="str">
        <f>Weekly!N67</f>
        <v/>
      </c>
      <c r="H75" s="48" t="str">
        <f t="shared" si="70"/>
        <v/>
      </c>
      <c r="I75" s="48" t="str">
        <f t="shared" si="71"/>
        <v/>
      </c>
      <c r="J75" s="48" t="str">
        <f t="shared" si="72"/>
        <v/>
      </c>
      <c r="K75" s="84" t="str">
        <f t="shared" si="73"/>
        <v/>
      </c>
      <c r="L75" s="82" t="str">
        <f t="shared" si="74"/>
        <v/>
      </c>
      <c r="M75" s="48" t="str">
        <f t="shared" si="75"/>
        <v/>
      </c>
      <c r="N75" s="48" t="str">
        <f t="shared" si="76"/>
        <v/>
      </c>
      <c r="O75" s="84" t="str">
        <f t="shared" si="77"/>
        <v/>
      </c>
      <c r="P75" s="82" t="str">
        <f t="shared" si="78"/>
        <v/>
      </c>
      <c r="Q75" s="48" t="str">
        <f t="shared" si="79"/>
        <v/>
      </c>
      <c r="R75" s="48" t="str">
        <f t="shared" si="80"/>
        <v/>
      </c>
      <c r="S75" s="84" t="str">
        <f t="shared" si="81"/>
        <v/>
      </c>
      <c r="T75" s="82" t="str">
        <f t="shared" si="82"/>
        <v/>
      </c>
      <c r="U75" s="48" t="str">
        <f t="shared" si="83"/>
        <v/>
      </c>
      <c r="V75" s="48" t="str">
        <f t="shared" si="84"/>
        <v/>
      </c>
      <c r="W75" s="84" t="str">
        <f t="shared" si="85"/>
        <v/>
      </c>
      <c r="X75" s="82" t="str">
        <f t="shared" si="86"/>
        <v/>
      </c>
      <c r="Y75" s="48" t="str">
        <f t="shared" si="87"/>
        <v/>
      </c>
      <c r="Z75" s="48" t="str">
        <f t="shared" si="88"/>
        <v/>
      </c>
      <c r="AA75" s="84" t="str">
        <f t="shared" si="89"/>
        <v/>
      </c>
      <c r="AB75" s="82" t="str">
        <f t="shared" si="90"/>
        <v/>
      </c>
      <c r="AC75" s="48" t="str">
        <f t="shared" si="91"/>
        <v/>
      </c>
      <c r="AD75" s="48" t="str">
        <f t="shared" si="92"/>
        <v/>
      </c>
      <c r="AE75" s="84" t="str">
        <f t="shared" si="93"/>
        <v/>
      </c>
      <c r="AF75" s="82" t="str">
        <f t="shared" si="94"/>
        <v/>
      </c>
      <c r="AG75" s="48" t="str">
        <f t="shared" si="95"/>
        <v/>
      </c>
      <c r="AH75" s="48" t="str">
        <f t="shared" si="96"/>
        <v/>
      </c>
      <c r="AI75" s="84" t="str">
        <f t="shared" si="97"/>
        <v/>
      </c>
      <c r="AJ75" s="82" t="str">
        <f t="shared" si="98"/>
        <v/>
      </c>
      <c r="AK75" s="48" t="str">
        <f t="shared" si="99"/>
        <v/>
      </c>
      <c r="AL75" s="48" t="str">
        <f t="shared" si="100"/>
        <v/>
      </c>
      <c r="AM75" s="84" t="str">
        <f t="shared" si="101"/>
        <v/>
      </c>
      <c r="AN75" s="82" t="str">
        <f t="shared" si="102"/>
        <v/>
      </c>
      <c r="AO75" s="48" t="str">
        <f t="shared" si="103"/>
        <v/>
      </c>
      <c r="AP75" s="48" t="str">
        <f t="shared" si="104"/>
        <v/>
      </c>
      <c r="AQ75" s="84" t="str">
        <f t="shared" si="105"/>
        <v/>
      </c>
      <c r="AR75" s="82" t="str">
        <f t="shared" si="106"/>
        <v/>
      </c>
      <c r="AS75" s="48" t="str">
        <f t="shared" si="107"/>
        <v/>
      </c>
      <c r="AT75" s="48" t="str">
        <f t="shared" si="108"/>
        <v/>
      </c>
      <c r="AU75" s="84" t="str">
        <f t="shared" si="109"/>
        <v/>
      </c>
      <c r="AV75" s="82" t="str">
        <f t="shared" si="110"/>
        <v/>
      </c>
      <c r="AW75" s="48" t="str">
        <f t="shared" si="111"/>
        <v/>
      </c>
      <c r="AX75" s="48" t="str">
        <f t="shared" si="112"/>
        <v/>
      </c>
      <c r="AY75" s="84" t="str">
        <f t="shared" si="113"/>
        <v/>
      </c>
      <c r="AZ75" s="82" t="str">
        <f t="shared" si="114"/>
        <v/>
      </c>
      <c r="BA75" s="48" t="str">
        <f t="shared" si="115"/>
        <v/>
      </c>
      <c r="BB75" s="48" t="str">
        <f t="shared" si="116"/>
        <v/>
      </c>
      <c r="BC75" s="84" t="str">
        <f t="shared" si="117"/>
        <v/>
      </c>
      <c r="BD75" s="82" t="str">
        <f t="shared" si="118"/>
        <v/>
      </c>
      <c r="BE75" s="48" t="str">
        <f t="shared" si="119"/>
        <v/>
      </c>
      <c r="BF75" s="48" t="str">
        <f t="shared" si="120"/>
        <v/>
      </c>
      <c r="BG75" s="84" t="str">
        <f t="shared" si="121"/>
        <v/>
      </c>
      <c r="BH75" s="87" t="str">
        <f t="shared" si="122"/>
        <v/>
      </c>
      <c r="BI75" s="49" t="str">
        <f t="shared" si="123"/>
        <v/>
      </c>
      <c r="BJ75" s="49" t="str">
        <f t="shared" si="124"/>
        <v/>
      </c>
      <c r="BK75" s="89" t="str">
        <f t="shared" si="125"/>
        <v/>
      </c>
      <c r="BL75" s="87" t="str">
        <f t="shared" si="126"/>
        <v/>
      </c>
      <c r="BM75" s="49" t="str">
        <f t="shared" si="127"/>
        <v/>
      </c>
      <c r="BN75" s="49" t="str">
        <f t="shared" si="128"/>
        <v/>
      </c>
      <c r="BO75" s="89" t="str">
        <f t="shared" si="129"/>
        <v/>
      </c>
      <c r="BP75" s="87" t="str">
        <f t="shared" si="130"/>
        <v/>
      </c>
      <c r="BQ75" s="49" t="str">
        <f t="shared" si="131"/>
        <v/>
      </c>
      <c r="BR75" s="49" t="str">
        <f t="shared" si="132"/>
        <v/>
      </c>
      <c r="BS75" s="89" t="str">
        <f t="shared" si="133"/>
        <v/>
      </c>
      <c r="BT75" s="87" t="str">
        <f t="shared" si="134"/>
        <v/>
      </c>
    </row>
    <row r="76" spans="2:72" s="93" customFormat="1">
      <c r="B76" s="90">
        <f>Weekly!B68</f>
        <v>0</v>
      </c>
      <c r="C76" s="90">
        <f>Weekly!C68</f>
        <v>0</v>
      </c>
      <c r="D76" s="90">
        <f>Weekly!D73</f>
        <v>0</v>
      </c>
      <c r="E76" s="91" t="e">
        <f>VLOOKUP(B76,Team!$B$4:$E$183,4,FALSE)</f>
        <v>#N/A</v>
      </c>
      <c r="F76" s="92" t="str">
        <f>Weekly!M68</f>
        <v/>
      </c>
      <c r="G76" s="92" t="str">
        <f>Weekly!N68</f>
        <v/>
      </c>
      <c r="H76" s="48" t="str">
        <f t="shared" si="70"/>
        <v/>
      </c>
      <c r="I76" s="48" t="str">
        <f t="shared" si="71"/>
        <v/>
      </c>
      <c r="J76" s="48" t="str">
        <f t="shared" si="72"/>
        <v/>
      </c>
      <c r="K76" s="84" t="str">
        <f t="shared" si="73"/>
        <v/>
      </c>
      <c r="L76" s="82" t="str">
        <f t="shared" si="74"/>
        <v/>
      </c>
      <c r="M76" s="48" t="str">
        <f t="shared" si="75"/>
        <v/>
      </c>
      <c r="N76" s="48" t="str">
        <f t="shared" si="76"/>
        <v/>
      </c>
      <c r="O76" s="84" t="str">
        <f t="shared" si="77"/>
        <v/>
      </c>
      <c r="P76" s="82" t="str">
        <f t="shared" si="78"/>
        <v/>
      </c>
      <c r="Q76" s="48" t="str">
        <f t="shared" si="79"/>
        <v/>
      </c>
      <c r="R76" s="48" t="str">
        <f t="shared" si="80"/>
        <v/>
      </c>
      <c r="S76" s="84" t="str">
        <f t="shared" si="81"/>
        <v/>
      </c>
      <c r="T76" s="82" t="str">
        <f t="shared" si="82"/>
        <v/>
      </c>
      <c r="U76" s="48" t="str">
        <f t="shared" si="83"/>
        <v/>
      </c>
      <c r="V76" s="48" t="str">
        <f t="shared" si="84"/>
        <v/>
      </c>
      <c r="W76" s="84" t="str">
        <f t="shared" si="85"/>
        <v/>
      </c>
      <c r="X76" s="82" t="str">
        <f t="shared" si="86"/>
        <v/>
      </c>
      <c r="Y76" s="48" t="str">
        <f t="shared" si="87"/>
        <v/>
      </c>
      <c r="Z76" s="48" t="str">
        <f t="shared" si="88"/>
        <v/>
      </c>
      <c r="AA76" s="84" t="str">
        <f t="shared" si="89"/>
        <v/>
      </c>
      <c r="AB76" s="82" t="str">
        <f t="shared" si="90"/>
        <v/>
      </c>
      <c r="AC76" s="48" t="str">
        <f t="shared" si="91"/>
        <v/>
      </c>
      <c r="AD76" s="48" t="str">
        <f t="shared" si="92"/>
        <v/>
      </c>
      <c r="AE76" s="84" t="str">
        <f t="shared" si="93"/>
        <v/>
      </c>
      <c r="AF76" s="82" t="str">
        <f t="shared" si="94"/>
        <v/>
      </c>
      <c r="AG76" s="48" t="str">
        <f t="shared" si="95"/>
        <v/>
      </c>
      <c r="AH76" s="48" t="str">
        <f t="shared" si="96"/>
        <v/>
      </c>
      <c r="AI76" s="84" t="str">
        <f t="shared" si="97"/>
        <v/>
      </c>
      <c r="AJ76" s="82" t="str">
        <f t="shared" si="98"/>
        <v/>
      </c>
      <c r="AK76" s="48" t="str">
        <f t="shared" si="99"/>
        <v/>
      </c>
      <c r="AL76" s="48" t="str">
        <f t="shared" si="100"/>
        <v/>
      </c>
      <c r="AM76" s="84" t="str">
        <f t="shared" si="101"/>
        <v/>
      </c>
      <c r="AN76" s="82" t="str">
        <f t="shared" si="102"/>
        <v/>
      </c>
      <c r="AO76" s="48" t="str">
        <f t="shared" si="103"/>
        <v/>
      </c>
      <c r="AP76" s="48" t="str">
        <f t="shared" si="104"/>
        <v/>
      </c>
      <c r="AQ76" s="84" t="str">
        <f t="shared" si="105"/>
        <v/>
      </c>
      <c r="AR76" s="82" t="str">
        <f t="shared" si="106"/>
        <v/>
      </c>
      <c r="AS76" s="48" t="str">
        <f t="shared" si="107"/>
        <v/>
      </c>
      <c r="AT76" s="48" t="str">
        <f t="shared" si="108"/>
        <v/>
      </c>
      <c r="AU76" s="84" t="str">
        <f t="shared" si="109"/>
        <v/>
      </c>
      <c r="AV76" s="82" t="str">
        <f t="shared" si="110"/>
        <v/>
      </c>
      <c r="AW76" s="48" t="str">
        <f t="shared" si="111"/>
        <v/>
      </c>
      <c r="AX76" s="48" t="str">
        <f t="shared" si="112"/>
        <v/>
      </c>
      <c r="AY76" s="84" t="str">
        <f t="shared" si="113"/>
        <v/>
      </c>
      <c r="AZ76" s="82" t="str">
        <f t="shared" si="114"/>
        <v/>
      </c>
      <c r="BA76" s="48" t="str">
        <f t="shared" si="115"/>
        <v/>
      </c>
      <c r="BB76" s="48" t="str">
        <f t="shared" si="116"/>
        <v/>
      </c>
      <c r="BC76" s="84" t="str">
        <f t="shared" si="117"/>
        <v/>
      </c>
      <c r="BD76" s="82" t="str">
        <f t="shared" si="118"/>
        <v/>
      </c>
      <c r="BE76" s="48" t="str">
        <f t="shared" si="119"/>
        <v/>
      </c>
      <c r="BF76" s="48" t="str">
        <f t="shared" si="120"/>
        <v/>
      </c>
      <c r="BG76" s="84" t="str">
        <f t="shared" si="121"/>
        <v/>
      </c>
      <c r="BH76" s="87" t="str">
        <f t="shared" si="122"/>
        <v/>
      </c>
      <c r="BI76" s="49" t="str">
        <f t="shared" si="123"/>
        <v/>
      </c>
      <c r="BJ76" s="49" t="str">
        <f t="shared" si="124"/>
        <v/>
      </c>
      <c r="BK76" s="89" t="str">
        <f t="shared" si="125"/>
        <v/>
      </c>
      <c r="BL76" s="87" t="str">
        <f t="shared" si="126"/>
        <v/>
      </c>
      <c r="BM76" s="49" t="str">
        <f t="shared" si="127"/>
        <v/>
      </c>
      <c r="BN76" s="49" t="str">
        <f t="shared" si="128"/>
        <v/>
      </c>
      <c r="BO76" s="89" t="str">
        <f t="shared" si="129"/>
        <v/>
      </c>
      <c r="BP76" s="87" t="str">
        <f t="shared" si="130"/>
        <v/>
      </c>
      <c r="BQ76" s="49" t="str">
        <f t="shared" si="131"/>
        <v/>
      </c>
      <c r="BR76" s="49" t="str">
        <f t="shared" si="132"/>
        <v/>
      </c>
      <c r="BS76" s="89" t="str">
        <f t="shared" si="133"/>
        <v/>
      </c>
      <c r="BT76" s="87" t="str">
        <f t="shared" si="134"/>
        <v/>
      </c>
    </row>
    <row r="77" spans="2:72" s="93" customFormat="1">
      <c r="B77" s="90">
        <f>Weekly!B69</f>
        <v>0</v>
      </c>
      <c r="C77" s="90">
        <f>Weekly!C69</f>
        <v>0</v>
      </c>
      <c r="D77" s="90">
        <f>Weekly!D74</f>
        <v>0</v>
      </c>
      <c r="E77" s="91" t="e">
        <f>VLOOKUP(B77,Team!$B$4:$E$183,4,FALSE)</f>
        <v>#N/A</v>
      </c>
      <c r="F77" s="92" t="str">
        <f>Weekly!M69</f>
        <v/>
      </c>
      <c r="G77" s="92" t="str">
        <f>Weekly!N69</f>
        <v/>
      </c>
      <c r="H77" s="48" t="str">
        <f t="shared" si="70"/>
        <v/>
      </c>
      <c r="I77" s="48" t="str">
        <f t="shared" si="71"/>
        <v/>
      </c>
      <c r="J77" s="48" t="str">
        <f t="shared" si="72"/>
        <v/>
      </c>
      <c r="K77" s="84" t="str">
        <f t="shared" si="73"/>
        <v/>
      </c>
      <c r="L77" s="82" t="str">
        <f t="shared" si="74"/>
        <v/>
      </c>
      <c r="M77" s="48" t="str">
        <f t="shared" si="75"/>
        <v/>
      </c>
      <c r="N77" s="48" t="str">
        <f t="shared" si="76"/>
        <v/>
      </c>
      <c r="O77" s="84" t="str">
        <f t="shared" si="77"/>
        <v/>
      </c>
      <c r="P77" s="82" t="str">
        <f t="shared" si="78"/>
        <v/>
      </c>
      <c r="Q77" s="48" t="str">
        <f t="shared" si="79"/>
        <v/>
      </c>
      <c r="R77" s="48" t="str">
        <f t="shared" si="80"/>
        <v/>
      </c>
      <c r="S77" s="84" t="str">
        <f t="shared" si="81"/>
        <v/>
      </c>
      <c r="T77" s="82" t="str">
        <f t="shared" si="82"/>
        <v/>
      </c>
      <c r="U77" s="48" t="str">
        <f t="shared" si="83"/>
        <v/>
      </c>
      <c r="V77" s="48" t="str">
        <f t="shared" si="84"/>
        <v/>
      </c>
      <c r="W77" s="84" t="str">
        <f t="shared" si="85"/>
        <v/>
      </c>
      <c r="X77" s="82" t="str">
        <f t="shared" si="86"/>
        <v/>
      </c>
      <c r="Y77" s="48" t="str">
        <f t="shared" si="87"/>
        <v/>
      </c>
      <c r="Z77" s="48" t="str">
        <f t="shared" si="88"/>
        <v/>
      </c>
      <c r="AA77" s="84" t="str">
        <f t="shared" si="89"/>
        <v/>
      </c>
      <c r="AB77" s="82" t="str">
        <f t="shared" si="90"/>
        <v/>
      </c>
      <c r="AC77" s="48" t="str">
        <f t="shared" si="91"/>
        <v/>
      </c>
      <c r="AD77" s="48" t="str">
        <f t="shared" si="92"/>
        <v/>
      </c>
      <c r="AE77" s="84" t="str">
        <f t="shared" si="93"/>
        <v/>
      </c>
      <c r="AF77" s="82" t="str">
        <f t="shared" si="94"/>
        <v/>
      </c>
      <c r="AG77" s="48" t="str">
        <f t="shared" si="95"/>
        <v/>
      </c>
      <c r="AH77" s="48" t="str">
        <f t="shared" si="96"/>
        <v/>
      </c>
      <c r="AI77" s="84" t="str">
        <f t="shared" si="97"/>
        <v/>
      </c>
      <c r="AJ77" s="82" t="str">
        <f t="shared" si="98"/>
        <v/>
      </c>
      <c r="AK77" s="48" t="str">
        <f t="shared" si="99"/>
        <v/>
      </c>
      <c r="AL77" s="48" t="str">
        <f t="shared" si="100"/>
        <v/>
      </c>
      <c r="AM77" s="84" t="str">
        <f t="shared" si="101"/>
        <v/>
      </c>
      <c r="AN77" s="82" t="str">
        <f t="shared" si="102"/>
        <v/>
      </c>
      <c r="AO77" s="48" t="str">
        <f t="shared" si="103"/>
        <v/>
      </c>
      <c r="AP77" s="48" t="str">
        <f t="shared" si="104"/>
        <v/>
      </c>
      <c r="AQ77" s="84" t="str">
        <f t="shared" si="105"/>
        <v/>
      </c>
      <c r="AR77" s="82" t="str">
        <f t="shared" si="106"/>
        <v/>
      </c>
      <c r="AS77" s="48" t="str">
        <f t="shared" si="107"/>
        <v/>
      </c>
      <c r="AT77" s="48" t="str">
        <f t="shared" si="108"/>
        <v/>
      </c>
      <c r="AU77" s="84" t="str">
        <f t="shared" si="109"/>
        <v/>
      </c>
      <c r="AV77" s="82" t="str">
        <f t="shared" si="110"/>
        <v/>
      </c>
      <c r="AW77" s="48" t="str">
        <f t="shared" si="111"/>
        <v/>
      </c>
      <c r="AX77" s="48" t="str">
        <f t="shared" si="112"/>
        <v/>
      </c>
      <c r="AY77" s="84" t="str">
        <f t="shared" si="113"/>
        <v/>
      </c>
      <c r="AZ77" s="82" t="str">
        <f t="shared" si="114"/>
        <v/>
      </c>
      <c r="BA77" s="48" t="str">
        <f t="shared" si="115"/>
        <v/>
      </c>
      <c r="BB77" s="48" t="str">
        <f t="shared" si="116"/>
        <v/>
      </c>
      <c r="BC77" s="84" t="str">
        <f t="shared" si="117"/>
        <v/>
      </c>
      <c r="BD77" s="82" t="str">
        <f t="shared" si="118"/>
        <v/>
      </c>
      <c r="BE77" s="48" t="str">
        <f t="shared" si="119"/>
        <v/>
      </c>
      <c r="BF77" s="48" t="str">
        <f t="shared" si="120"/>
        <v/>
      </c>
      <c r="BG77" s="84" t="str">
        <f t="shared" si="121"/>
        <v/>
      </c>
      <c r="BH77" s="87" t="str">
        <f t="shared" si="122"/>
        <v/>
      </c>
      <c r="BI77" s="49" t="str">
        <f t="shared" si="123"/>
        <v/>
      </c>
      <c r="BJ77" s="49" t="str">
        <f t="shared" si="124"/>
        <v/>
      </c>
      <c r="BK77" s="89" t="str">
        <f t="shared" si="125"/>
        <v/>
      </c>
      <c r="BL77" s="87" t="str">
        <f t="shared" si="126"/>
        <v/>
      </c>
      <c r="BM77" s="49" t="str">
        <f t="shared" si="127"/>
        <v/>
      </c>
      <c r="BN77" s="49" t="str">
        <f t="shared" si="128"/>
        <v/>
      </c>
      <c r="BO77" s="89" t="str">
        <f t="shared" si="129"/>
        <v/>
      </c>
      <c r="BP77" s="87" t="str">
        <f t="shared" si="130"/>
        <v/>
      </c>
      <c r="BQ77" s="49" t="str">
        <f t="shared" si="131"/>
        <v/>
      </c>
      <c r="BR77" s="49" t="str">
        <f t="shared" si="132"/>
        <v/>
      </c>
      <c r="BS77" s="89" t="str">
        <f t="shared" si="133"/>
        <v/>
      </c>
      <c r="BT77" s="87" t="str">
        <f t="shared" si="134"/>
        <v/>
      </c>
    </row>
    <row r="78" spans="2:72" s="93" customFormat="1">
      <c r="B78" s="90">
        <f>Weekly!B70</f>
        <v>0</v>
      </c>
      <c r="C78" s="90">
        <f>Weekly!C70</f>
        <v>0</v>
      </c>
      <c r="D78" s="90">
        <f>Weekly!D75</f>
        <v>0</v>
      </c>
      <c r="E78" s="91" t="e">
        <f>VLOOKUP(B78,Team!$B$4:$E$183,4,FALSE)</f>
        <v>#N/A</v>
      </c>
      <c r="F78" s="92" t="str">
        <f>Weekly!M70</f>
        <v/>
      </c>
      <c r="G78" s="92" t="str">
        <f>Weekly!N70</f>
        <v/>
      </c>
      <c r="H78" s="48" t="str">
        <f t="shared" si="70"/>
        <v/>
      </c>
      <c r="I78" s="48" t="str">
        <f t="shared" si="71"/>
        <v/>
      </c>
      <c r="J78" s="48" t="str">
        <f t="shared" si="72"/>
        <v/>
      </c>
      <c r="K78" s="84" t="str">
        <f t="shared" si="73"/>
        <v/>
      </c>
      <c r="L78" s="82" t="str">
        <f t="shared" si="74"/>
        <v/>
      </c>
      <c r="M78" s="48" t="str">
        <f t="shared" si="75"/>
        <v/>
      </c>
      <c r="N78" s="48" t="str">
        <f t="shared" si="76"/>
        <v/>
      </c>
      <c r="O78" s="84" t="str">
        <f t="shared" si="77"/>
        <v/>
      </c>
      <c r="P78" s="82" t="str">
        <f t="shared" si="78"/>
        <v/>
      </c>
      <c r="Q78" s="48" t="str">
        <f t="shared" si="79"/>
        <v/>
      </c>
      <c r="R78" s="48" t="str">
        <f t="shared" si="80"/>
        <v/>
      </c>
      <c r="S78" s="84" t="str">
        <f t="shared" si="81"/>
        <v/>
      </c>
      <c r="T78" s="82" t="str">
        <f t="shared" si="82"/>
        <v/>
      </c>
      <c r="U78" s="48" t="str">
        <f t="shared" si="83"/>
        <v/>
      </c>
      <c r="V78" s="48" t="str">
        <f t="shared" si="84"/>
        <v/>
      </c>
      <c r="W78" s="84" t="str">
        <f t="shared" si="85"/>
        <v/>
      </c>
      <c r="X78" s="82" t="str">
        <f t="shared" si="86"/>
        <v/>
      </c>
      <c r="Y78" s="48" t="str">
        <f t="shared" si="87"/>
        <v/>
      </c>
      <c r="Z78" s="48" t="str">
        <f t="shared" si="88"/>
        <v/>
      </c>
      <c r="AA78" s="84" t="str">
        <f t="shared" si="89"/>
        <v/>
      </c>
      <c r="AB78" s="82" t="str">
        <f t="shared" si="90"/>
        <v/>
      </c>
      <c r="AC78" s="48" t="str">
        <f t="shared" si="91"/>
        <v/>
      </c>
      <c r="AD78" s="48" t="str">
        <f t="shared" si="92"/>
        <v/>
      </c>
      <c r="AE78" s="84" t="str">
        <f t="shared" si="93"/>
        <v/>
      </c>
      <c r="AF78" s="82" t="str">
        <f t="shared" si="94"/>
        <v/>
      </c>
      <c r="AG78" s="48" t="str">
        <f t="shared" si="95"/>
        <v/>
      </c>
      <c r="AH78" s="48" t="str">
        <f t="shared" si="96"/>
        <v/>
      </c>
      <c r="AI78" s="84" t="str">
        <f t="shared" si="97"/>
        <v/>
      </c>
      <c r="AJ78" s="82" t="str">
        <f t="shared" si="98"/>
        <v/>
      </c>
      <c r="AK78" s="48" t="str">
        <f t="shared" si="99"/>
        <v/>
      </c>
      <c r="AL78" s="48" t="str">
        <f t="shared" si="100"/>
        <v/>
      </c>
      <c r="AM78" s="84" t="str">
        <f t="shared" si="101"/>
        <v/>
      </c>
      <c r="AN78" s="82" t="str">
        <f t="shared" si="102"/>
        <v/>
      </c>
      <c r="AO78" s="48" t="str">
        <f t="shared" si="103"/>
        <v/>
      </c>
      <c r="AP78" s="48" t="str">
        <f t="shared" si="104"/>
        <v/>
      </c>
      <c r="AQ78" s="84" t="str">
        <f t="shared" si="105"/>
        <v/>
      </c>
      <c r="AR78" s="82" t="str">
        <f t="shared" si="106"/>
        <v/>
      </c>
      <c r="AS78" s="48" t="str">
        <f t="shared" si="107"/>
        <v/>
      </c>
      <c r="AT78" s="48" t="str">
        <f t="shared" si="108"/>
        <v/>
      </c>
      <c r="AU78" s="84" t="str">
        <f t="shared" si="109"/>
        <v/>
      </c>
      <c r="AV78" s="82" t="str">
        <f t="shared" si="110"/>
        <v/>
      </c>
      <c r="AW78" s="48" t="str">
        <f t="shared" si="111"/>
        <v/>
      </c>
      <c r="AX78" s="48" t="str">
        <f t="shared" si="112"/>
        <v/>
      </c>
      <c r="AY78" s="84" t="str">
        <f t="shared" si="113"/>
        <v/>
      </c>
      <c r="AZ78" s="82" t="str">
        <f t="shared" si="114"/>
        <v/>
      </c>
      <c r="BA78" s="48" t="str">
        <f t="shared" si="115"/>
        <v/>
      </c>
      <c r="BB78" s="48" t="str">
        <f t="shared" si="116"/>
        <v/>
      </c>
      <c r="BC78" s="84" t="str">
        <f t="shared" si="117"/>
        <v/>
      </c>
      <c r="BD78" s="82" t="str">
        <f t="shared" si="118"/>
        <v/>
      </c>
      <c r="BE78" s="48" t="str">
        <f t="shared" si="119"/>
        <v/>
      </c>
      <c r="BF78" s="48" t="str">
        <f t="shared" si="120"/>
        <v/>
      </c>
      <c r="BG78" s="84" t="str">
        <f t="shared" si="121"/>
        <v/>
      </c>
      <c r="BH78" s="87" t="str">
        <f t="shared" si="122"/>
        <v/>
      </c>
      <c r="BI78" s="49" t="str">
        <f t="shared" si="123"/>
        <v/>
      </c>
      <c r="BJ78" s="49" t="str">
        <f t="shared" si="124"/>
        <v/>
      </c>
      <c r="BK78" s="89" t="str">
        <f t="shared" si="125"/>
        <v/>
      </c>
      <c r="BL78" s="87" t="str">
        <f t="shared" si="126"/>
        <v/>
      </c>
      <c r="BM78" s="49" t="str">
        <f t="shared" si="127"/>
        <v/>
      </c>
      <c r="BN78" s="49" t="str">
        <f t="shared" si="128"/>
        <v/>
      </c>
      <c r="BO78" s="89" t="str">
        <f t="shared" si="129"/>
        <v/>
      </c>
      <c r="BP78" s="87" t="str">
        <f t="shared" si="130"/>
        <v/>
      </c>
      <c r="BQ78" s="49" t="str">
        <f t="shared" si="131"/>
        <v/>
      </c>
      <c r="BR78" s="49" t="str">
        <f t="shared" si="132"/>
        <v/>
      </c>
      <c r="BS78" s="89" t="str">
        <f t="shared" si="133"/>
        <v/>
      </c>
      <c r="BT78" s="87" t="str">
        <f t="shared" si="134"/>
        <v/>
      </c>
    </row>
    <row r="79" spans="2:72" s="93" customFormat="1">
      <c r="B79" s="90">
        <f>Weekly!B71</f>
        <v>0</v>
      </c>
      <c r="C79" s="90">
        <f>Weekly!C71</f>
        <v>0</v>
      </c>
      <c r="D79" s="90">
        <f>Weekly!D76</f>
        <v>0</v>
      </c>
      <c r="E79" s="91" t="e">
        <f>VLOOKUP(B79,Team!$B$4:$E$183,4,FALSE)</f>
        <v>#N/A</v>
      </c>
      <c r="F79" s="92" t="str">
        <f>Weekly!M71</f>
        <v/>
      </c>
      <c r="G79" s="92" t="str">
        <f>Weekly!N71</f>
        <v/>
      </c>
      <c r="H79" s="48" t="str">
        <f t="shared" si="70"/>
        <v/>
      </c>
      <c r="I79" s="48" t="str">
        <f t="shared" si="71"/>
        <v/>
      </c>
      <c r="J79" s="48" t="str">
        <f t="shared" si="72"/>
        <v/>
      </c>
      <c r="K79" s="84" t="str">
        <f t="shared" si="73"/>
        <v/>
      </c>
      <c r="L79" s="82" t="str">
        <f t="shared" si="74"/>
        <v/>
      </c>
      <c r="M79" s="48" t="str">
        <f t="shared" si="75"/>
        <v/>
      </c>
      <c r="N79" s="48" t="str">
        <f t="shared" si="76"/>
        <v/>
      </c>
      <c r="O79" s="84" t="str">
        <f t="shared" si="77"/>
        <v/>
      </c>
      <c r="P79" s="82" t="str">
        <f t="shared" si="78"/>
        <v/>
      </c>
      <c r="Q79" s="48" t="str">
        <f t="shared" si="79"/>
        <v/>
      </c>
      <c r="R79" s="48" t="str">
        <f t="shared" si="80"/>
        <v/>
      </c>
      <c r="S79" s="84" t="str">
        <f t="shared" si="81"/>
        <v/>
      </c>
      <c r="T79" s="82" t="str">
        <f t="shared" si="82"/>
        <v/>
      </c>
      <c r="U79" s="48" t="str">
        <f t="shared" si="83"/>
        <v/>
      </c>
      <c r="V79" s="48" t="str">
        <f t="shared" si="84"/>
        <v/>
      </c>
      <c r="W79" s="84" t="str">
        <f t="shared" si="85"/>
        <v/>
      </c>
      <c r="X79" s="82" t="str">
        <f t="shared" si="86"/>
        <v/>
      </c>
      <c r="Y79" s="48" t="str">
        <f t="shared" si="87"/>
        <v/>
      </c>
      <c r="Z79" s="48" t="str">
        <f t="shared" si="88"/>
        <v/>
      </c>
      <c r="AA79" s="84" t="str">
        <f t="shared" si="89"/>
        <v/>
      </c>
      <c r="AB79" s="82" t="str">
        <f t="shared" si="90"/>
        <v/>
      </c>
      <c r="AC79" s="48" t="str">
        <f t="shared" si="91"/>
        <v/>
      </c>
      <c r="AD79" s="48" t="str">
        <f t="shared" si="92"/>
        <v/>
      </c>
      <c r="AE79" s="84" t="str">
        <f t="shared" si="93"/>
        <v/>
      </c>
      <c r="AF79" s="82" t="str">
        <f t="shared" si="94"/>
        <v/>
      </c>
      <c r="AG79" s="48" t="str">
        <f t="shared" si="95"/>
        <v/>
      </c>
      <c r="AH79" s="48" t="str">
        <f t="shared" si="96"/>
        <v/>
      </c>
      <c r="AI79" s="84" t="str">
        <f t="shared" si="97"/>
        <v/>
      </c>
      <c r="AJ79" s="82" t="str">
        <f t="shared" si="98"/>
        <v/>
      </c>
      <c r="AK79" s="48" t="str">
        <f t="shared" si="99"/>
        <v/>
      </c>
      <c r="AL79" s="48" t="str">
        <f t="shared" si="100"/>
        <v/>
      </c>
      <c r="AM79" s="84" t="str">
        <f t="shared" si="101"/>
        <v/>
      </c>
      <c r="AN79" s="82" t="str">
        <f t="shared" si="102"/>
        <v/>
      </c>
      <c r="AO79" s="48" t="str">
        <f t="shared" si="103"/>
        <v/>
      </c>
      <c r="AP79" s="48" t="str">
        <f t="shared" si="104"/>
        <v/>
      </c>
      <c r="AQ79" s="84" t="str">
        <f t="shared" si="105"/>
        <v/>
      </c>
      <c r="AR79" s="82" t="str">
        <f t="shared" si="106"/>
        <v/>
      </c>
      <c r="AS79" s="48" t="str">
        <f t="shared" si="107"/>
        <v/>
      </c>
      <c r="AT79" s="48" t="str">
        <f t="shared" si="108"/>
        <v/>
      </c>
      <c r="AU79" s="84" t="str">
        <f t="shared" si="109"/>
        <v/>
      </c>
      <c r="AV79" s="82" t="str">
        <f t="shared" si="110"/>
        <v/>
      </c>
      <c r="AW79" s="48" t="str">
        <f t="shared" si="111"/>
        <v/>
      </c>
      <c r="AX79" s="48" t="str">
        <f t="shared" si="112"/>
        <v/>
      </c>
      <c r="AY79" s="84" t="str">
        <f t="shared" si="113"/>
        <v/>
      </c>
      <c r="AZ79" s="82" t="str">
        <f t="shared" si="114"/>
        <v/>
      </c>
      <c r="BA79" s="48" t="str">
        <f t="shared" si="115"/>
        <v/>
      </c>
      <c r="BB79" s="48" t="str">
        <f t="shared" si="116"/>
        <v/>
      </c>
      <c r="BC79" s="84" t="str">
        <f t="shared" si="117"/>
        <v/>
      </c>
      <c r="BD79" s="82" t="str">
        <f t="shared" si="118"/>
        <v/>
      </c>
      <c r="BE79" s="48" t="str">
        <f t="shared" si="119"/>
        <v/>
      </c>
      <c r="BF79" s="48" t="str">
        <f t="shared" si="120"/>
        <v/>
      </c>
      <c r="BG79" s="84" t="str">
        <f t="shared" si="121"/>
        <v/>
      </c>
      <c r="BH79" s="87" t="str">
        <f t="shared" si="122"/>
        <v/>
      </c>
      <c r="BI79" s="49" t="str">
        <f t="shared" si="123"/>
        <v/>
      </c>
      <c r="BJ79" s="49" t="str">
        <f t="shared" si="124"/>
        <v/>
      </c>
      <c r="BK79" s="89" t="str">
        <f t="shared" si="125"/>
        <v/>
      </c>
      <c r="BL79" s="87" t="str">
        <f t="shared" si="126"/>
        <v/>
      </c>
      <c r="BM79" s="49" t="str">
        <f t="shared" si="127"/>
        <v/>
      </c>
      <c r="BN79" s="49" t="str">
        <f t="shared" si="128"/>
        <v/>
      </c>
      <c r="BO79" s="89" t="str">
        <f t="shared" si="129"/>
        <v/>
      </c>
      <c r="BP79" s="87" t="str">
        <f t="shared" si="130"/>
        <v/>
      </c>
      <c r="BQ79" s="49" t="str">
        <f t="shared" si="131"/>
        <v/>
      </c>
      <c r="BR79" s="49" t="str">
        <f t="shared" si="132"/>
        <v/>
      </c>
      <c r="BS79" s="89" t="str">
        <f t="shared" si="133"/>
        <v/>
      </c>
      <c r="BT79" s="87" t="str">
        <f t="shared" si="134"/>
        <v/>
      </c>
    </row>
    <row r="80" spans="2:72" s="93" customFormat="1">
      <c r="B80" s="90">
        <f>Weekly!B72</f>
        <v>0</v>
      </c>
      <c r="C80" s="90">
        <f>Weekly!C72</f>
        <v>0</v>
      </c>
      <c r="D80" s="90">
        <f>Weekly!D77</f>
        <v>0</v>
      </c>
      <c r="E80" s="91" t="e">
        <f>VLOOKUP(B80,Team!$B$4:$E$183,4,FALSE)</f>
        <v>#N/A</v>
      </c>
      <c r="F80" s="92" t="str">
        <f>Weekly!M72</f>
        <v/>
      </c>
      <c r="G80" s="92" t="str">
        <f>Weekly!N72</f>
        <v/>
      </c>
      <c r="H80" s="48" t="str">
        <f t="shared" si="70"/>
        <v/>
      </c>
      <c r="I80" s="48" t="str">
        <f t="shared" si="71"/>
        <v/>
      </c>
      <c r="J80" s="48" t="str">
        <f t="shared" si="72"/>
        <v/>
      </c>
      <c r="K80" s="84" t="str">
        <f t="shared" si="73"/>
        <v/>
      </c>
      <c r="L80" s="82" t="str">
        <f t="shared" si="74"/>
        <v/>
      </c>
      <c r="M80" s="48" t="str">
        <f t="shared" si="75"/>
        <v/>
      </c>
      <c r="N80" s="48" t="str">
        <f t="shared" si="76"/>
        <v/>
      </c>
      <c r="O80" s="84" t="str">
        <f t="shared" si="77"/>
        <v/>
      </c>
      <c r="P80" s="82" t="str">
        <f t="shared" si="78"/>
        <v/>
      </c>
      <c r="Q80" s="48" t="str">
        <f t="shared" si="79"/>
        <v/>
      </c>
      <c r="R80" s="48" t="str">
        <f t="shared" si="80"/>
        <v/>
      </c>
      <c r="S80" s="84" t="str">
        <f t="shared" si="81"/>
        <v/>
      </c>
      <c r="T80" s="82" t="str">
        <f t="shared" si="82"/>
        <v/>
      </c>
      <c r="U80" s="48" t="str">
        <f t="shared" si="83"/>
        <v/>
      </c>
      <c r="V80" s="48" t="str">
        <f t="shared" si="84"/>
        <v/>
      </c>
      <c r="W80" s="84" t="str">
        <f t="shared" si="85"/>
        <v/>
      </c>
      <c r="X80" s="82" t="str">
        <f t="shared" si="86"/>
        <v/>
      </c>
      <c r="Y80" s="48" t="str">
        <f t="shared" si="87"/>
        <v/>
      </c>
      <c r="Z80" s="48" t="str">
        <f t="shared" si="88"/>
        <v/>
      </c>
      <c r="AA80" s="84" t="str">
        <f t="shared" si="89"/>
        <v/>
      </c>
      <c r="AB80" s="82" t="str">
        <f t="shared" si="90"/>
        <v/>
      </c>
      <c r="AC80" s="48" t="str">
        <f t="shared" si="91"/>
        <v/>
      </c>
      <c r="AD80" s="48" t="str">
        <f t="shared" si="92"/>
        <v/>
      </c>
      <c r="AE80" s="84" t="str">
        <f t="shared" si="93"/>
        <v/>
      </c>
      <c r="AF80" s="82" t="str">
        <f t="shared" si="94"/>
        <v/>
      </c>
      <c r="AG80" s="48" t="str">
        <f t="shared" si="95"/>
        <v/>
      </c>
      <c r="AH80" s="48" t="str">
        <f t="shared" si="96"/>
        <v/>
      </c>
      <c r="AI80" s="84" t="str">
        <f t="shared" si="97"/>
        <v/>
      </c>
      <c r="AJ80" s="82" t="str">
        <f t="shared" si="98"/>
        <v/>
      </c>
      <c r="AK80" s="48" t="str">
        <f t="shared" si="99"/>
        <v/>
      </c>
      <c r="AL80" s="48" t="str">
        <f t="shared" si="100"/>
        <v/>
      </c>
      <c r="AM80" s="84" t="str">
        <f t="shared" si="101"/>
        <v/>
      </c>
      <c r="AN80" s="82" t="str">
        <f t="shared" si="102"/>
        <v/>
      </c>
      <c r="AO80" s="48" t="str">
        <f t="shared" si="103"/>
        <v/>
      </c>
      <c r="AP80" s="48" t="str">
        <f t="shared" si="104"/>
        <v/>
      </c>
      <c r="AQ80" s="84" t="str">
        <f t="shared" si="105"/>
        <v/>
      </c>
      <c r="AR80" s="82" t="str">
        <f t="shared" si="106"/>
        <v/>
      </c>
      <c r="AS80" s="48" t="str">
        <f t="shared" si="107"/>
        <v/>
      </c>
      <c r="AT80" s="48" t="str">
        <f t="shared" si="108"/>
        <v/>
      </c>
      <c r="AU80" s="84" t="str">
        <f t="shared" si="109"/>
        <v/>
      </c>
      <c r="AV80" s="82" t="str">
        <f t="shared" si="110"/>
        <v/>
      </c>
      <c r="AW80" s="48" t="str">
        <f t="shared" si="111"/>
        <v/>
      </c>
      <c r="AX80" s="48" t="str">
        <f t="shared" si="112"/>
        <v/>
      </c>
      <c r="AY80" s="84" t="str">
        <f t="shared" si="113"/>
        <v/>
      </c>
      <c r="AZ80" s="82" t="str">
        <f t="shared" si="114"/>
        <v/>
      </c>
      <c r="BA80" s="48" t="str">
        <f t="shared" si="115"/>
        <v/>
      </c>
      <c r="BB80" s="48" t="str">
        <f t="shared" si="116"/>
        <v/>
      </c>
      <c r="BC80" s="84" t="str">
        <f t="shared" si="117"/>
        <v/>
      </c>
      <c r="BD80" s="82" t="str">
        <f t="shared" si="118"/>
        <v/>
      </c>
      <c r="BE80" s="48" t="str">
        <f t="shared" si="119"/>
        <v/>
      </c>
      <c r="BF80" s="48" t="str">
        <f t="shared" si="120"/>
        <v/>
      </c>
      <c r="BG80" s="84" t="str">
        <f t="shared" si="121"/>
        <v/>
      </c>
      <c r="BH80" s="87" t="str">
        <f t="shared" si="122"/>
        <v/>
      </c>
      <c r="BI80" s="49" t="str">
        <f t="shared" si="123"/>
        <v/>
      </c>
      <c r="BJ80" s="49" t="str">
        <f t="shared" si="124"/>
        <v/>
      </c>
      <c r="BK80" s="89" t="str">
        <f t="shared" si="125"/>
        <v/>
      </c>
      <c r="BL80" s="87" t="str">
        <f t="shared" si="126"/>
        <v/>
      </c>
      <c r="BM80" s="49" t="str">
        <f t="shared" si="127"/>
        <v/>
      </c>
      <c r="BN80" s="49" t="str">
        <f t="shared" si="128"/>
        <v/>
      </c>
      <c r="BO80" s="89" t="str">
        <f t="shared" si="129"/>
        <v/>
      </c>
      <c r="BP80" s="87" t="str">
        <f t="shared" si="130"/>
        <v/>
      </c>
      <c r="BQ80" s="49" t="str">
        <f t="shared" si="131"/>
        <v/>
      </c>
      <c r="BR80" s="49" t="str">
        <f t="shared" si="132"/>
        <v/>
      </c>
      <c r="BS80" s="89" t="str">
        <f t="shared" si="133"/>
        <v/>
      </c>
      <c r="BT80" s="87" t="str">
        <f t="shared" si="134"/>
        <v/>
      </c>
    </row>
    <row r="81" spans="2:72" s="93" customFormat="1">
      <c r="B81" s="90">
        <f>Weekly!B73</f>
        <v>0</v>
      </c>
      <c r="C81" s="90">
        <f>Weekly!C73</f>
        <v>0</v>
      </c>
      <c r="D81" s="90">
        <f>Weekly!D78</f>
        <v>0</v>
      </c>
      <c r="E81" s="91" t="e">
        <f>VLOOKUP(B81,Team!$B$4:$E$183,4,FALSE)</f>
        <v>#N/A</v>
      </c>
      <c r="F81" s="92" t="str">
        <f>Weekly!M73</f>
        <v/>
      </c>
      <c r="G81" s="92" t="str">
        <f>Weekly!N73</f>
        <v/>
      </c>
      <c r="H81" s="48" t="str">
        <f t="shared" ref="H81:H103" si="135">IF(AND($H$12&gt;=$F81,$H$12&lt;$G81),$E81,"")</f>
        <v/>
      </c>
      <c r="I81" s="48" t="str">
        <f t="shared" ref="I81:I103" si="136">IF(AND($I$12&gt;=$F81,$I$12&lt;$G81),$E81,"")</f>
        <v/>
      </c>
      <c r="J81" s="48" t="str">
        <f t="shared" ref="J81:J103" si="137">IF(AND($J$12&gt;=$F81,$J$12&lt;$G81),$E81,"")</f>
        <v/>
      </c>
      <c r="K81" s="84" t="str">
        <f t="shared" ref="K81:K103" si="138">IF(AND($K$12&gt;=$F81,$K$12&lt;$G81),$E81,"")</f>
        <v/>
      </c>
      <c r="L81" s="82" t="str">
        <f t="shared" ref="L81:L103" si="139">IF(AND($L$12&gt;=$F81,$L$12&lt;$G81),$E81,"")</f>
        <v/>
      </c>
      <c r="M81" s="48" t="str">
        <f t="shared" ref="M81:M103" si="140">IF(AND($M$12&gt;=$F81,$M$12&lt;$G81),$E81,"")</f>
        <v/>
      </c>
      <c r="N81" s="48" t="str">
        <f t="shared" ref="N81:N103" si="141">IF(AND($N$12&gt;=$F81,$N$12&lt;$G81),$E81,"")</f>
        <v/>
      </c>
      <c r="O81" s="84" t="str">
        <f t="shared" ref="O81:O103" si="142">IF(AND($O$12&gt;=$F81,$O$12&lt;$G81),$E81,"")</f>
        <v/>
      </c>
      <c r="P81" s="82" t="str">
        <f t="shared" ref="P81:P103" si="143">IF(AND($P$12&gt;=$F81,$P$12&lt;$G81),$E81,"")</f>
        <v/>
      </c>
      <c r="Q81" s="48" t="str">
        <f t="shared" ref="Q81:Q103" si="144">IF(AND($Q$12&gt;=$F81,$Q$12&lt;$G81),$E81,"")</f>
        <v/>
      </c>
      <c r="R81" s="48" t="str">
        <f t="shared" ref="R81:R103" si="145">IF(AND($R$12&gt;=$F81,$R$12&lt;$G81),$E81,"")</f>
        <v/>
      </c>
      <c r="S81" s="84" t="str">
        <f t="shared" ref="S81:S103" si="146">IF(AND($S$12&gt;=$F81,$S$12&lt;$G81),$E81,"")</f>
        <v/>
      </c>
      <c r="T81" s="82" t="str">
        <f t="shared" ref="T81:T103" si="147">IF(AND($T$12&gt;=$F81,$T$12&lt;$G81),$E81,"")</f>
        <v/>
      </c>
      <c r="U81" s="48" t="str">
        <f t="shared" ref="U81:U103" si="148">IF(AND($U$12&gt;=$F81,$U$12&lt;$G81),$E81,"")</f>
        <v/>
      </c>
      <c r="V81" s="48" t="str">
        <f t="shared" ref="V81:V103" si="149">IF(AND($V$12&gt;=$F81,$V$12&lt;$G81),$E81,"")</f>
        <v/>
      </c>
      <c r="W81" s="84" t="str">
        <f t="shared" ref="W81:W103" si="150">IF(AND($W$12&gt;=$F81,$W$12&lt;$G81),$E81,"")</f>
        <v/>
      </c>
      <c r="X81" s="82" t="str">
        <f t="shared" ref="X81:X103" si="151">IF(AND($X$12&gt;=$F81,$X$12&lt;$G81),$E81,"")</f>
        <v/>
      </c>
      <c r="Y81" s="48" t="str">
        <f t="shared" ref="Y81:Y103" si="152">IF(AND($Y$12&gt;=$F81,$Y$12&lt;$G81),$E81,"")</f>
        <v/>
      </c>
      <c r="Z81" s="48" t="str">
        <f t="shared" ref="Z81:Z103" si="153">IF(AND($Z$12&gt;=$F81,$Z$12&lt;$G81),$E81,"")</f>
        <v/>
      </c>
      <c r="AA81" s="84" t="str">
        <f t="shared" ref="AA81:AA103" si="154">IF(AND($AA$12&gt;=$F81,$AA$12&lt;$G81),$E81,"")</f>
        <v/>
      </c>
      <c r="AB81" s="82" t="str">
        <f t="shared" ref="AB81:AB103" si="155">IF(AND($AB$12&gt;=$F81,$AB$12&lt;$G81),$E81,"")</f>
        <v/>
      </c>
      <c r="AC81" s="48" t="str">
        <f t="shared" ref="AC81:AC103" si="156">IF(AND($AC$12&gt;=$F81,$AC$12&lt;$G81),$E81,"")</f>
        <v/>
      </c>
      <c r="AD81" s="48" t="str">
        <f t="shared" ref="AD81:AD103" si="157">IF(AND($AD$12&gt;=$F81,$AD$12&lt;$G81),$E81,"")</f>
        <v/>
      </c>
      <c r="AE81" s="84" t="str">
        <f t="shared" ref="AE81:AE103" si="158">IF(AND($AE$12&gt;=$F81,$AE$12&lt;$G81),$E81,"")</f>
        <v/>
      </c>
      <c r="AF81" s="82" t="str">
        <f t="shared" ref="AF81:AF103" si="159">IF(AND($AF$12&gt;=$F81,$AF$12&lt;$G81),$E81,"")</f>
        <v/>
      </c>
      <c r="AG81" s="48" t="str">
        <f t="shared" ref="AG81:AG103" si="160">IF(AND($AG$12&gt;=$F81,$AG$12&lt;$G81),$E81,"")</f>
        <v/>
      </c>
      <c r="AH81" s="48" t="str">
        <f t="shared" ref="AH81:AH103" si="161">IF(AND($AH$12&gt;=$F81,$AH$12&lt;$G81),$E81,"")</f>
        <v/>
      </c>
      <c r="AI81" s="84" t="str">
        <f t="shared" ref="AI81:AI103" si="162">IF(AND($AI$12&gt;=$F81,$AI$12&lt;$G81),$E81,"")</f>
        <v/>
      </c>
      <c r="AJ81" s="82" t="str">
        <f t="shared" ref="AJ81:AJ103" si="163">IF(AND($AJ$12&gt;=$F81,$AJ$12&lt;$G81),$E81,"")</f>
        <v/>
      </c>
      <c r="AK81" s="48" t="str">
        <f t="shared" ref="AK81:AK103" si="164">IF(AND($AK$12&gt;=$F81,$AK$12&lt;$G81),$E81,"")</f>
        <v/>
      </c>
      <c r="AL81" s="48" t="str">
        <f t="shared" ref="AL81:AL103" si="165">IF(AND($AL$12&gt;=$F81,$AL$12&lt;$G81),$E81,"")</f>
        <v/>
      </c>
      <c r="AM81" s="84" t="str">
        <f t="shared" ref="AM81:AM103" si="166">IF(AND($AM$12&gt;=$F81,$AM$12&lt;$G81),$E81,"")</f>
        <v/>
      </c>
      <c r="AN81" s="82" t="str">
        <f t="shared" ref="AN81:AN103" si="167">IF(AND($AN$12&gt;=$F81,$AN$12&lt;$G81),$E81,"")</f>
        <v/>
      </c>
      <c r="AO81" s="48" t="str">
        <f t="shared" ref="AO81:AO103" si="168">IF(AND($AO$12&gt;=$F81,$AO$12&lt;$G81),$E81,"")</f>
        <v/>
      </c>
      <c r="AP81" s="48" t="str">
        <f t="shared" ref="AP81:AP103" si="169">IF(AND($AP$12&gt;=$F81,$AP$12&lt;$G81),$E81,"")</f>
        <v/>
      </c>
      <c r="AQ81" s="84" t="str">
        <f t="shared" ref="AQ81:AQ103" si="170">IF(AND($AQ$12&gt;=$F81,$AQ$12&lt;$G81),$E81,"")</f>
        <v/>
      </c>
      <c r="AR81" s="82" t="str">
        <f t="shared" ref="AR81:AR103" si="171">IF(AND($AR$12&gt;=$F81,$AR$12&lt;$G81),$E81,"")</f>
        <v/>
      </c>
      <c r="AS81" s="48" t="str">
        <f t="shared" ref="AS81:AS103" si="172">IF(AND($AS$12&gt;=$F81,$AS$12&lt;$G81),$E81,"")</f>
        <v/>
      </c>
      <c r="AT81" s="48" t="str">
        <f t="shared" ref="AT81:AT103" si="173">IF(AND($AT$12&gt;=$F81,$AT$12&lt;$G81),$E81,"")</f>
        <v/>
      </c>
      <c r="AU81" s="84" t="str">
        <f t="shared" ref="AU81:AU103" si="174">IF(AND($AU$12&gt;=$F81,$AU$12&lt;$G81),$E81,"")</f>
        <v/>
      </c>
      <c r="AV81" s="82" t="str">
        <f t="shared" ref="AV81:AV103" si="175">IF(AND($AV$12&gt;=$F81,$AV$12&lt;$G81),$E81,"")</f>
        <v/>
      </c>
      <c r="AW81" s="48" t="str">
        <f t="shared" ref="AW81:AW103" si="176">IF(AND($AW$12&gt;=$F81,$AW$12&lt;$G81),$E81,"")</f>
        <v/>
      </c>
      <c r="AX81" s="48" t="str">
        <f t="shared" ref="AX81:AX103" si="177">IF(AND($AX$12&gt;=$F81,$AX$12&lt;$G81),$E81,"")</f>
        <v/>
      </c>
      <c r="AY81" s="84" t="str">
        <f t="shared" ref="AY81:AY103" si="178">IF(AND($AY$12&gt;=$F81,$AY$12&lt;$G81),$E81,"")</f>
        <v/>
      </c>
      <c r="AZ81" s="82" t="str">
        <f t="shared" ref="AZ81:AZ103" si="179">IF(AND($AZ$12&gt;=$F81,$AZ$12&lt;$G81),$E81,"")</f>
        <v/>
      </c>
      <c r="BA81" s="48" t="str">
        <f t="shared" ref="BA81:BA103" si="180">IF(AND($BA$12&gt;=$F81,$BA$12&lt;$G81),$E81,"")</f>
        <v/>
      </c>
      <c r="BB81" s="48" t="str">
        <f t="shared" ref="BB81:BB103" si="181">IF(AND($BB$12&gt;=$F81,$BB$12&lt;$G81),$E81,"")</f>
        <v/>
      </c>
      <c r="BC81" s="84" t="str">
        <f t="shared" ref="BC81:BC103" si="182">IF(AND($BC$12&gt;=$F81,$BC$12&lt;$G81),$E81,"")</f>
        <v/>
      </c>
      <c r="BD81" s="82" t="str">
        <f t="shared" ref="BD81:BD103" si="183">IF(AND($BD$12&gt;=$F81,$BD$12&lt;$G81),$E81,"")</f>
        <v/>
      </c>
      <c r="BE81" s="48" t="str">
        <f t="shared" ref="BE81:BE103" si="184">IF(AND($BE$12&gt;=$F81,$BE$12&lt;$G81),$E81,"")</f>
        <v/>
      </c>
      <c r="BF81" s="48" t="str">
        <f t="shared" ref="BF81:BF103" si="185">IF(AND($BF$12&gt;=$F81,$BF$12&lt;$G81),$E81,"")</f>
        <v/>
      </c>
      <c r="BG81" s="84" t="str">
        <f t="shared" ref="BG81:BG103" si="186">IF(AND($BG$12&gt;=$F81,$BG$12&lt;$G81),$E81,"")</f>
        <v/>
      </c>
      <c r="BH81" s="87" t="str">
        <f t="shared" ref="BH81:BH103" si="187">IF(AND($BH$12&gt;=$F81,$BH$12&lt;$G81),$E81,"")</f>
        <v/>
      </c>
      <c r="BI81" s="49" t="str">
        <f t="shared" ref="BI81:BI103" si="188">IF(AND($BI$12&gt;=$F81,$BI$12&lt;$G81),$E81,"")</f>
        <v/>
      </c>
      <c r="BJ81" s="49" t="str">
        <f t="shared" ref="BJ81:BJ103" si="189">IF(AND($BJ$12&gt;=$F81,$BJ$12&lt;$G81),$E81,"")</f>
        <v/>
      </c>
      <c r="BK81" s="89" t="str">
        <f t="shared" ref="BK81:BK103" si="190">IF(AND($BK$12&gt;=$F81,$BK$12&lt;$G81),$E81,"")</f>
        <v/>
      </c>
      <c r="BL81" s="87" t="str">
        <f t="shared" ref="BL81:BL103" si="191">IF(AND($BL$12&gt;=$F81,$BL$12&lt;$G81),$E81,"")</f>
        <v/>
      </c>
      <c r="BM81" s="49" t="str">
        <f t="shared" ref="BM81:BM103" si="192">IF(AND($BM$12&gt;=$F81,$BM$12&lt;$G81),$E81,"")</f>
        <v/>
      </c>
      <c r="BN81" s="49" t="str">
        <f t="shared" ref="BN81:BN103" si="193">IF(AND($BN$12&gt;=$F81,$BN$12&lt;$G81),$E81,"")</f>
        <v/>
      </c>
      <c r="BO81" s="89" t="str">
        <f t="shared" ref="BO81:BO103" si="194">IF(AND($BO$12&gt;=$F81,$BO$12&lt;$G81),$E81,"")</f>
        <v/>
      </c>
      <c r="BP81" s="87" t="str">
        <f t="shared" ref="BP81:BP103" si="195">IF(AND($BP$12&gt;=$F81,$BP$12&lt;$G81),$E81,"")</f>
        <v/>
      </c>
      <c r="BQ81" s="49" t="str">
        <f t="shared" ref="BQ81:BQ103" si="196">IF(AND($BQ$12&gt;=$F81,$BQ$12&lt;$G81),$E81,"")</f>
        <v/>
      </c>
      <c r="BR81" s="49" t="str">
        <f t="shared" ref="BR81:BR103" si="197">IF(AND($BR$12&gt;=$F81,$BR$12&lt;$G81),$E81,"")</f>
        <v/>
      </c>
      <c r="BS81" s="89" t="str">
        <f t="shared" ref="BS81:BS103" si="198">IF(AND($BS$12&gt;=$F81,$BS$12&lt;$G81),$E81,"")</f>
        <v/>
      </c>
      <c r="BT81" s="87" t="str">
        <f t="shared" ref="BT81:BT103" si="199">IF(AND($BT$12&gt;=$F81,$BT$12&lt;$G81),$E81,"")</f>
        <v/>
      </c>
    </row>
    <row r="82" spans="2:72" s="93" customFormat="1">
      <c r="B82" s="90">
        <f>Weekly!B74</f>
        <v>0</v>
      </c>
      <c r="C82" s="90">
        <f>Weekly!C74</f>
        <v>0</v>
      </c>
      <c r="D82" s="90">
        <f>Weekly!D79</f>
        <v>0</v>
      </c>
      <c r="E82" s="91" t="e">
        <f>VLOOKUP(B82,Team!$B$4:$E$183,4,FALSE)</f>
        <v>#N/A</v>
      </c>
      <c r="F82" s="92" t="str">
        <f>Weekly!M74</f>
        <v/>
      </c>
      <c r="G82" s="92" t="str">
        <f>Weekly!N74</f>
        <v/>
      </c>
      <c r="H82" s="48" t="str">
        <f t="shared" si="135"/>
        <v/>
      </c>
      <c r="I82" s="48" t="str">
        <f t="shared" si="136"/>
        <v/>
      </c>
      <c r="J82" s="48" t="str">
        <f t="shared" si="137"/>
        <v/>
      </c>
      <c r="K82" s="84" t="str">
        <f t="shared" si="138"/>
        <v/>
      </c>
      <c r="L82" s="82" t="str">
        <f t="shared" si="139"/>
        <v/>
      </c>
      <c r="M82" s="48" t="str">
        <f t="shared" si="140"/>
        <v/>
      </c>
      <c r="N82" s="48" t="str">
        <f t="shared" si="141"/>
        <v/>
      </c>
      <c r="O82" s="84" t="str">
        <f t="shared" si="142"/>
        <v/>
      </c>
      <c r="P82" s="82" t="str">
        <f t="shared" si="143"/>
        <v/>
      </c>
      <c r="Q82" s="48" t="str">
        <f t="shared" si="144"/>
        <v/>
      </c>
      <c r="R82" s="48" t="str">
        <f t="shared" si="145"/>
        <v/>
      </c>
      <c r="S82" s="84" t="str">
        <f t="shared" si="146"/>
        <v/>
      </c>
      <c r="T82" s="82" t="str">
        <f t="shared" si="147"/>
        <v/>
      </c>
      <c r="U82" s="48" t="str">
        <f t="shared" si="148"/>
        <v/>
      </c>
      <c r="V82" s="48" t="str">
        <f t="shared" si="149"/>
        <v/>
      </c>
      <c r="W82" s="84" t="str">
        <f t="shared" si="150"/>
        <v/>
      </c>
      <c r="X82" s="82" t="str">
        <f t="shared" si="151"/>
        <v/>
      </c>
      <c r="Y82" s="48" t="str">
        <f t="shared" si="152"/>
        <v/>
      </c>
      <c r="Z82" s="48" t="str">
        <f t="shared" si="153"/>
        <v/>
      </c>
      <c r="AA82" s="84" t="str">
        <f t="shared" si="154"/>
        <v/>
      </c>
      <c r="AB82" s="82" t="str">
        <f t="shared" si="155"/>
        <v/>
      </c>
      <c r="AC82" s="48" t="str">
        <f t="shared" si="156"/>
        <v/>
      </c>
      <c r="AD82" s="48" t="str">
        <f t="shared" si="157"/>
        <v/>
      </c>
      <c r="AE82" s="84" t="str">
        <f t="shared" si="158"/>
        <v/>
      </c>
      <c r="AF82" s="82" t="str">
        <f t="shared" si="159"/>
        <v/>
      </c>
      <c r="AG82" s="48" t="str">
        <f t="shared" si="160"/>
        <v/>
      </c>
      <c r="AH82" s="48" t="str">
        <f t="shared" si="161"/>
        <v/>
      </c>
      <c r="AI82" s="84" t="str">
        <f t="shared" si="162"/>
        <v/>
      </c>
      <c r="AJ82" s="82" t="str">
        <f t="shared" si="163"/>
        <v/>
      </c>
      <c r="AK82" s="48" t="str">
        <f t="shared" si="164"/>
        <v/>
      </c>
      <c r="AL82" s="48" t="str">
        <f t="shared" si="165"/>
        <v/>
      </c>
      <c r="AM82" s="84" t="str">
        <f t="shared" si="166"/>
        <v/>
      </c>
      <c r="AN82" s="82" t="str">
        <f t="shared" si="167"/>
        <v/>
      </c>
      <c r="AO82" s="48" t="str">
        <f t="shared" si="168"/>
        <v/>
      </c>
      <c r="AP82" s="48" t="str">
        <f t="shared" si="169"/>
        <v/>
      </c>
      <c r="AQ82" s="84" t="str">
        <f t="shared" si="170"/>
        <v/>
      </c>
      <c r="AR82" s="82" t="str">
        <f t="shared" si="171"/>
        <v/>
      </c>
      <c r="AS82" s="48" t="str">
        <f t="shared" si="172"/>
        <v/>
      </c>
      <c r="AT82" s="48" t="str">
        <f t="shared" si="173"/>
        <v/>
      </c>
      <c r="AU82" s="84" t="str">
        <f t="shared" si="174"/>
        <v/>
      </c>
      <c r="AV82" s="82" t="str">
        <f t="shared" si="175"/>
        <v/>
      </c>
      <c r="AW82" s="48" t="str">
        <f t="shared" si="176"/>
        <v/>
      </c>
      <c r="AX82" s="48" t="str">
        <f t="shared" si="177"/>
        <v/>
      </c>
      <c r="AY82" s="84" t="str">
        <f t="shared" si="178"/>
        <v/>
      </c>
      <c r="AZ82" s="82" t="str">
        <f t="shared" si="179"/>
        <v/>
      </c>
      <c r="BA82" s="48" t="str">
        <f t="shared" si="180"/>
        <v/>
      </c>
      <c r="BB82" s="48" t="str">
        <f t="shared" si="181"/>
        <v/>
      </c>
      <c r="BC82" s="84" t="str">
        <f t="shared" si="182"/>
        <v/>
      </c>
      <c r="BD82" s="82" t="str">
        <f t="shared" si="183"/>
        <v/>
      </c>
      <c r="BE82" s="48" t="str">
        <f t="shared" si="184"/>
        <v/>
      </c>
      <c r="BF82" s="48" t="str">
        <f t="shared" si="185"/>
        <v/>
      </c>
      <c r="BG82" s="84" t="str">
        <f t="shared" si="186"/>
        <v/>
      </c>
      <c r="BH82" s="87" t="str">
        <f t="shared" si="187"/>
        <v/>
      </c>
      <c r="BI82" s="49" t="str">
        <f t="shared" si="188"/>
        <v/>
      </c>
      <c r="BJ82" s="49" t="str">
        <f t="shared" si="189"/>
        <v/>
      </c>
      <c r="BK82" s="89" t="str">
        <f t="shared" si="190"/>
        <v/>
      </c>
      <c r="BL82" s="87" t="str">
        <f t="shared" si="191"/>
        <v/>
      </c>
      <c r="BM82" s="49" t="str">
        <f t="shared" si="192"/>
        <v/>
      </c>
      <c r="BN82" s="49" t="str">
        <f t="shared" si="193"/>
        <v/>
      </c>
      <c r="BO82" s="89" t="str">
        <f t="shared" si="194"/>
        <v/>
      </c>
      <c r="BP82" s="87" t="str">
        <f t="shared" si="195"/>
        <v/>
      </c>
      <c r="BQ82" s="49" t="str">
        <f t="shared" si="196"/>
        <v/>
      </c>
      <c r="BR82" s="49" t="str">
        <f t="shared" si="197"/>
        <v/>
      </c>
      <c r="BS82" s="89" t="str">
        <f t="shared" si="198"/>
        <v/>
      </c>
      <c r="BT82" s="87" t="str">
        <f t="shared" si="199"/>
        <v/>
      </c>
    </row>
    <row r="83" spans="2:72" s="93" customFormat="1">
      <c r="B83" s="90">
        <f>Weekly!B75</f>
        <v>0</v>
      </c>
      <c r="C83" s="90">
        <f>Weekly!C75</f>
        <v>0</v>
      </c>
      <c r="D83" s="90">
        <f>Weekly!D80</f>
        <v>0</v>
      </c>
      <c r="E83" s="91" t="e">
        <f>VLOOKUP(B83,Team!$B$4:$E$183,4,FALSE)</f>
        <v>#N/A</v>
      </c>
      <c r="F83" s="92" t="str">
        <f>Weekly!M75</f>
        <v/>
      </c>
      <c r="G83" s="92" t="str">
        <f>Weekly!N75</f>
        <v/>
      </c>
      <c r="H83" s="48" t="str">
        <f t="shared" si="135"/>
        <v/>
      </c>
      <c r="I83" s="48" t="str">
        <f t="shared" si="136"/>
        <v/>
      </c>
      <c r="J83" s="48" t="str">
        <f t="shared" si="137"/>
        <v/>
      </c>
      <c r="K83" s="84" t="str">
        <f t="shared" si="138"/>
        <v/>
      </c>
      <c r="L83" s="82" t="str">
        <f t="shared" si="139"/>
        <v/>
      </c>
      <c r="M83" s="48" t="str">
        <f t="shared" si="140"/>
        <v/>
      </c>
      <c r="N83" s="48" t="str">
        <f t="shared" si="141"/>
        <v/>
      </c>
      <c r="O83" s="84" t="str">
        <f t="shared" si="142"/>
        <v/>
      </c>
      <c r="P83" s="82" t="str">
        <f t="shared" si="143"/>
        <v/>
      </c>
      <c r="Q83" s="48" t="str">
        <f t="shared" si="144"/>
        <v/>
      </c>
      <c r="R83" s="48" t="str">
        <f t="shared" si="145"/>
        <v/>
      </c>
      <c r="S83" s="84" t="str">
        <f t="shared" si="146"/>
        <v/>
      </c>
      <c r="T83" s="82" t="str">
        <f t="shared" si="147"/>
        <v/>
      </c>
      <c r="U83" s="48" t="str">
        <f t="shared" si="148"/>
        <v/>
      </c>
      <c r="V83" s="48" t="str">
        <f t="shared" si="149"/>
        <v/>
      </c>
      <c r="W83" s="84" t="str">
        <f t="shared" si="150"/>
        <v/>
      </c>
      <c r="X83" s="82" t="str">
        <f t="shared" si="151"/>
        <v/>
      </c>
      <c r="Y83" s="48" t="str">
        <f t="shared" si="152"/>
        <v/>
      </c>
      <c r="Z83" s="48" t="str">
        <f t="shared" si="153"/>
        <v/>
      </c>
      <c r="AA83" s="84" t="str">
        <f t="shared" si="154"/>
        <v/>
      </c>
      <c r="AB83" s="82" t="str">
        <f t="shared" si="155"/>
        <v/>
      </c>
      <c r="AC83" s="48" t="str">
        <f t="shared" si="156"/>
        <v/>
      </c>
      <c r="AD83" s="48" t="str">
        <f t="shared" si="157"/>
        <v/>
      </c>
      <c r="AE83" s="84" t="str">
        <f t="shared" si="158"/>
        <v/>
      </c>
      <c r="AF83" s="82" t="str">
        <f t="shared" si="159"/>
        <v/>
      </c>
      <c r="AG83" s="48" t="str">
        <f t="shared" si="160"/>
        <v/>
      </c>
      <c r="AH83" s="48" t="str">
        <f t="shared" si="161"/>
        <v/>
      </c>
      <c r="AI83" s="84" t="str">
        <f t="shared" si="162"/>
        <v/>
      </c>
      <c r="AJ83" s="82" t="str">
        <f t="shared" si="163"/>
        <v/>
      </c>
      <c r="AK83" s="48" t="str">
        <f t="shared" si="164"/>
        <v/>
      </c>
      <c r="AL83" s="48" t="str">
        <f t="shared" si="165"/>
        <v/>
      </c>
      <c r="AM83" s="84" t="str">
        <f t="shared" si="166"/>
        <v/>
      </c>
      <c r="AN83" s="82" t="str">
        <f t="shared" si="167"/>
        <v/>
      </c>
      <c r="AO83" s="48" t="str">
        <f t="shared" si="168"/>
        <v/>
      </c>
      <c r="AP83" s="48" t="str">
        <f t="shared" si="169"/>
        <v/>
      </c>
      <c r="AQ83" s="84" t="str">
        <f t="shared" si="170"/>
        <v/>
      </c>
      <c r="AR83" s="82" t="str">
        <f t="shared" si="171"/>
        <v/>
      </c>
      <c r="AS83" s="48" t="str">
        <f t="shared" si="172"/>
        <v/>
      </c>
      <c r="AT83" s="48" t="str">
        <f t="shared" si="173"/>
        <v/>
      </c>
      <c r="AU83" s="84" t="str">
        <f t="shared" si="174"/>
        <v/>
      </c>
      <c r="AV83" s="82" t="str">
        <f t="shared" si="175"/>
        <v/>
      </c>
      <c r="AW83" s="48" t="str">
        <f t="shared" si="176"/>
        <v/>
      </c>
      <c r="AX83" s="48" t="str">
        <f t="shared" si="177"/>
        <v/>
      </c>
      <c r="AY83" s="84" t="str">
        <f t="shared" si="178"/>
        <v/>
      </c>
      <c r="AZ83" s="82" t="str">
        <f t="shared" si="179"/>
        <v/>
      </c>
      <c r="BA83" s="48" t="str">
        <f t="shared" si="180"/>
        <v/>
      </c>
      <c r="BB83" s="48" t="str">
        <f t="shared" si="181"/>
        <v/>
      </c>
      <c r="BC83" s="84" t="str">
        <f t="shared" si="182"/>
        <v/>
      </c>
      <c r="BD83" s="82" t="str">
        <f t="shared" si="183"/>
        <v/>
      </c>
      <c r="BE83" s="48" t="str">
        <f t="shared" si="184"/>
        <v/>
      </c>
      <c r="BF83" s="48" t="str">
        <f t="shared" si="185"/>
        <v/>
      </c>
      <c r="BG83" s="84" t="str">
        <f t="shared" si="186"/>
        <v/>
      </c>
      <c r="BH83" s="87" t="str">
        <f t="shared" si="187"/>
        <v/>
      </c>
      <c r="BI83" s="49" t="str">
        <f t="shared" si="188"/>
        <v/>
      </c>
      <c r="BJ83" s="49" t="str">
        <f t="shared" si="189"/>
        <v/>
      </c>
      <c r="BK83" s="89" t="str">
        <f t="shared" si="190"/>
        <v/>
      </c>
      <c r="BL83" s="87" t="str">
        <f t="shared" si="191"/>
        <v/>
      </c>
      <c r="BM83" s="49" t="str">
        <f t="shared" si="192"/>
        <v/>
      </c>
      <c r="BN83" s="49" t="str">
        <f t="shared" si="193"/>
        <v/>
      </c>
      <c r="BO83" s="89" t="str">
        <f t="shared" si="194"/>
        <v/>
      </c>
      <c r="BP83" s="87" t="str">
        <f t="shared" si="195"/>
        <v/>
      </c>
      <c r="BQ83" s="49" t="str">
        <f t="shared" si="196"/>
        <v/>
      </c>
      <c r="BR83" s="49" t="str">
        <f t="shared" si="197"/>
        <v/>
      </c>
      <c r="BS83" s="89" t="str">
        <f t="shared" si="198"/>
        <v/>
      </c>
      <c r="BT83" s="87" t="str">
        <f t="shared" si="199"/>
        <v/>
      </c>
    </row>
    <row r="84" spans="2:72" s="93" customFormat="1">
      <c r="B84" s="90">
        <f>Weekly!B76</f>
        <v>0</v>
      </c>
      <c r="C84" s="90">
        <f>Weekly!C76</f>
        <v>0</v>
      </c>
      <c r="D84" s="90">
        <f>Weekly!D81</f>
        <v>0</v>
      </c>
      <c r="E84" s="91" t="e">
        <f>VLOOKUP(B84,Team!$B$4:$E$183,4,FALSE)</f>
        <v>#N/A</v>
      </c>
      <c r="F84" s="92" t="str">
        <f>Weekly!M76</f>
        <v/>
      </c>
      <c r="G84" s="92" t="str">
        <f>Weekly!N76</f>
        <v/>
      </c>
      <c r="H84" s="48" t="str">
        <f t="shared" si="135"/>
        <v/>
      </c>
      <c r="I84" s="48" t="str">
        <f t="shared" si="136"/>
        <v/>
      </c>
      <c r="J84" s="48" t="str">
        <f t="shared" si="137"/>
        <v/>
      </c>
      <c r="K84" s="84" t="str">
        <f t="shared" si="138"/>
        <v/>
      </c>
      <c r="L84" s="82" t="str">
        <f t="shared" si="139"/>
        <v/>
      </c>
      <c r="M84" s="48" t="str">
        <f t="shared" si="140"/>
        <v/>
      </c>
      <c r="N84" s="48" t="str">
        <f t="shared" si="141"/>
        <v/>
      </c>
      <c r="O84" s="84" t="str">
        <f t="shared" si="142"/>
        <v/>
      </c>
      <c r="P84" s="82" t="str">
        <f t="shared" si="143"/>
        <v/>
      </c>
      <c r="Q84" s="48" t="str">
        <f t="shared" si="144"/>
        <v/>
      </c>
      <c r="R84" s="48" t="str">
        <f t="shared" si="145"/>
        <v/>
      </c>
      <c r="S84" s="84" t="str">
        <f t="shared" si="146"/>
        <v/>
      </c>
      <c r="T84" s="82" t="str">
        <f t="shared" si="147"/>
        <v/>
      </c>
      <c r="U84" s="48" t="str">
        <f t="shared" si="148"/>
        <v/>
      </c>
      <c r="V84" s="48" t="str">
        <f t="shared" si="149"/>
        <v/>
      </c>
      <c r="W84" s="84" t="str">
        <f t="shared" si="150"/>
        <v/>
      </c>
      <c r="X84" s="82" t="str">
        <f t="shared" si="151"/>
        <v/>
      </c>
      <c r="Y84" s="48" t="str">
        <f t="shared" si="152"/>
        <v/>
      </c>
      <c r="Z84" s="48" t="str">
        <f t="shared" si="153"/>
        <v/>
      </c>
      <c r="AA84" s="84" t="str">
        <f t="shared" si="154"/>
        <v/>
      </c>
      <c r="AB84" s="82" t="str">
        <f t="shared" si="155"/>
        <v/>
      </c>
      <c r="AC84" s="48" t="str">
        <f t="shared" si="156"/>
        <v/>
      </c>
      <c r="AD84" s="48" t="str">
        <f t="shared" si="157"/>
        <v/>
      </c>
      <c r="AE84" s="84" t="str">
        <f t="shared" si="158"/>
        <v/>
      </c>
      <c r="AF84" s="82" t="str">
        <f t="shared" si="159"/>
        <v/>
      </c>
      <c r="AG84" s="48" t="str">
        <f t="shared" si="160"/>
        <v/>
      </c>
      <c r="AH84" s="48" t="str">
        <f t="shared" si="161"/>
        <v/>
      </c>
      <c r="AI84" s="84" t="str">
        <f t="shared" si="162"/>
        <v/>
      </c>
      <c r="AJ84" s="82" t="str">
        <f t="shared" si="163"/>
        <v/>
      </c>
      <c r="AK84" s="48" t="str">
        <f t="shared" si="164"/>
        <v/>
      </c>
      <c r="AL84" s="48" t="str">
        <f t="shared" si="165"/>
        <v/>
      </c>
      <c r="AM84" s="84" t="str">
        <f t="shared" si="166"/>
        <v/>
      </c>
      <c r="AN84" s="82" t="str">
        <f t="shared" si="167"/>
        <v/>
      </c>
      <c r="AO84" s="48" t="str">
        <f t="shared" si="168"/>
        <v/>
      </c>
      <c r="AP84" s="48" t="str">
        <f t="shared" si="169"/>
        <v/>
      </c>
      <c r="AQ84" s="84" t="str">
        <f t="shared" si="170"/>
        <v/>
      </c>
      <c r="AR84" s="82" t="str">
        <f t="shared" si="171"/>
        <v/>
      </c>
      <c r="AS84" s="48" t="str">
        <f t="shared" si="172"/>
        <v/>
      </c>
      <c r="AT84" s="48" t="str">
        <f t="shared" si="173"/>
        <v/>
      </c>
      <c r="AU84" s="84" t="str">
        <f t="shared" si="174"/>
        <v/>
      </c>
      <c r="AV84" s="82" t="str">
        <f t="shared" si="175"/>
        <v/>
      </c>
      <c r="AW84" s="48" t="str">
        <f t="shared" si="176"/>
        <v/>
      </c>
      <c r="AX84" s="48" t="str">
        <f t="shared" si="177"/>
        <v/>
      </c>
      <c r="AY84" s="84" t="str">
        <f t="shared" si="178"/>
        <v/>
      </c>
      <c r="AZ84" s="82" t="str">
        <f t="shared" si="179"/>
        <v/>
      </c>
      <c r="BA84" s="48" t="str">
        <f t="shared" si="180"/>
        <v/>
      </c>
      <c r="BB84" s="48" t="str">
        <f t="shared" si="181"/>
        <v/>
      </c>
      <c r="BC84" s="84" t="str">
        <f t="shared" si="182"/>
        <v/>
      </c>
      <c r="BD84" s="82" t="str">
        <f t="shared" si="183"/>
        <v/>
      </c>
      <c r="BE84" s="48" t="str">
        <f t="shared" si="184"/>
        <v/>
      </c>
      <c r="BF84" s="48" t="str">
        <f t="shared" si="185"/>
        <v/>
      </c>
      <c r="BG84" s="84" t="str">
        <f t="shared" si="186"/>
        <v/>
      </c>
      <c r="BH84" s="87" t="str">
        <f t="shared" si="187"/>
        <v/>
      </c>
      <c r="BI84" s="49" t="str">
        <f t="shared" si="188"/>
        <v/>
      </c>
      <c r="BJ84" s="49" t="str">
        <f t="shared" si="189"/>
        <v/>
      </c>
      <c r="BK84" s="89" t="str">
        <f t="shared" si="190"/>
        <v/>
      </c>
      <c r="BL84" s="87" t="str">
        <f t="shared" si="191"/>
        <v/>
      </c>
      <c r="BM84" s="49" t="str">
        <f t="shared" si="192"/>
        <v/>
      </c>
      <c r="BN84" s="49" t="str">
        <f t="shared" si="193"/>
        <v/>
      </c>
      <c r="BO84" s="89" t="str">
        <f t="shared" si="194"/>
        <v/>
      </c>
      <c r="BP84" s="87" t="str">
        <f t="shared" si="195"/>
        <v/>
      </c>
      <c r="BQ84" s="49" t="str">
        <f t="shared" si="196"/>
        <v/>
      </c>
      <c r="BR84" s="49" t="str">
        <f t="shared" si="197"/>
        <v/>
      </c>
      <c r="BS84" s="89" t="str">
        <f t="shared" si="198"/>
        <v/>
      </c>
      <c r="BT84" s="87" t="str">
        <f t="shared" si="199"/>
        <v/>
      </c>
    </row>
    <row r="85" spans="2:72" s="93" customFormat="1">
      <c r="B85" s="90">
        <f>Weekly!B77</f>
        <v>0</v>
      </c>
      <c r="C85" s="90">
        <f>Weekly!C77</f>
        <v>0</v>
      </c>
      <c r="D85" s="90">
        <f>Weekly!D82</f>
        <v>0</v>
      </c>
      <c r="E85" s="91" t="e">
        <f>VLOOKUP(B85,Team!$B$4:$E$183,4,FALSE)</f>
        <v>#N/A</v>
      </c>
      <c r="F85" s="92" t="str">
        <f>Weekly!M77</f>
        <v/>
      </c>
      <c r="G85" s="92" t="str">
        <f>Weekly!N77</f>
        <v/>
      </c>
      <c r="H85" s="48" t="str">
        <f t="shared" si="135"/>
        <v/>
      </c>
      <c r="I85" s="48" t="str">
        <f t="shared" si="136"/>
        <v/>
      </c>
      <c r="J85" s="48" t="str">
        <f t="shared" si="137"/>
        <v/>
      </c>
      <c r="K85" s="84" t="str">
        <f t="shared" si="138"/>
        <v/>
      </c>
      <c r="L85" s="82" t="str">
        <f t="shared" si="139"/>
        <v/>
      </c>
      <c r="M85" s="48" t="str">
        <f t="shared" si="140"/>
        <v/>
      </c>
      <c r="N85" s="48" t="str">
        <f t="shared" si="141"/>
        <v/>
      </c>
      <c r="O85" s="84" t="str">
        <f t="shared" si="142"/>
        <v/>
      </c>
      <c r="P85" s="82" t="str">
        <f t="shared" si="143"/>
        <v/>
      </c>
      <c r="Q85" s="48" t="str">
        <f t="shared" si="144"/>
        <v/>
      </c>
      <c r="R85" s="48" t="str">
        <f t="shared" si="145"/>
        <v/>
      </c>
      <c r="S85" s="84" t="str">
        <f t="shared" si="146"/>
        <v/>
      </c>
      <c r="T85" s="82" t="str">
        <f t="shared" si="147"/>
        <v/>
      </c>
      <c r="U85" s="48" t="str">
        <f t="shared" si="148"/>
        <v/>
      </c>
      <c r="V85" s="48" t="str">
        <f t="shared" si="149"/>
        <v/>
      </c>
      <c r="W85" s="84" t="str">
        <f t="shared" si="150"/>
        <v/>
      </c>
      <c r="X85" s="82" t="str">
        <f t="shared" si="151"/>
        <v/>
      </c>
      <c r="Y85" s="48" t="str">
        <f t="shared" si="152"/>
        <v/>
      </c>
      <c r="Z85" s="48" t="str">
        <f t="shared" si="153"/>
        <v/>
      </c>
      <c r="AA85" s="84" t="str">
        <f t="shared" si="154"/>
        <v/>
      </c>
      <c r="AB85" s="82" t="str">
        <f t="shared" si="155"/>
        <v/>
      </c>
      <c r="AC85" s="48" t="str">
        <f t="shared" si="156"/>
        <v/>
      </c>
      <c r="AD85" s="48" t="str">
        <f t="shared" si="157"/>
        <v/>
      </c>
      <c r="AE85" s="84" t="str">
        <f t="shared" si="158"/>
        <v/>
      </c>
      <c r="AF85" s="82" t="str">
        <f t="shared" si="159"/>
        <v/>
      </c>
      <c r="AG85" s="48" t="str">
        <f t="shared" si="160"/>
        <v/>
      </c>
      <c r="AH85" s="48" t="str">
        <f t="shared" si="161"/>
        <v/>
      </c>
      <c r="AI85" s="84" t="str">
        <f t="shared" si="162"/>
        <v/>
      </c>
      <c r="AJ85" s="82" t="str">
        <f t="shared" si="163"/>
        <v/>
      </c>
      <c r="AK85" s="48" t="str">
        <f t="shared" si="164"/>
        <v/>
      </c>
      <c r="AL85" s="48" t="str">
        <f t="shared" si="165"/>
        <v/>
      </c>
      <c r="AM85" s="84" t="str">
        <f t="shared" si="166"/>
        <v/>
      </c>
      <c r="AN85" s="82" t="str">
        <f t="shared" si="167"/>
        <v/>
      </c>
      <c r="AO85" s="48" t="str">
        <f t="shared" si="168"/>
        <v/>
      </c>
      <c r="AP85" s="48" t="str">
        <f t="shared" si="169"/>
        <v/>
      </c>
      <c r="AQ85" s="84" t="str">
        <f t="shared" si="170"/>
        <v/>
      </c>
      <c r="AR85" s="82" t="str">
        <f t="shared" si="171"/>
        <v/>
      </c>
      <c r="AS85" s="48" t="str">
        <f t="shared" si="172"/>
        <v/>
      </c>
      <c r="AT85" s="48" t="str">
        <f t="shared" si="173"/>
        <v/>
      </c>
      <c r="AU85" s="84" t="str">
        <f t="shared" si="174"/>
        <v/>
      </c>
      <c r="AV85" s="82" t="str">
        <f t="shared" si="175"/>
        <v/>
      </c>
      <c r="AW85" s="48" t="str">
        <f t="shared" si="176"/>
        <v/>
      </c>
      <c r="AX85" s="48" t="str">
        <f t="shared" si="177"/>
        <v/>
      </c>
      <c r="AY85" s="84" t="str">
        <f t="shared" si="178"/>
        <v/>
      </c>
      <c r="AZ85" s="82" t="str">
        <f t="shared" si="179"/>
        <v/>
      </c>
      <c r="BA85" s="48" t="str">
        <f t="shared" si="180"/>
        <v/>
      </c>
      <c r="BB85" s="48" t="str">
        <f t="shared" si="181"/>
        <v/>
      </c>
      <c r="BC85" s="84" t="str">
        <f t="shared" si="182"/>
        <v/>
      </c>
      <c r="BD85" s="82" t="str">
        <f t="shared" si="183"/>
        <v/>
      </c>
      <c r="BE85" s="48" t="str">
        <f t="shared" si="184"/>
        <v/>
      </c>
      <c r="BF85" s="48" t="str">
        <f t="shared" si="185"/>
        <v/>
      </c>
      <c r="BG85" s="84" t="str">
        <f t="shared" si="186"/>
        <v/>
      </c>
      <c r="BH85" s="87" t="str">
        <f t="shared" si="187"/>
        <v/>
      </c>
      <c r="BI85" s="49" t="str">
        <f t="shared" si="188"/>
        <v/>
      </c>
      <c r="BJ85" s="49" t="str">
        <f t="shared" si="189"/>
        <v/>
      </c>
      <c r="BK85" s="89" t="str">
        <f t="shared" si="190"/>
        <v/>
      </c>
      <c r="BL85" s="87" t="str">
        <f t="shared" si="191"/>
        <v/>
      </c>
      <c r="BM85" s="49" t="str">
        <f t="shared" si="192"/>
        <v/>
      </c>
      <c r="BN85" s="49" t="str">
        <f t="shared" si="193"/>
        <v/>
      </c>
      <c r="BO85" s="89" t="str">
        <f t="shared" si="194"/>
        <v/>
      </c>
      <c r="BP85" s="87" t="str">
        <f t="shared" si="195"/>
        <v/>
      </c>
      <c r="BQ85" s="49" t="str">
        <f t="shared" si="196"/>
        <v/>
      </c>
      <c r="BR85" s="49" t="str">
        <f t="shared" si="197"/>
        <v/>
      </c>
      <c r="BS85" s="89" t="str">
        <f t="shared" si="198"/>
        <v/>
      </c>
      <c r="BT85" s="87" t="str">
        <f t="shared" si="199"/>
        <v/>
      </c>
    </row>
    <row r="86" spans="2:72" s="93" customFormat="1">
      <c r="B86" s="90">
        <f>Weekly!B78</f>
        <v>0</v>
      </c>
      <c r="C86" s="90">
        <f>Weekly!C78</f>
        <v>0</v>
      </c>
      <c r="D86" s="90">
        <f>Weekly!D83</f>
        <v>0</v>
      </c>
      <c r="E86" s="91" t="e">
        <f>VLOOKUP(B86,Team!$B$4:$E$183,4,FALSE)</f>
        <v>#N/A</v>
      </c>
      <c r="F86" s="92" t="str">
        <f>Weekly!M78</f>
        <v/>
      </c>
      <c r="G86" s="92" t="str">
        <f>Weekly!N78</f>
        <v/>
      </c>
      <c r="H86" s="48" t="str">
        <f t="shared" si="135"/>
        <v/>
      </c>
      <c r="I86" s="48" t="str">
        <f t="shared" si="136"/>
        <v/>
      </c>
      <c r="J86" s="48" t="str">
        <f t="shared" si="137"/>
        <v/>
      </c>
      <c r="K86" s="84" t="str">
        <f t="shared" si="138"/>
        <v/>
      </c>
      <c r="L86" s="82" t="str">
        <f t="shared" si="139"/>
        <v/>
      </c>
      <c r="M86" s="48" t="str">
        <f t="shared" si="140"/>
        <v/>
      </c>
      <c r="N86" s="48" t="str">
        <f t="shared" si="141"/>
        <v/>
      </c>
      <c r="O86" s="84" t="str">
        <f t="shared" si="142"/>
        <v/>
      </c>
      <c r="P86" s="82" t="str">
        <f t="shared" si="143"/>
        <v/>
      </c>
      <c r="Q86" s="48" t="str">
        <f t="shared" si="144"/>
        <v/>
      </c>
      <c r="R86" s="48" t="str">
        <f t="shared" si="145"/>
        <v/>
      </c>
      <c r="S86" s="84" t="str">
        <f t="shared" si="146"/>
        <v/>
      </c>
      <c r="T86" s="82" t="str">
        <f t="shared" si="147"/>
        <v/>
      </c>
      <c r="U86" s="48" t="str">
        <f t="shared" si="148"/>
        <v/>
      </c>
      <c r="V86" s="48" t="str">
        <f t="shared" si="149"/>
        <v/>
      </c>
      <c r="W86" s="84" t="str">
        <f t="shared" si="150"/>
        <v/>
      </c>
      <c r="X86" s="82" t="str">
        <f t="shared" si="151"/>
        <v/>
      </c>
      <c r="Y86" s="48" t="str">
        <f t="shared" si="152"/>
        <v/>
      </c>
      <c r="Z86" s="48" t="str">
        <f t="shared" si="153"/>
        <v/>
      </c>
      <c r="AA86" s="84" t="str">
        <f t="shared" si="154"/>
        <v/>
      </c>
      <c r="AB86" s="82" t="str">
        <f t="shared" si="155"/>
        <v/>
      </c>
      <c r="AC86" s="48" t="str">
        <f t="shared" si="156"/>
        <v/>
      </c>
      <c r="AD86" s="48" t="str">
        <f t="shared" si="157"/>
        <v/>
      </c>
      <c r="AE86" s="84" t="str">
        <f t="shared" si="158"/>
        <v/>
      </c>
      <c r="AF86" s="82" t="str">
        <f t="shared" si="159"/>
        <v/>
      </c>
      <c r="AG86" s="48" t="str">
        <f t="shared" si="160"/>
        <v/>
      </c>
      <c r="AH86" s="48" t="str">
        <f t="shared" si="161"/>
        <v/>
      </c>
      <c r="AI86" s="84" t="str">
        <f t="shared" si="162"/>
        <v/>
      </c>
      <c r="AJ86" s="82" t="str">
        <f t="shared" si="163"/>
        <v/>
      </c>
      <c r="AK86" s="48" t="str">
        <f t="shared" si="164"/>
        <v/>
      </c>
      <c r="AL86" s="48" t="str">
        <f t="shared" si="165"/>
        <v/>
      </c>
      <c r="AM86" s="84" t="str">
        <f t="shared" si="166"/>
        <v/>
      </c>
      <c r="AN86" s="82" t="str">
        <f t="shared" si="167"/>
        <v/>
      </c>
      <c r="AO86" s="48" t="str">
        <f t="shared" si="168"/>
        <v/>
      </c>
      <c r="AP86" s="48" t="str">
        <f t="shared" si="169"/>
        <v/>
      </c>
      <c r="AQ86" s="84" t="str">
        <f t="shared" si="170"/>
        <v/>
      </c>
      <c r="AR86" s="82" t="str">
        <f t="shared" si="171"/>
        <v/>
      </c>
      <c r="AS86" s="48" t="str">
        <f t="shared" si="172"/>
        <v/>
      </c>
      <c r="AT86" s="48" t="str">
        <f t="shared" si="173"/>
        <v/>
      </c>
      <c r="AU86" s="84" t="str">
        <f t="shared" si="174"/>
        <v/>
      </c>
      <c r="AV86" s="82" t="str">
        <f t="shared" si="175"/>
        <v/>
      </c>
      <c r="AW86" s="48" t="str">
        <f t="shared" si="176"/>
        <v/>
      </c>
      <c r="AX86" s="48" t="str">
        <f t="shared" si="177"/>
        <v/>
      </c>
      <c r="AY86" s="84" t="str">
        <f t="shared" si="178"/>
        <v/>
      </c>
      <c r="AZ86" s="82" t="str">
        <f t="shared" si="179"/>
        <v/>
      </c>
      <c r="BA86" s="48" t="str">
        <f t="shared" si="180"/>
        <v/>
      </c>
      <c r="BB86" s="48" t="str">
        <f t="shared" si="181"/>
        <v/>
      </c>
      <c r="BC86" s="84" t="str">
        <f t="shared" si="182"/>
        <v/>
      </c>
      <c r="BD86" s="82" t="str">
        <f t="shared" si="183"/>
        <v/>
      </c>
      <c r="BE86" s="48" t="str">
        <f t="shared" si="184"/>
        <v/>
      </c>
      <c r="BF86" s="48" t="str">
        <f t="shared" si="185"/>
        <v/>
      </c>
      <c r="BG86" s="84" t="str">
        <f t="shared" si="186"/>
        <v/>
      </c>
      <c r="BH86" s="87" t="str">
        <f t="shared" si="187"/>
        <v/>
      </c>
      <c r="BI86" s="49" t="str">
        <f t="shared" si="188"/>
        <v/>
      </c>
      <c r="BJ86" s="49" t="str">
        <f t="shared" si="189"/>
        <v/>
      </c>
      <c r="BK86" s="89" t="str">
        <f t="shared" si="190"/>
        <v/>
      </c>
      <c r="BL86" s="87" t="str">
        <f t="shared" si="191"/>
        <v/>
      </c>
      <c r="BM86" s="49" t="str">
        <f t="shared" si="192"/>
        <v/>
      </c>
      <c r="BN86" s="49" t="str">
        <f t="shared" si="193"/>
        <v/>
      </c>
      <c r="BO86" s="89" t="str">
        <f t="shared" si="194"/>
        <v/>
      </c>
      <c r="BP86" s="87" t="str">
        <f t="shared" si="195"/>
        <v/>
      </c>
      <c r="BQ86" s="49" t="str">
        <f t="shared" si="196"/>
        <v/>
      </c>
      <c r="BR86" s="49" t="str">
        <f t="shared" si="197"/>
        <v/>
      </c>
      <c r="BS86" s="89" t="str">
        <f t="shared" si="198"/>
        <v/>
      </c>
      <c r="BT86" s="87" t="str">
        <f t="shared" si="199"/>
        <v/>
      </c>
    </row>
    <row r="87" spans="2:72" s="93" customFormat="1">
      <c r="B87" s="90">
        <f>Weekly!B79</f>
        <v>0</v>
      </c>
      <c r="C87" s="90">
        <f>Weekly!C79</f>
        <v>0</v>
      </c>
      <c r="D87" s="90">
        <f>Weekly!D84</f>
        <v>0</v>
      </c>
      <c r="E87" s="91" t="e">
        <f>VLOOKUP(B87,Team!$B$4:$E$183,4,FALSE)</f>
        <v>#N/A</v>
      </c>
      <c r="F87" s="92" t="str">
        <f>Weekly!M79</f>
        <v/>
      </c>
      <c r="G87" s="92" t="str">
        <f>Weekly!N79</f>
        <v/>
      </c>
      <c r="H87" s="48" t="str">
        <f t="shared" si="135"/>
        <v/>
      </c>
      <c r="I87" s="48" t="str">
        <f t="shared" si="136"/>
        <v/>
      </c>
      <c r="J87" s="48" t="str">
        <f t="shared" si="137"/>
        <v/>
      </c>
      <c r="K87" s="84" t="str">
        <f t="shared" si="138"/>
        <v/>
      </c>
      <c r="L87" s="82" t="str">
        <f t="shared" si="139"/>
        <v/>
      </c>
      <c r="M87" s="48" t="str">
        <f t="shared" si="140"/>
        <v/>
      </c>
      <c r="N87" s="48" t="str">
        <f t="shared" si="141"/>
        <v/>
      </c>
      <c r="O87" s="84" t="str">
        <f t="shared" si="142"/>
        <v/>
      </c>
      <c r="P87" s="82" t="str">
        <f t="shared" si="143"/>
        <v/>
      </c>
      <c r="Q87" s="48" t="str">
        <f t="shared" si="144"/>
        <v/>
      </c>
      <c r="R87" s="48" t="str">
        <f t="shared" si="145"/>
        <v/>
      </c>
      <c r="S87" s="84" t="str">
        <f t="shared" si="146"/>
        <v/>
      </c>
      <c r="T87" s="82" t="str">
        <f t="shared" si="147"/>
        <v/>
      </c>
      <c r="U87" s="48" t="str">
        <f t="shared" si="148"/>
        <v/>
      </c>
      <c r="V87" s="48" t="str">
        <f t="shared" si="149"/>
        <v/>
      </c>
      <c r="W87" s="84" t="str">
        <f t="shared" si="150"/>
        <v/>
      </c>
      <c r="X87" s="82" t="str">
        <f t="shared" si="151"/>
        <v/>
      </c>
      <c r="Y87" s="48" t="str">
        <f t="shared" si="152"/>
        <v/>
      </c>
      <c r="Z87" s="48" t="str">
        <f t="shared" si="153"/>
        <v/>
      </c>
      <c r="AA87" s="84" t="str">
        <f t="shared" si="154"/>
        <v/>
      </c>
      <c r="AB87" s="82" t="str">
        <f t="shared" si="155"/>
        <v/>
      </c>
      <c r="AC87" s="48" t="str">
        <f t="shared" si="156"/>
        <v/>
      </c>
      <c r="AD87" s="48" t="str">
        <f t="shared" si="157"/>
        <v/>
      </c>
      <c r="AE87" s="84" t="str">
        <f t="shared" si="158"/>
        <v/>
      </c>
      <c r="AF87" s="82" t="str">
        <f t="shared" si="159"/>
        <v/>
      </c>
      <c r="AG87" s="48" t="str">
        <f t="shared" si="160"/>
        <v/>
      </c>
      <c r="AH87" s="48" t="str">
        <f t="shared" si="161"/>
        <v/>
      </c>
      <c r="AI87" s="84" t="str">
        <f t="shared" si="162"/>
        <v/>
      </c>
      <c r="AJ87" s="82" t="str">
        <f t="shared" si="163"/>
        <v/>
      </c>
      <c r="AK87" s="48" t="str">
        <f t="shared" si="164"/>
        <v/>
      </c>
      <c r="AL87" s="48" t="str">
        <f t="shared" si="165"/>
        <v/>
      </c>
      <c r="AM87" s="84" t="str">
        <f t="shared" si="166"/>
        <v/>
      </c>
      <c r="AN87" s="82" t="str">
        <f t="shared" si="167"/>
        <v/>
      </c>
      <c r="AO87" s="48" t="str">
        <f t="shared" si="168"/>
        <v/>
      </c>
      <c r="AP87" s="48" t="str">
        <f t="shared" si="169"/>
        <v/>
      </c>
      <c r="AQ87" s="84" t="str">
        <f t="shared" si="170"/>
        <v/>
      </c>
      <c r="AR87" s="82" t="str">
        <f t="shared" si="171"/>
        <v/>
      </c>
      <c r="AS87" s="48" t="str">
        <f t="shared" si="172"/>
        <v/>
      </c>
      <c r="AT87" s="48" t="str">
        <f t="shared" si="173"/>
        <v/>
      </c>
      <c r="AU87" s="84" t="str">
        <f t="shared" si="174"/>
        <v/>
      </c>
      <c r="AV87" s="82" t="str">
        <f t="shared" si="175"/>
        <v/>
      </c>
      <c r="AW87" s="48" t="str">
        <f t="shared" si="176"/>
        <v/>
      </c>
      <c r="AX87" s="48" t="str">
        <f t="shared" si="177"/>
        <v/>
      </c>
      <c r="AY87" s="84" t="str">
        <f t="shared" si="178"/>
        <v/>
      </c>
      <c r="AZ87" s="82" t="str">
        <f t="shared" si="179"/>
        <v/>
      </c>
      <c r="BA87" s="48" t="str">
        <f t="shared" si="180"/>
        <v/>
      </c>
      <c r="BB87" s="48" t="str">
        <f t="shared" si="181"/>
        <v/>
      </c>
      <c r="BC87" s="84" t="str">
        <f t="shared" si="182"/>
        <v/>
      </c>
      <c r="BD87" s="82" t="str">
        <f t="shared" si="183"/>
        <v/>
      </c>
      <c r="BE87" s="48" t="str">
        <f t="shared" si="184"/>
        <v/>
      </c>
      <c r="BF87" s="48" t="str">
        <f t="shared" si="185"/>
        <v/>
      </c>
      <c r="BG87" s="84" t="str">
        <f t="shared" si="186"/>
        <v/>
      </c>
      <c r="BH87" s="87" t="str">
        <f t="shared" si="187"/>
        <v/>
      </c>
      <c r="BI87" s="49" t="str">
        <f t="shared" si="188"/>
        <v/>
      </c>
      <c r="BJ87" s="49" t="str">
        <f t="shared" si="189"/>
        <v/>
      </c>
      <c r="BK87" s="89" t="str">
        <f t="shared" si="190"/>
        <v/>
      </c>
      <c r="BL87" s="87" t="str">
        <f t="shared" si="191"/>
        <v/>
      </c>
      <c r="BM87" s="49" t="str">
        <f t="shared" si="192"/>
        <v/>
      </c>
      <c r="BN87" s="49" t="str">
        <f t="shared" si="193"/>
        <v/>
      </c>
      <c r="BO87" s="89" t="str">
        <f t="shared" si="194"/>
        <v/>
      </c>
      <c r="BP87" s="87" t="str">
        <f t="shared" si="195"/>
        <v/>
      </c>
      <c r="BQ87" s="49" t="str">
        <f t="shared" si="196"/>
        <v/>
      </c>
      <c r="BR87" s="49" t="str">
        <f t="shared" si="197"/>
        <v/>
      </c>
      <c r="BS87" s="89" t="str">
        <f t="shared" si="198"/>
        <v/>
      </c>
      <c r="BT87" s="87" t="str">
        <f t="shared" si="199"/>
        <v/>
      </c>
    </row>
    <row r="88" spans="2:72" s="93" customFormat="1">
      <c r="B88" s="90">
        <f>Weekly!B80</f>
        <v>0</v>
      </c>
      <c r="C88" s="90">
        <f>Weekly!C80</f>
        <v>0</v>
      </c>
      <c r="D88" s="90">
        <f>Weekly!D85</f>
        <v>0</v>
      </c>
      <c r="E88" s="91" t="e">
        <f>VLOOKUP(B88,Team!$B$4:$E$183,4,FALSE)</f>
        <v>#N/A</v>
      </c>
      <c r="F88" s="92" t="str">
        <f>Weekly!M80</f>
        <v/>
      </c>
      <c r="G88" s="92" t="str">
        <f>Weekly!N80</f>
        <v/>
      </c>
      <c r="H88" s="48" t="str">
        <f t="shared" si="135"/>
        <v/>
      </c>
      <c r="I88" s="48" t="str">
        <f t="shared" si="136"/>
        <v/>
      </c>
      <c r="J88" s="48" t="str">
        <f t="shared" si="137"/>
        <v/>
      </c>
      <c r="K88" s="84" t="str">
        <f t="shared" si="138"/>
        <v/>
      </c>
      <c r="L88" s="82" t="str">
        <f t="shared" si="139"/>
        <v/>
      </c>
      <c r="M88" s="48" t="str">
        <f t="shared" si="140"/>
        <v/>
      </c>
      <c r="N88" s="48" t="str">
        <f t="shared" si="141"/>
        <v/>
      </c>
      <c r="O88" s="84" t="str">
        <f t="shared" si="142"/>
        <v/>
      </c>
      <c r="P88" s="82" t="str">
        <f t="shared" si="143"/>
        <v/>
      </c>
      <c r="Q88" s="48" t="str">
        <f t="shared" si="144"/>
        <v/>
      </c>
      <c r="R88" s="48" t="str">
        <f t="shared" si="145"/>
        <v/>
      </c>
      <c r="S88" s="84" t="str">
        <f t="shared" si="146"/>
        <v/>
      </c>
      <c r="T88" s="82" t="str">
        <f t="shared" si="147"/>
        <v/>
      </c>
      <c r="U88" s="48" t="str">
        <f t="shared" si="148"/>
        <v/>
      </c>
      <c r="V88" s="48" t="str">
        <f t="shared" si="149"/>
        <v/>
      </c>
      <c r="W88" s="84" t="str">
        <f t="shared" si="150"/>
        <v/>
      </c>
      <c r="X88" s="82" t="str">
        <f t="shared" si="151"/>
        <v/>
      </c>
      <c r="Y88" s="48" t="str">
        <f t="shared" si="152"/>
        <v/>
      </c>
      <c r="Z88" s="48" t="str">
        <f t="shared" si="153"/>
        <v/>
      </c>
      <c r="AA88" s="84" t="str">
        <f t="shared" si="154"/>
        <v/>
      </c>
      <c r="AB88" s="82" t="str">
        <f t="shared" si="155"/>
        <v/>
      </c>
      <c r="AC88" s="48" t="str">
        <f t="shared" si="156"/>
        <v/>
      </c>
      <c r="AD88" s="48" t="str">
        <f t="shared" si="157"/>
        <v/>
      </c>
      <c r="AE88" s="84" t="str">
        <f t="shared" si="158"/>
        <v/>
      </c>
      <c r="AF88" s="82" t="str">
        <f t="shared" si="159"/>
        <v/>
      </c>
      <c r="AG88" s="48" t="str">
        <f t="shared" si="160"/>
        <v/>
      </c>
      <c r="AH88" s="48" t="str">
        <f t="shared" si="161"/>
        <v/>
      </c>
      <c r="AI88" s="84" t="str">
        <f t="shared" si="162"/>
        <v/>
      </c>
      <c r="AJ88" s="82" t="str">
        <f t="shared" si="163"/>
        <v/>
      </c>
      <c r="AK88" s="48" t="str">
        <f t="shared" si="164"/>
        <v/>
      </c>
      <c r="AL88" s="48" t="str">
        <f t="shared" si="165"/>
        <v/>
      </c>
      <c r="AM88" s="84" t="str">
        <f t="shared" si="166"/>
        <v/>
      </c>
      <c r="AN88" s="82" t="str">
        <f t="shared" si="167"/>
        <v/>
      </c>
      <c r="AO88" s="48" t="str">
        <f t="shared" si="168"/>
        <v/>
      </c>
      <c r="AP88" s="48" t="str">
        <f t="shared" si="169"/>
        <v/>
      </c>
      <c r="AQ88" s="84" t="str">
        <f t="shared" si="170"/>
        <v/>
      </c>
      <c r="AR88" s="82" t="str">
        <f t="shared" si="171"/>
        <v/>
      </c>
      <c r="AS88" s="48" t="str">
        <f t="shared" si="172"/>
        <v/>
      </c>
      <c r="AT88" s="48" t="str">
        <f t="shared" si="173"/>
        <v/>
      </c>
      <c r="AU88" s="84" t="str">
        <f t="shared" si="174"/>
        <v/>
      </c>
      <c r="AV88" s="82" t="str">
        <f t="shared" si="175"/>
        <v/>
      </c>
      <c r="AW88" s="48" t="str">
        <f t="shared" si="176"/>
        <v/>
      </c>
      <c r="AX88" s="48" t="str">
        <f t="shared" si="177"/>
        <v/>
      </c>
      <c r="AY88" s="84" t="str">
        <f t="shared" si="178"/>
        <v/>
      </c>
      <c r="AZ88" s="82" t="str">
        <f t="shared" si="179"/>
        <v/>
      </c>
      <c r="BA88" s="48" t="str">
        <f t="shared" si="180"/>
        <v/>
      </c>
      <c r="BB88" s="48" t="str">
        <f t="shared" si="181"/>
        <v/>
      </c>
      <c r="BC88" s="84" t="str">
        <f t="shared" si="182"/>
        <v/>
      </c>
      <c r="BD88" s="82" t="str">
        <f t="shared" si="183"/>
        <v/>
      </c>
      <c r="BE88" s="48" t="str">
        <f t="shared" si="184"/>
        <v/>
      </c>
      <c r="BF88" s="48" t="str">
        <f t="shared" si="185"/>
        <v/>
      </c>
      <c r="BG88" s="84" t="str">
        <f t="shared" si="186"/>
        <v/>
      </c>
      <c r="BH88" s="87" t="str">
        <f t="shared" si="187"/>
        <v/>
      </c>
      <c r="BI88" s="49" t="str">
        <f t="shared" si="188"/>
        <v/>
      </c>
      <c r="BJ88" s="49" t="str">
        <f t="shared" si="189"/>
        <v/>
      </c>
      <c r="BK88" s="89" t="str">
        <f t="shared" si="190"/>
        <v/>
      </c>
      <c r="BL88" s="87" t="str">
        <f t="shared" si="191"/>
        <v/>
      </c>
      <c r="BM88" s="49" t="str">
        <f t="shared" si="192"/>
        <v/>
      </c>
      <c r="BN88" s="49" t="str">
        <f t="shared" si="193"/>
        <v/>
      </c>
      <c r="BO88" s="89" t="str">
        <f t="shared" si="194"/>
        <v/>
      </c>
      <c r="BP88" s="87" t="str">
        <f t="shared" si="195"/>
        <v/>
      </c>
      <c r="BQ88" s="49" t="str">
        <f t="shared" si="196"/>
        <v/>
      </c>
      <c r="BR88" s="49" t="str">
        <f t="shared" si="197"/>
        <v/>
      </c>
      <c r="BS88" s="89" t="str">
        <f t="shared" si="198"/>
        <v/>
      </c>
      <c r="BT88" s="87" t="str">
        <f t="shared" si="199"/>
        <v/>
      </c>
    </row>
    <row r="89" spans="2:72" s="93" customFormat="1">
      <c r="B89" s="90">
        <f>Weekly!B81</f>
        <v>0</v>
      </c>
      <c r="C89" s="90">
        <f>Weekly!C81</f>
        <v>0</v>
      </c>
      <c r="D89" s="90">
        <f>Weekly!D86</f>
        <v>0</v>
      </c>
      <c r="E89" s="91" t="e">
        <f>VLOOKUP(B89,Team!$B$4:$E$183,4,FALSE)</f>
        <v>#N/A</v>
      </c>
      <c r="F89" s="92" t="str">
        <f>Weekly!M81</f>
        <v/>
      </c>
      <c r="G89" s="92" t="str">
        <f>Weekly!N81</f>
        <v/>
      </c>
      <c r="H89" s="48" t="str">
        <f t="shared" si="135"/>
        <v/>
      </c>
      <c r="I89" s="48" t="str">
        <f t="shared" si="136"/>
        <v/>
      </c>
      <c r="J89" s="48" t="str">
        <f t="shared" si="137"/>
        <v/>
      </c>
      <c r="K89" s="84" t="str">
        <f t="shared" si="138"/>
        <v/>
      </c>
      <c r="L89" s="82" t="str">
        <f t="shared" si="139"/>
        <v/>
      </c>
      <c r="M89" s="48" t="str">
        <f t="shared" si="140"/>
        <v/>
      </c>
      <c r="N89" s="48" t="str">
        <f t="shared" si="141"/>
        <v/>
      </c>
      <c r="O89" s="84" t="str">
        <f t="shared" si="142"/>
        <v/>
      </c>
      <c r="P89" s="82" t="str">
        <f t="shared" si="143"/>
        <v/>
      </c>
      <c r="Q89" s="48" t="str">
        <f t="shared" si="144"/>
        <v/>
      </c>
      <c r="R89" s="48" t="str">
        <f t="shared" si="145"/>
        <v/>
      </c>
      <c r="S89" s="84" t="str">
        <f t="shared" si="146"/>
        <v/>
      </c>
      <c r="T89" s="82" t="str">
        <f t="shared" si="147"/>
        <v/>
      </c>
      <c r="U89" s="48" t="str">
        <f t="shared" si="148"/>
        <v/>
      </c>
      <c r="V89" s="48" t="str">
        <f t="shared" si="149"/>
        <v/>
      </c>
      <c r="W89" s="84" t="str">
        <f t="shared" si="150"/>
        <v/>
      </c>
      <c r="X89" s="82" t="str">
        <f t="shared" si="151"/>
        <v/>
      </c>
      <c r="Y89" s="48" t="str">
        <f t="shared" si="152"/>
        <v/>
      </c>
      <c r="Z89" s="48" t="str">
        <f t="shared" si="153"/>
        <v/>
      </c>
      <c r="AA89" s="84" t="str">
        <f t="shared" si="154"/>
        <v/>
      </c>
      <c r="AB89" s="82" t="str">
        <f t="shared" si="155"/>
        <v/>
      </c>
      <c r="AC89" s="48" t="str">
        <f t="shared" si="156"/>
        <v/>
      </c>
      <c r="AD89" s="48" t="str">
        <f t="shared" si="157"/>
        <v/>
      </c>
      <c r="AE89" s="84" t="str">
        <f t="shared" si="158"/>
        <v/>
      </c>
      <c r="AF89" s="82" t="str">
        <f t="shared" si="159"/>
        <v/>
      </c>
      <c r="AG89" s="48" t="str">
        <f t="shared" si="160"/>
        <v/>
      </c>
      <c r="AH89" s="48" t="str">
        <f t="shared" si="161"/>
        <v/>
      </c>
      <c r="AI89" s="84" t="str">
        <f t="shared" si="162"/>
        <v/>
      </c>
      <c r="AJ89" s="82" t="str">
        <f t="shared" si="163"/>
        <v/>
      </c>
      <c r="AK89" s="48" t="str">
        <f t="shared" si="164"/>
        <v/>
      </c>
      <c r="AL89" s="48" t="str">
        <f t="shared" si="165"/>
        <v/>
      </c>
      <c r="AM89" s="84" t="str">
        <f t="shared" si="166"/>
        <v/>
      </c>
      <c r="AN89" s="82" t="str">
        <f t="shared" si="167"/>
        <v/>
      </c>
      <c r="AO89" s="48" t="str">
        <f t="shared" si="168"/>
        <v/>
      </c>
      <c r="AP89" s="48" t="str">
        <f t="shared" si="169"/>
        <v/>
      </c>
      <c r="AQ89" s="84" t="str">
        <f t="shared" si="170"/>
        <v/>
      </c>
      <c r="AR89" s="82" t="str">
        <f t="shared" si="171"/>
        <v/>
      </c>
      <c r="AS89" s="48" t="str">
        <f t="shared" si="172"/>
        <v/>
      </c>
      <c r="AT89" s="48" t="str">
        <f t="shared" si="173"/>
        <v/>
      </c>
      <c r="AU89" s="84" t="str">
        <f t="shared" si="174"/>
        <v/>
      </c>
      <c r="AV89" s="82" t="str">
        <f t="shared" si="175"/>
        <v/>
      </c>
      <c r="AW89" s="48" t="str">
        <f t="shared" si="176"/>
        <v/>
      </c>
      <c r="AX89" s="48" t="str">
        <f t="shared" si="177"/>
        <v/>
      </c>
      <c r="AY89" s="84" t="str">
        <f t="shared" si="178"/>
        <v/>
      </c>
      <c r="AZ89" s="82" t="str">
        <f t="shared" si="179"/>
        <v/>
      </c>
      <c r="BA89" s="48" t="str">
        <f t="shared" si="180"/>
        <v/>
      </c>
      <c r="BB89" s="48" t="str">
        <f t="shared" si="181"/>
        <v/>
      </c>
      <c r="BC89" s="84" t="str">
        <f t="shared" si="182"/>
        <v/>
      </c>
      <c r="BD89" s="82" t="str">
        <f t="shared" si="183"/>
        <v/>
      </c>
      <c r="BE89" s="48" t="str">
        <f t="shared" si="184"/>
        <v/>
      </c>
      <c r="BF89" s="48" t="str">
        <f t="shared" si="185"/>
        <v/>
      </c>
      <c r="BG89" s="84" t="str">
        <f t="shared" si="186"/>
        <v/>
      </c>
      <c r="BH89" s="87" t="str">
        <f t="shared" si="187"/>
        <v/>
      </c>
      <c r="BI89" s="49" t="str">
        <f t="shared" si="188"/>
        <v/>
      </c>
      <c r="BJ89" s="49" t="str">
        <f t="shared" si="189"/>
        <v/>
      </c>
      <c r="BK89" s="89" t="str">
        <f t="shared" si="190"/>
        <v/>
      </c>
      <c r="BL89" s="87" t="str">
        <f t="shared" si="191"/>
        <v/>
      </c>
      <c r="BM89" s="49" t="str">
        <f t="shared" si="192"/>
        <v/>
      </c>
      <c r="BN89" s="49" t="str">
        <f t="shared" si="193"/>
        <v/>
      </c>
      <c r="BO89" s="89" t="str">
        <f t="shared" si="194"/>
        <v/>
      </c>
      <c r="BP89" s="87" t="str">
        <f t="shared" si="195"/>
        <v/>
      </c>
      <c r="BQ89" s="49" t="str">
        <f t="shared" si="196"/>
        <v/>
      </c>
      <c r="BR89" s="49" t="str">
        <f t="shared" si="197"/>
        <v/>
      </c>
      <c r="BS89" s="89" t="str">
        <f t="shared" si="198"/>
        <v/>
      </c>
      <c r="BT89" s="87" t="str">
        <f t="shared" si="199"/>
        <v/>
      </c>
    </row>
    <row r="90" spans="2:72" s="93" customFormat="1">
      <c r="B90" s="90">
        <f>Weekly!B82</f>
        <v>0</v>
      </c>
      <c r="C90" s="90">
        <f>Weekly!C82</f>
        <v>0</v>
      </c>
      <c r="D90" s="90">
        <f>Weekly!D87</f>
        <v>0</v>
      </c>
      <c r="E90" s="91" t="e">
        <f>VLOOKUP(B90,Team!$B$4:$E$183,4,FALSE)</f>
        <v>#N/A</v>
      </c>
      <c r="F90" s="92" t="str">
        <f>Weekly!M82</f>
        <v/>
      </c>
      <c r="G90" s="92" t="str">
        <f>Weekly!N82</f>
        <v/>
      </c>
      <c r="H90" s="48" t="str">
        <f t="shared" si="135"/>
        <v/>
      </c>
      <c r="I90" s="48" t="str">
        <f t="shared" si="136"/>
        <v/>
      </c>
      <c r="J90" s="48" t="str">
        <f t="shared" si="137"/>
        <v/>
      </c>
      <c r="K90" s="84" t="str">
        <f t="shared" si="138"/>
        <v/>
      </c>
      <c r="L90" s="82" t="str">
        <f t="shared" si="139"/>
        <v/>
      </c>
      <c r="M90" s="48" t="str">
        <f t="shared" si="140"/>
        <v/>
      </c>
      <c r="N90" s="48" t="str">
        <f t="shared" si="141"/>
        <v/>
      </c>
      <c r="O90" s="84" t="str">
        <f t="shared" si="142"/>
        <v/>
      </c>
      <c r="P90" s="82" t="str">
        <f t="shared" si="143"/>
        <v/>
      </c>
      <c r="Q90" s="48" t="str">
        <f t="shared" si="144"/>
        <v/>
      </c>
      <c r="R90" s="48" t="str">
        <f t="shared" si="145"/>
        <v/>
      </c>
      <c r="S90" s="84" t="str">
        <f t="shared" si="146"/>
        <v/>
      </c>
      <c r="T90" s="82" t="str">
        <f t="shared" si="147"/>
        <v/>
      </c>
      <c r="U90" s="48" t="str">
        <f t="shared" si="148"/>
        <v/>
      </c>
      <c r="V90" s="48" t="str">
        <f t="shared" si="149"/>
        <v/>
      </c>
      <c r="W90" s="84" t="str">
        <f t="shared" si="150"/>
        <v/>
      </c>
      <c r="X90" s="82" t="str">
        <f t="shared" si="151"/>
        <v/>
      </c>
      <c r="Y90" s="48" t="str">
        <f t="shared" si="152"/>
        <v/>
      </c>
      <c r="Z90" s="48" t="str">
        <f t="shared" si="153"/>
        <v/>
      </c>
      <c r="AA90" s="84" t="str">
        <f t="shared" si="154"/>
        <v/>
      </c>
      <c r="AB90" s="82" t="str">
        <f t="shared" si="155"/>
        <v/>
      </c>
      <c r="AC90" s="48" t="str">
        <f t="shared" si="156"/>
        <v/>
      </c>
      <c r="AD90" s="48" t="str">
        <f t="shared" si="157"/>
        <v/>
      </c>
      <c r="AE90" s="84" t="str">
        <f t="shared" si="158"/>
        <v/>
      </c>
      <c r="AF90" s="82" t="str">
        <f t="shared" si="159"/>
        <v/>
      </c>
      <c r="AG90" s="48" t="str">
        <f t="shared" si="160"/>
        <v/>
      </c>
      <c r="AH90" s="48" t="str">
        <f t="shared" si="161"/>
        <v/>
      </c>
      <c r="AI90" s="84" t="str">
        <f t="shared" si="162"/>
        <v/>
      </c>
      <c r="AJ90" s="82" t="str">
        <f t="shared" si="163"/>
        <v/>
      </c>
      <c r="AK90" s="48" t="str">
        <f t="shared" si="164"/>
        <v/>
      </c>
      <c r="AL90" s="48" t="str">
        <f t="shared" si="165"/>
        <v/>
      </c>
      <c r="AM90" s="84" t="str">
        <f t="shared" si="166"/>
        <v/>
      </c>
      <c r="AN90" s="82" t="str">
        <f t="shared" si="167"/>
        <v/>
      </c>
      <c r="AO90" s="48" t="str">
        <f t="shared" si="168"/>
        <v/>
      </c>
      <c r="AP90" s="48" t="str">
        <f t="shared" si="169"/>
        <v/>
      </c>
      <c r="AQ90" s="84" t="str">
        <f t="shared" si="170"/>
        <v/>
      </c>
      <c r="AR90" s="82" t="str">
        <f t="shared" si="171"/>
        <v/>
      </c>
      <c r="AS90" s="48" t="str">
        <f t="shared" si="172"/>
        <v/>
      </c>
      <c r="AT90" s="48" t="str">
        <f t="shared" si="173"/>
        <v/>
      </c>
      <c r="AU90" s="84" t="str">
        <f t="shared" si="174"/>
        <v/>
      </c>
      <c r="AV90" s="82" t="str">
        <f t="shared" si="175"/>
        <v/>
      </c>
      <c r="AW90" s="48" t="str">
        <f t="shared" si="176"/>
        <v/>
      </c>
      <c r="AX90" s="48" t="str">
        <f t="shared" si="177"/>
        <v/>
      </c>
      <c r="AY90" s="84" t="str">
        <f t="shared" si="178"/>
        <v/>
      </c>
      <c r="AZ90" s="82" t="str">
        <f t="shared" si="179"/>
        <v/>
      </c>
      <c r="BA90" s="48" t="str">
        <f t="shared" si="180"/>
        <v/>
      </c>
      <c r="BB90" s="48" t="str">
        <f t="shared" si="181"/>
        <v/>
      </c>
      <c r="BC90" s="84" t="str">
        <f t="shared" si="182"/>
        <v/>
      </c>
      <c r="BD90" s="82" t="str">
        <f t="shared" si="183"/>
        <v/>
      </c>
      <c r="BE90" s="48" t="str">
        <f t="shared" si="184"/>
        <v/>
      </c>
      <c r="BF90" s="48" t="str">
        <f t="shared" si="185"/>
        <v/>
      </c>
      <c r="BG90" s="84" t="str">
        <f t="shared" si="186"/>
        <v/>
      </c>
      <c r="BH90" s="87" t="str">
        <f t="shared" si="187"/>
        <v/>
      </c>
      <c r="BI90" s="49" t="str">
        <f t="shared" si="188"/>
        <v/>
      </c>
      <c r="BJ90" s="49" t="str">
        <f t="shared" si="189"/>
        <v/>
      </c>
      <c r="BK90" s="89" t="str">
        <f t="shared" si="190"/>
        <v/>
      </c>
      <c r="BL90" s="87" t="str">
        <f t="shared" si="191"/>
        <v/>
      </c>
      <c r="BM90" s="49" t="str">
        <f t="shared" si="192"/>
        <v/>
      </c>
      <c r="BN90" s="49" t="str">
        <f t="shared" si="193"/>
        <v/>
      </c>
      <c r="BO90" s="89" t="str">
        <f t="shared" si="194"/>
        <v/>
      </c>
      <c r="BP90" s="87" t="str">
        <f t="shared" si="195"/>
        <v/>
      </c>
      <c r="BQ90" s="49" t="str">
        <f t="shared" si="196"/>
        <v/>
      </c>
      <c r="BR90" s="49" t="str">
        <f t="shared" si="197"/>
        <v/>
      </c>
      <c r="BS90" s="89" t="str">
        <f t="shared" si="198"/>
        <v/>
      </c>
      <c r="BT90" s="87" t="str">
        <f t="shared" si="199"/>
        <v/>
      </c>
    </row>
    <row r="91" spans="2:72" s="93" customFormat="1">
      <c r="B91" s="90">
        <f>Weekly!B83</f>
        <v>0</v>
      </c>
      <c r="C91" s="90">
        <f>Weekly!C83</f>
        <v>0</v>
      </c>
      <c r="D91" s="90">
        <f>Weekly!D88</f>
        <v>0</v>
      </c>
      <c r="E91" s="91" t="e">
        <f>VLOOKUP(B91,Team!$B$4:$E$183,4,FALSE)</f>
        <v>#N/A</v>
      </c>
      <c r="F91" s="92" t="str">
        <f>Weekly!M83</f>
        <v/>
      </c>
      <c r="G91" s="92" t="str">
        <f>Weekly!N83</f>
        <v/>
      </c>
      <c r="H91" s="48" t="str">
        <f t="shared" si="135"/>
        <v/>
      </c>
      <c r="I91" s="48" t="str">
        <f t="shared" si="136"/>
        <v/>
      </c>
      <c r="J91" s="48" t="str">
        <f t="shared" si="137"/>
        <v/>
      </c>
      <c r="K91" s="84" t="str">
        <f t="shared" si="138"/>
        <v/>
      </c>
      <c r="L91" s="82" t="str">
        <f t="shared" si="139"/>
        <v/>
      </c>
      <c r="M91" s="48" t="str">
        <f t="shared" si="140"/>
        <v/>
      </c>
      <c r="N91" s="48" t="str">
        <f t="shared" si="141"/>
        <v/>
      </c>
      <c r="O91" s="84" t="str">
        <f t="shared" si="142"/>
        <v/>
      </c>
      <c r="P91" s="82" t="str">
        <f t="shared" si="143"/>
        <v/>
      </c>
      <c r="Q91" s="48" t="str">
        <f t="shared" si="144"/>
        <v/>
      </c>
      <c r="R91" s="48" t="str">
        <f t="shared" si="145"/>
        <v/>
      </c>
      <c r="S91" s="84" t="str">
        <f t="shared" si="146"/>
        <v/>
      </c>
      <c r="T91" s="82" t="str">
        <f t="shared" si="147"/>
        <v/>
      </c>
      <c r="U91" s="48" t="str">
        <f t="shared" si="148"/>
        <v/>
      </c>
      <c r="V91" s="48" t="str">
        <f t="shared" si="149"/>
        <v/>
      </c>
      <c r="W91" s="84" t="str">
        <f t="shared" si="150"/>
        <v/>
      </c>
      <c r="X91" s="82" t="str">
        <f t="shared" si="151"/>
        <v/>
      </c>
      <c r="Y91" s="48" t="str">
        <f t="shared" si="152"/>
        <v/>
      </c>
      <c r="Z91" s="48" t="str">
        <f t="shared" si="153"/>
        <v/>
      </c>
      <c r="AA91" s="84" t="str">
        <f t="shared" si="154"/>
        <v/>
      </c>
      <c r="AB91" s="82" t="str">
        <f t="shared" si="155"/>
        <v/>
      </c>
      <c r="AC91" s="48" t="str">
        <f t="shared" si="156"/>
        <v/>
      </c>
      <c r="AD91" s="48" t="str">
        <f t="shared" si="157"/>
        <v/>
      </c>
      <c r="AE91" s="84" t="str">
        <f t="shared" si="158"/>
        <v/>
      </c>
      <c r="AF91" s="82" t="str">
        <f t="shared" si="159"/>
        <v/>
      </c>
      <c r="AG91" s="48" t="str">
        <f t="shared" si="160"/>
        <v/>
      </c>
      <c r="AH91" s="48" t="str">
        <f t="shared" si="161"/>
        <v/>
      </c>
      <c r="AI91" s="84" t="str">
        <f t="shared" si="162"/>
        <v/>
      </c>
      <c r="AJ91" s="82" t="str">
        <f t="shared" si="163"/>
        <v/>
      </c>
      <c r="AK91" s="48" t="str">
        <f t="shared" si="164"/>
        <v/>
      </c>
      <c r="AL91" s="48" t="str">
        <f t="shared" si="165"/>
        <v/>
      </c>
      <c r="AM91" s="84" t="str">
        <f t="shared" si="166"/>
        <v/>
      </c>
      <c r="AN91" s="82" t="str">
        <f t="shared" si="167"/>
        <v/>
      </c>
      <c r="AO91" s="48" t="str">
        <f t="shared" si="168"/>
        <v/>
      </c>
      <c r="AP91" s="48" t="str">
        <f t="shared" si="169"/>
        <v/>
      </c>
      <c r="AQ91" s="84" t="str">
        <f t="shared" si="170"/>
        <v/>
      </c>
      <c r="AR91" s="82" t="str">
        <f t="shared" si="171"/>
        <v/>
      </c>
      <c r="AS91" s="48" t="str">
        <f t="shared" si="172"/>
        <v/>
      </c>
      <c r="AT91" s="48" t="str">
        <f t="shared" si="173"/>
        <v/>
      </c>
      <c r="AU91" s="84" t="str">
        <f t="shared" si="174"/>
        <v/>
      </c>
      <c r="AV91" s="82" t="str">
        <f t="shared" si="175"/>
        <v/>
      </c>
      <c r="AW91" s="48" t="str">
        <f t="shared" si="176"/>
        <v/>
      </c>
      <c r="AX91" s="48" t="str">
        <f t="shared" si="177"/>
        <v/>
      </c>
      <c r="AY91" s="84" t="str">
        <f t="shared" si="178"/>
        <v/>
      </c>
      <c r="AZ91" s="82" t="str">
        <f t="shared" si="179"/>
        <v/>
      </c>
      <c r="BA91" s="48" t="str">
        <f t="shared" si="180"/>
        <v/>
      </c>
      <c r="BB91" s="48" t="str">
        <f t="shared" si="181"/>
        <v/>
      </c>
      <c r="BC91" s="84" t="str">
        <f t="shared" si="182"/>
        <v/>
      </c>
      <c r="BD91" s="82" t="str">
        <f t="shared" si="183"/>
        <v/>
      </c>
      <c r="BE91" s="48" t="str">
        <f t="shared" si="184"/>
        <v/>
      </c>
      <c r="BF91" s="48" t="str">
        <f t="shared" si="185"/>
        <v/>
      </c>
      <c r="BG91" s="84" t="str">
        <f t="shared" si="186"/>
        <v/>
      </c>
      <c r="BH91" s="87" t="str">
        <f t="shared" si="187"/>
        <v/>
      </c>
      <c r="BI91" s="49" t="str">
        <f t="shared" si="188"/>
        <v/>
      </c>
      <c r="BJ91" s="49" t="str">
        <f t="shared" si="189"/>
        <v/>
      </c>
      <c r="BK91" s="89" t="str">
        <f t="shared" si="190"/>
        <v/>
      </c>
      <c r="BL91" s="87" t="str">
        <f t="shared" si="191"/>
        <v/>
      </c>
      <c r="BM91" s="49" t="str">
        <f t="shared" si="192"/>
        <v/>
      </c>
      <c r="BN91" s="49" t="str">
        <f t="shared" si="193"/>
        <v/>
      </c>
      <c r="BO91" s="89" t="str">
        <f t="shared" si="194"/>
        <v/>
      </c>
      <c r="BP91" s="87" t="str">
        <f t="shared" si="195"/>
        <v/>
      </c>
      <c r="BQ91" s="49" t="str">
        <f t="shared" si="196"/>
        <v/>
      </c>
      <c r="BR91" s="49" t="str">
        <f t="shared" si="197"/>
        <v/>
      </c>
      <c r="BS91" s="89" t="str">
        <f t="shared" si="198"/>
        <v/>
      </c>
      <c r="BT91" s="87" t="str">
        <f t="shared" si="199"/>
        <v/>
      </c>
    </row>
    <row r="92" spans="2:72" s="93" customFormat="1">
      <c r="B92" s="90">
        <f>Weekly!B84</f>
        <v>0</v>
      </c>
      <c r="C92" s="90">
        <f>Weekly!C84</f>
        <v>0</v>
      </c>
      <c r="D92" s="90">
        <f>Weekly!D89</f>
        <v>0</v>
      </c>
      <c r="E92" s="91" t="e">
        <f>VLOOKUP(B92,Team!$B$4:$E$183,4,FALSE)</f>
        <v>#N/A</v>
      </c>
      <c r="F92" s="92" t="str">
        <f>Weekly!M84</f>
        <v/>
      </c>
      <c r="G92" s="92" t="str">
        <f>Weekly!N84</f>
        <v/>
      </c>
      <c r="H92" s="48" t="str">
        <f t="shared" si="135"/>
        <v/>
      </c>
      <c r="I92" s="48" t="str">
        <f t="shared" si="136"/>
        <v/>
      </c>
      <c r="J92" s="48" t="str">
        <f t="shared" si="137"/>
        <v/>
      </c>
      <c r="K92" s="84" t="str">
        <f t="shared" si="138"/>
        <v/>
      </c>
      <c r="L92" s="82" t="str">
        <f t="shared" si="139"/>
        <v/>
      </c>
      <c r="M92" s="48" t="str">
        <f t="shared" si="140"/>
        <v/>
      </c>
      <c r="N92" s="48" t="str">
        <f t="shared" si="141"/>
        <v/>
      </c>
      <c r="O92" s="84" t="str">
        <f t="shared" si="142"/>
        <v/>
      </c>
      <c r="P92" s="82" t="str">
        <f t="shared" si="143"/>
        <v/>
      </c>
      <c r="Q92" s="48" t="str">
        <f t="shared" si="144"/>
        <v/>
      </c>
      <c r="R92" s="48" t="str">
        <f t="shared" si="145"/>
        <v/>
      </c>
      <c r="S92" s="84" t="str">
        <f t="shared" si="146"/>
        <v/>
      </c>
      <c r="T92" s="82" t="str">
        <f t="shared" si="147"/>
        <v/>
      </c>
      <c r="U92" s="48" t="str">
        <f t="shared" si="148"/>
        <v/>
      </c>
      <c r="V92" s="48" t="str">
        <f t="shared" si="149"/>
        <v/>
      </c>
      <c r="W92" s="84" t="str">
        <f t="shared" si="150"/>
        <v/>
      </c>
      <c r="X92" s="82" t="str">
        <f t="shared" si="151"/>
        <v/>
      </c>
      <c r="Y92" s="48" t="str">
        <f t="shared" si="152"/>
        <v/>
      </c>
      <c r="Z92" s="48" t="str">
        <f t="shared" si="153"/>
        <v/>
      </c>
      <c r="AA92" s="84" t="str">
        <f t="shared" si="154"/>
        <v/>
      </c>
      <c r="AB92" s="82" t="str">
        <f t="shared" si="155"/>
        <v/>
      </c>
      <c r="AC92" s="48" t="str">
        <f t="shared" si="156"/>
        <v/>
      </c>
      <c r="AD92" s="48" t="str">
        <f t="shared" si="157"/>
        <v/>
      </c>
      <c r="AE92" s="84" t="str">
        <f t="shared" si="158"/>
        <v/>
      </c>
      <c r="AF92" s="82" t="str">
        <f t="shared" si="159"/>
        <v/>
      </c>
      <c r="AG92" s="48" t="str">
        <f t="shared" si="160"/>
        <v/>
      </c>
      <c r="AH92" s="48" t="str">
        <f t="shared" si="161"/>
        <v/>
      </c>
      <c r="AI92" s="84" t="str">
        <f t="shared" si="162"/>
        <v/>
      </c>
      <c r="AJ92" s="82" t="str">
        <f t="shared" si="163"/>
        <v/>
      </c>
      <c r="AK92" s="48" t="str">
        <f t="shared" si="164"/>
        <v/>
      </c>
      <c r="AL92" s="48" t="str">
        <f t="shared" si="165"/>
        <v/>
      </c>
      <c r="AM92" s="84" t="str">
        <f t="shared" si="166"/>
        <v/>
      </c>
      <c r="AN92" s="82" t="str">
        <f t="shared" si="167"/>
        <v/>
      </c>
      <c r="AO92" s="48" t="str">
        <f t="shared" si="168"/>
        <v/>
      </c>
      <c r="AP92" s="48" t="str">
        <f t="shared" si="169"/>
        <v/>
      </c>
      <c r="AQ92" s="84" t="str">
        <f t="shared" si="170"/>
        <v/>
      </c>
      <c r="AR92" s="82" t="str">
        <f t="shared" si="171"/>
        <v/>
      </c>
      <c r="AS92" s="48" t="str">
        <f t="shared" si="172"/>
        <v/>
      </c>
      <c r="AT92" s="48" t="str">
        <f t="shared" si="173"/>
        <v/>
      </c>
      <c r="AU92" s="84" t="str">
        <f t="shared" si="174"/>
        <v/>
      </c>
      <c r="AV92" s="82" t="str">
        <f t="shared" si="175"/>
        <v/>
      </c>
      <c r="AW92" s="48" t="str">
        <f t="shared" si="176"/>
        <v/>
      </c>
      <c r="AX92" s="48" t="str">
        <f t="shared" si="177"/>
        <v/>
      </c>
      <c r="AY92" s="84" t="str">
        <f t="shared" si="178"/>
        <v/>
      </c>
      <c r="AZ92" s="82" t="str">
        <f t="shared" si="179"/>
        <v/>
      </c>
      <c r="BA92" s="48" t="str">
        <f t="shared" si="180"/>
        <v/>
      </c>
      <c r="BB92" s="48" t="str">
        <f t="shared" si="181"/>
        <v/>
      </c>
      <c r="BC92" s="84" t="str">
        <f t="shared" si="182"/>
        <v/>
      </c>
      <c r="BD92" s="82" t="str">
        <f t="shared" si="183"/>
        <v/>
      </c>
      <c r="BE92" s="48" t="str">
        <f t="shared" si="184"/>
        <v/>
      </c>
      <c r="BF92" s="48" t="str">
        <f t="shared" si="185"/>
        <v/>
      </c>
      <c r="BG92" s="84" t="str">
        <f t="shared" si="186"/>
        <v/>
      </c>
      <c r="BH92" s="87" t="str">
        <f t="shared" si="187"/>
        <v/>
      </c>
      <c r="BI92" s="49" t="str">
        <f t="shared" si="188"/>
        <v/>
      </c>
      <c r="BJ92" s="49" t="str">
        <f t="shared" si="189"/>
        <v/>
      </c>
      <c r="BK92" s="89" t="str">
        <f t="shared" si="190"/>
        <v/>
      </c>
      <c r="BL92" s="87" t="str">
        <f t="shared" si="191"/>
        <v/>
      </c>
      <c r="BM92" s="49" t="str">
        <f t="shared" si="192"/>
        <v/>
      </c>
      <c r="BN92" s="49" t="str">
        <f t="shared" si="193"/>
        <v/>
      </c>
      <c r="BO92" s="89" t="str">
        <f t="shared" si="194"/>
        <v/>
      </c>
      <c r="BP92" s="87" t="str">
        <f t="shared" si="195"/>
        <v/>
      </c>
      <c r="BQ92" s="49" t="str">
        <f t="shared" si="196"/>
        <v/>
      </c>
      <c r="BR92" s="49" t="str">
        <f t="shared" si="197"/>
        <v/>
      </c>
      <c r="BS92" s="89" t="str">
        <f t="shared" si="198"/>
        <v/>
      </c>
      <c r="BT92" s="87" t="str">
        <f t="shared" si="199"/>
        <v/>
      </c>
    </row>
    <row r="93" spans="2:72" s="93" customFormat="1">
      <c r="B93" s="90">
        <f>Weekly!B85</f>
        <v>0</v>
      </c>
      <c r="C93" s="90">
        <f>Weekly!C85</f>
        <v>0</v>
      </c>
      <c r="D93" s="90">
        <f>Weekly!D90</f>
        <v>0</v>
      </c>
      <c r="E93" s="91" t="e">
        <f>VLOOKUP(B93,Team!$B$4:$E$183,4,FALSE)</f>
        <v>#N/A</v>
      </c>
      <c r="F93" s="92" t="str">
        <f>Weekly!M85</f>
        <v/>
      </c>
      <c r="G93" s="92" t="str">
        <f>Weekly!N85</f>
        <v/>
      </c>
      <c r="H93" s="48" t="str">
        <f t="shared" si="135"/>
        <v/>
      </c>
      <c r="I93" s="48" t="str">
        <f t="shared" si="136"/>
        <v/>
      </c>
      <c r="J93" s="48" t="str">
        <f t="shared" si="137"/>
        <v/>
      </c>
      <c r="K93" s="84" t="str">
        <f t="shared" si="138"/>
        <v/>
      </c>
      <c r="L93" s="82" t="str">
        <f t="shared" si="139"/>
        <v/>
      </c>
      <c r="M93" s="48" t="str">
        <f t="shared" si="140"/>
        <v/>
      </c>
      <c r="N93" s="48" t="str">
        <f t="shared" si="141"/>
        <v/>
      </c>
      <c r="O93" s="84" t="str">
        <f t="shared" si="142"/>
        <v/>
      </c>
      <c r="P93" s="82" t="str">
        <f t="shared" si="143"/>
        <v/>
      </c>
      <c r="Q93" s="48" t="str">
        <f t="shared" si="144"/>
        <v/>
      </c>
      <c r="R93" s="48" t="str">
        <f t="shared" si="145"/>
        <v/>
      </c>
      <c r="S93" s="84" t="str">
        <f t="shared" si="146"/>
        <v/>
      </c>
      <c r="T93" s="82" t="str">
        <f t="shared" si="147"/>
        <v/>
      </c>
      <c r="U93" s="48" t="str">
        <f t="shared" si="148"/>
        <v/>
      </c>
      <c r="V93" s="48" t="str">
        <f t="shared" si="149"/>
        <v/>
      </c>
      <c r="W93" s="84" t="str">
        <f t="shared" si="150"/>
        <v/>
      </c>
      <c r="X93" s="82" t="str">
        <f t="shared" si="151"/>
        <v/>
      </c>
      <c r="Y93" s="48" t="str">
        <f t="shared" si="152"/>
        <v/>
      </c>
      <c r="Z93" s="48" t="str">
        <f t="shared" si="153"/>
        <v/>
      </c>
      <c r="AA93" s="84" t="str">
        <f t="shared" si="154"/>
        <v/>
      </c>
      <c r="AB93" s="82" t="str">
        <f t="shared" si="155"/>
        <v/>
      </c>
      <c r="AC93" s="48" t="str">
        <f t="shared" si="156"/>
        <v/>
      </c>
      <c r="AD93" s="48" t="str">
        <f t="shared" si="157"/>
        <v/>
      </c>
      <c r="AE93" s="84" t="str">
        <f t="shared" si="158"/>
        <v/>
      </c>
      <c r="AF93" s="82" t="str">
        <f t="shared" si="159"/>
        <v/>
      </c>
      <c r="AG93" s="48" t="str">
        <f t="shared" si="160"/>
        <v/>
      </c>
      <c r="AH93" s="48" t="str">
        <f t="shared" si="161"/>
        <v/>
      </c>
      <c r="AI93" s="84" t="str">
        <f t="shared" si="162"/>
        <v/>
      </c>
      <c r="AJ93" s="82" t="str">
        <f t="shared" si="163"/>
        <v/>
      </c>
      <c r="AK93" s="48" t="str">
        <f t="shared" si="164"/>
        <v/>
      </c>
      <c r="AL93" s="48" t="str">
        <f t="shared" si="165"/>
        <v/>
      </c>
      <c r="AM93" s="84" t="str">
        <f t="shared" si="166"/>
        <v/>
      </c>
      <c r="AN93" s="82" t="str">
        <f t="shared" si="167"/>
        <v/>
      </c>
      <c r="AO93" s="48" t="str">
        <f t="shared" si="168"/>
        <v/>
      </c>
      <c r="AP93" s="48" t="str">
        <f t="shared" si="169"/>
        <v/>
      </c>
      <c r="AQ93" s="84" t="str">
        <f t="shared" si="170"/>
        <v/>
      </c>
      <c r="AR93" s="82" t="str">
        <f t="shared" si="171"/>
        <v/>
      </c>
      <c r="AS93" s="48" t="str">
        <f t="shared" si="172"/>
        <v/>
      </c>
      <c r="AT93" s="48" t="str">
        <f t="shared" si="173"/>
        <v/>
      </c>
      <c r="AU93" s="84" t="str">
        <f t="shared" si="174"/>
        <v/>
      </c>
      <c r="AV93" s="82" t="str">
        <f t="shared" si="175"/>
        <v/>
      </c>
      <c r="AW93" s="48" t="str">
        <f t="shared" si="176"/>
        <v/>
      </c>
      <c r="AX93" s="48" t="str">
        <f t="shared" si="177"/>
        <v/>
      </c>
      <c r="AY93" s="84" t="str">
        <f t="shared" si="178"/>
        <v/>
      </c>
      <c r="AZ93" s="82" t="str">
        <f t="shared" si="179"/>
        <v/>
      </c>
      <c r="BA93" s="48" t="str">
        <f t="shared" si="180"/>
        <v/>
      </c>
      <c r="BB93" s="48" t="str">
        <f t="shared" si="181"/>
        <v/>
      </c>
      <c r="BC93" s="84" t="str">
        <f t="shared" si="182"/>
        <v/>
      </c>
      <c r="BD93" s="82" t="str">
        <f t="shared" si="183"/>
        <v/>
      </c>
      <c r="BE93" s="48" t="str">
        <f t="shared" si="184"/>
        <v/>
      </c>
      <c r="BF93" s="48" t="str">
        <f t="shared" si="185"/>
        <v/>
      </c>
      <c r="BG93" s="84" t="str">
        <f t="shared" si="186"/>
        <v/>
      </c>
      <c r="BH93" s="87" t="str">
        <f t="shared" si="187"/>
        <v/>
      </c>
      <c r="BI93" s="49" t="str">
        <f t="shared" si="188"/>
        <v/>
      </c>
      <c r="BJ93" s="49" t="str">
        <f t="shared" si="189"/>
        <v/>
      </c>
      <c r="BK93" s="89" t="str">
        <f t="shared" si="190"/>
        <v/>
      </c>
      <c r="BL93" s="87" t="str">
        <f t="shared" si="191"/>
        <v/>
      </c>
      <c r="BM93" s="49" t="str">
        <f t="shared" si="192"/>
        <v/>
      </c>
      <c r="BN93" s="49" t="str">
        <f t="shared" si="193"/>
        <v/>
      </c>
      <c r="BO93" s="89" t="str">
        <f t="shared" si="194"/>
        <v/>
      </c>
      <c r="BP93" s="87" t="str">
        <f t="shared" si="195"/>
        <v/>
      </c>
      <c r="BQ93" s="49" t="str">
        <f t="shared" si="196"/>
        <v/>
      </c>
      <c r="BR93" s="49" t="str">
        <f t="shared" si="197"/>
        <v/>
      </c>
      <c r="BS93" s="89" t="str">
        <f t="shared" si="198"/>
        <v/>
      </c>
      <c r="BT93" s="87" t="str">
        <f t="shared" si="199"/>
        <v/>
      </c>
    </row>
    <row r="94" spans="2:72" s="93" customFormat="1">
      <c r="B94" s="90">
        <f>Weekly!B86</f>
        <v>0</v>
      </c>
      <c r="C94" s="90">
        <f>Weekly!C86</f>
        <v>0</v>
      </c>
      <c r="D94" s="90">
        <f>Weekly!D91</f>
        <v>0</v>
      </c>
      <c r="E94" s="91" t="e">
        <f>VLOOKUP(B94,Team!$B$4:$E$183,4,FALSE)</f>
        <v>#N/A</v>
      </c>
      <c r="F94" s="92" t="str">
        <f>Weekly!M86</f>
        <v/>
      </c>
      <c r="G94" s="92" t="str">
        <f>Weekly!N86</f>
        <v/>
      </c>
      <c r="H94" s="48" t="str">
        <f t="shared" si="135"/>
        <v/>
      </c>
      <c r="I94" s="48" t="str">
        <f t="shared" si="136"/>
        <v/>
      </c>
      <c r="J94" s="48" t="str">
        <f t="shared" si="137"/>
        <v/>
      </c>
      <c r="K94" s="84" t="str">
        <f t="shared" si="138"/>
        <v/>
      </c>
      <c r="L94" s="82" t="str">
        <f t="shared" si="139"/>
        <v/>
      </c>
      <c r="M94" s="48" t="str">
        <f t="shared" si="140"/>
        <v/>
      </c>
      <c r="N94" s="48" t="str">
        <f t="shared" si="141"/>
        <v/>
      </c>
      <c r="O94" s="84" t="str">
        <f t="shared" si="142"/>
        <v/>
      </c>
      <c r="P94" s="82" t="str">
        <f t="shared" si="143"/>
        <v/>
      </c>
      <c r="Q94" s="48" t="str">
        <f t="shared" si="144"/>
        <v/>
      </c>
      <c r="R94" s="48" t="str">
        <f t="shared" si="145"/>
        <v/>
      </c>
      <c r="S94" s="84" t="str">
        <f t="shared" si="146"/>
        <v/>
      </c>
      <c r="T94" s="82" t="str">
        <f t="shared" si="147"/>
        <v/>
      </c>
      <c r="U94" s="48" t="str">
        <f t="shared" si="148"/>
        <v/>
      </c>
      <c r="V94" s="48" t="str">
        <f t="shared" si="149"/>
        <v/>
      </c>
      <c r="W94" s="84" t="str">
        <f t="shared" si="150"/>
        <v/>
      </c>
      <c r="X94" s="82" t="str">
        <f t="shared" si="151"/>
        <v/>
      </c>
      <c r="Y94" s="48" t="str">
        <f t="shared" si="152"/>
        <v/>
      </c>
      <c r="Z94" s="48" t="str">
        <f t="shared" si="153"/>
        <v/>
      </c>
      <c r="AA94" s="84" t="str">
        <f t="shared" si="154"/>
        <v/>
      </c>
      <c r="AB94" s="82" t="str">
        <f t="shared" si="155"/>
        <v/>
      </c>
      <c r="AC94" s="48" t="str">
        <f t="shared" si="156"/>
        <v/>
      </c>
      <c r="AD94" s="48" t="str">
        <f t="shared" si="157"/>
        <v/>
      </c>
      <c r="AE94" s="84" t="str">
        <f t="shared" si="158"/>
        <v/>
      </c>
      <c r="AF94" s="82" t="str">
        <f t="shared" si="159"/>
        <v/>
      </c>
      <c r="AG94" s="48" t="str">
        <f t="shared" si="160"/>
        <v/>
      </c>
      <c r="AH94" s="48" t="str">
        <f t="shared" si="161"/>
        <v/>
      </c>
      <c r="AI94" s="84" t="str">
        <f t="shared" si="162"/>
        <v/>
      </c>
      <c r="AJ94" s="82" t="str">
        <f t="shared" si="163"/>
        <v/>
      </c>
      <c r="AK94" s="48" t="str">
        <f t="shared" si="164"/>
        <v/>
      </c>
      <c r="AL94" s="48" t="str">
        <f t="shared" si="165"/>
        <v/>
      </c>
      <c r="AM94" s="84" t="str">
        <f t="shared" si="166"/>
        <v/>
      </c>
      <c r="AN94" s="82" t="str">
        <f t="shared" si="167"/>
        <v/>
      </c>
      <c r="AO94" s="48" t="str">
        <f t="shared" si="168"/>
        <v/>
      </c>
      <c r="AP94" s="48" t="str">
        <f t="shared" si="169"/>
        <v/>
      </c>
      <c r="AQ94" s="84" t="str">
        <f t="shared" si="170"/>
        <v/>
      </c>
      <c r="AR94" s="82" t="str">
        <f t="shared" si="171"/>
        <v/>
      </c>
      <c r="AS94" s="48" t="str">
        <f t="shared" si="172"/>
        <v/>
      </c>
      <c r="AT94" s="48" t="str">
        <f t="shared" si="173"/>
        <v/>
      </c>
      <c r="AU94" s="84" t="str">
        <f t="shared" si="174"/>
        <v/>
      </c>
      <c r="AV94" s="82" t="str">
        <f t="shared" si="175"/>
        <v/>
      </c>
      <c r="AW94" s="48" t="str">
        <f t="shared" si="176"/>
        <v/>
      </c>
      <c r="AX94" s="48" t="str">
        <f t="shared" si="177"/>
        <v/>
      </c>
      <c r="AY94" s="84" t="str">
        <f t="shared" si="178"/>
        <v/>
      </c>
      <c r="AZ94" s="82" t="str">
        <f t="shared" si="179"/>
        <v/>
      </c>
      <c r="BA94" s="48" t="str">
        <f t="shared" si="180"/>
        <v/>
      </c>
      <c r="BB94" s="48" t="str">
        <f t="shared" si="181"/>
        <v/>
      </c>
      <c r="BC94" s="84" t="str">
        <f t="shared" si="182"/>
        <v/>
      </c>
      <c r="BD94" s="82" t="str">
        <f t="shared" si="183"/>
        <v/>
      </c>
      <c r="BE94" s="48" t="str">
        <f t="shared" si="184"/>
        <v/>
      </c>
      <c r="BF94" s="48" t="str">
        <f t="shared" si="185"/>
        <v/>
      </c>
      <c r="BG94" s="84" t="str">
        <f t="shared" si="186"/>
        <v/>
      </c>
      <c r="BH94" s="87" t="str">
        <f t="shared" si="187"/>
        <v/>
      </c>
      <c r="BI94" s="49" t="str">
        <f t="shared" si="188"/>
        <v/>
      </c>
      <c r="BJ94" s="49" t="str">
        <f t="shared" si="189"/>
        <v/>
      </c>
      <c r="BK94" s="89" t="str">
        <f t="shared" si="190"/>
        <v/>
      </c>
      <c r="BL94" s="87" t="str">
        <f t="shared" si="191"/>
        <v/>
      </c>
      <c r="BM94" s="49" t="str">
        <f t="shared" si="192"/>
        <v/>
      </c>
      <c r="BN94" s="49" t="str">
        <f t="shared" si="193"/>
        <v/>
      </c>
      <c r="BO94" s="89" t="str">
        <f t="shared" si="194"/>
        <v/>
      </c>
      <c r="BP94" s="87" t="str">
        <f t="shared" si="195"/>
        <v/>
      </c>
      <c r="BQ94" s="49" t="str">
        <f t="shared" si="196"/>
        <v/>
      </c>
      <c r="BR94" s="49" t="str">
        <f t="shared" si="197"/>
        <v/>
      </c>
      <c r="BS94" s="89" t="str">
        <f t="shared" si="198"/>
        <v/>
      </c>
      <c r="BT94" s="87" t="str">
        <f t="shared" si="199"/>
        <v/>
      </c>
    </row>
    <row r="95" spans="2:72" s="93" customFormat="1">
      <c r="B95" s="90">
        <f>Weekly!B87</f>
        <v>0</v>
      </c>
      <c r="C95" s="90">
        <f>Weekly!C87</f>
        <v>0</v>
      </c>
      <c r="D95" s="90">
        <f>Weekly!D92</f>
        <v>0</v>
      </c>
      <c r="E95" s="91" t="e">
        <f>VLOOKUP(B95,Team!$B$4:$E$183,4,FALSE)</f>
        <v>#N/A</v>
      </c>
      <c r="F95" s="92" t="str">
        <f>Weekly!M87</f>
        <v/>
      </c>
      <c r="G95" s="92" t="str">
        <f>Weekly!N87</f>
        <v/>
      </c>
      <c r="H95" s="48" t="str">
        <f t="shared" si="135"/>
        <v/>
      </c>
      <c r="I95" s="48" t="str">
        <f t="shared" si="136"/>
        <v/>
      </c>
      <c r="J95" s="48" t="str">
        <f t="shared" si="137"/>
        <v/>
      </c>
      <c r="K95" s="84" t="str">
        <f t="shared" si="138"/>
        <v/>
      </c>
      <c r="L95" s="82" t="str">
        <f t="shared" si="139"/>
        <v/>
      </c>
      <c r="M95" s="48" t="str">
        <f t="shared" si="140"/>
        <v/>
      </c>
      <c r="N95" s="48" t="str">
        <f t="shared" si="141"/>
        <v/>
      </c>
      <c r="O95" s="84" t="str">
        <f t="shared" si="142"/>
        <v/>
      </c>
      <c r="P95" s="82" t="str">
        <f t="shared" si="143"/>
        <v/>
      </c>
      <c r="Q95" s="48" t="str">
        <f t="shared" si="144"/>
        <v/>
      </c>
      <c r="R95" s="48" t="str">
        <f t="shared" si="145"/>
        <v/>
      </c>
      <c r="S95" s="84" t="str">
        <f t="shared" si="146"/>
        <v/>
      </c>
      <c r="T95" s="82" t="str">
        <f t="shared" si="147"/>
        <v/>
      </c>
      <c r="U95" s="48" t="str">
        <f t="shared" si="148"/>
        <v/>
      </c>
      <c r="V95" s="48" t="str">
        <f t="shared" si="149"/>
        <v/>
      </c>
      <c r="W95" s="84" t="str">
        <f t="shared" si="150"/>
        <v/>
      </c>
      <c r="X95" s="82" t="str">
        <f t="shared" si="151"/>
        <v/>
      </c>
      <c r="Y95" s="48" t="str">
        <f t="shared" si="152"/>
        <v/>
      </c>
      <c r="Z95" s="48" t="str">
        <f t="shared" si="153"/>
        <v/>
      </c>
      <c r="AA95" s="84" t="str">
        <f t="shared" si="154"/>
        <v/>
      </c>
      <c r="AB95" s="82" t="str">
        <f t="shared" si="155"/>
        <v/>
      </c>
      <c r="AC95" s="48" t="str">
        <f t="shared" si="156"/>
        <v/>
      </c>
      <c r="AD95" s="48" t="str">
        <f t="shared" si="157"/>
        <v/>
      </c>
      <c r="AE95" s="84" t="str">
        <f t="shared" si="158"/>
        <v/>
      </c>
      <c r="AF95" s="82" t="str">
        <f t="shared" si="159"/>
        <v/>
      </c>
      <c r="AG95" s="48" t="str">
        <f t="shared" si="160"/>
        <v/>
      </c>
      <c r="AH95" s="48" t="str">
        <f t="shared" si="161"/>
        <v/>
      </c>
      <c r="AI95" s="84" t="str">
        <f t="shared" si="162"/>
        <v/>
      </c>
      <c r="AJ95" s="82" t="str">
        <f t="shared" si="163"/>
        <v/>
      </c>
      <c r="AK95" s="48" t="str">
        <f t="shared" si="164"/>
        <v/>
      </c>
      <c r="AL95" s="48" t="str">
        <f t="shared" si="165"/>
        <v/>
      </c>
      <c r="AM95" s="84" t="str">
        <f t="shared" si="166"/>
        <v/>
      </c>
      <c r="AN95" s="82" t="str">
        <f t="shared" si="167"/>
        <v/>
      </c>
      <c r="AO95" s="48" t="str">
        <f t="shared" si="168"/>
        <v/>
      </c>
      <c r="AP95" s="48" t="str">
        <f t="shared" si="169"/>
        <v/>
      </c>
      <c r="AQ95" s="84" t="str">
        <f t="shared" si="170"/>
        <v/>
      </c>
      <c r="AR95" s="82" t="str">
        <f t="shared" si="171"/>
        <v/>
      </c>
      <c r="AS95" s="48" t="str">
        <f t="shared" si="172"/>
        <v/>
      </c>
      <c r="AT95" s="48" t="str">
        <f t="shared" si="173"/>
        <v/>
      </c>
      <c r="AU95" s="84" t="str">
        <f t="shared" si="174"/>
        <v/>
      </c>
      <c r="AV95" s="82" t="str">
        <f t="shared" si="175"/>
        <v/>
      </c>
      <c r="AW95" s="48" t="str">
        <f t="shared" si="176"/>
        <v/>
      </c>
      <c r="AX95" s="48" t="str">
        <f t="shared" si="177"/>
        <v/>
      </c>
      <c r="AY95" s="84" t="str">
        <f t="shared" si="178"/>
        <v/>
      </c>
      <c r="AZ95" s="82" t="str">
        <f t="shared" si="179"/>
        <v/>
      </c>
      <c r="BA95" s="48" t="str">
        <f t="shared" si="180"/>
        <v/>
      </c>
      <c r="BB95" s="48" t="str">
        <f t="shared" si="181"/>
        <v/>
      </c>
      <c r="BC95" s="84" t="str">
        <f t="shared" si="182"/>
        <v/>
      </c>
      <c r="BD95" s="82" t="str">
        <f t="shared" si="183"/>
        <v/>
      </c>
      <c r="BE95" s="48" t="str">
        <f t="shared" si="184"/>
        <v/>
      </c>
      <c r="BF95" s="48" t="str">
        <f t="shared" si="185"/>
        <v/>
      </c>
      <c r="BG95" s="84" t="str">
        <f t="shared" si="186"/>
        <v/>
      </c>
      <c r="BH95" s="87" t="str">
        <f t="shared" si="187"/>
        <v/>
      </c>
      <c r="BI95" s="49" t="str">
        <f t="shared" si="188"/>
        <v/>
      </c>
      <c r="BJ95" s="49" t="str">
        <f t="shared" si="189"/>
        <v/>
      </c>
      <c r="BK95" s="89" t="str">
        <f t="shared" si="190"/>
        <v/>
      </c>
      <c r="BL95" s="87" t="str">
        <f t="shared" si="191"/>
        <v/>
      </c>
      <c r="BM95" s="49" t="str">
        <f t="shared" si="192"/>
        <v/>
      </c>
      <c r="BN95" s="49" t="str">
        <f t="shared" si="193"/>
        <v/>
      </c>
      <c r="BO95" s="89" t="str">
        <f t="shared" si="194"/>
        <v/>
      </c>
      <c r="BP95" s="87" t="str">
        <f t="shared" si="195"/>
        <v/>
      </c>
      <c r="BQ95" s="49" t="str">
        <f t="shared" si="196"/>
        <v/>
      </c>
      <c r="BR95" s="49" t="str">
        <f t="shared" si="197"/>
        <v/>
      </c>
      <c r="BS95" s="89" t="str">
        <f t="shared" si="198"/>
        <v/>
      </c>
      <c r="BT95" s="87" t="str">
        <f t="shared" si="199"/>
        <v/>
      </c>
    </row>
    <row r="96" spans="2:72" s="93" customFormat="1">
      <c r="B96" s="90">
        <f>Weekly!B88</f>
        <v>0</v>
      </c>
      <c r="C96" s="90">
        <f>Weekly!C88</f>
        <v>0</v>
      </c>
      <c r="D96" s="90">
        <f>Weekly!D93</f>
        <v>0</v>
      </c>
      <c r="E96" s="91" t="e">
        <f>VLOOKUP(B96,Team!$B$4:$E$183,4,FALSE)</f>
        <v>#N/A</v>
      </c>
      <c r="F96" s="92" t="str">
        <f>Weekly!M88</f>
        <v/>
      </c>
      <c r="G96" s="92" t="str">
        <f>Weekly!N88</f>
        <v/>
      </c>
      <c r="H96" s="48" t="str">
        <f t="shared" si="135"/>
        <v/>
      </c>
      <c r="I96" s="48" t="str">
        <f t="shared" si="136"/>
        <v/>
      </c>
      <c r="J96" s="48" t="str">
        <f t="shared" si="137"/>
        <v/>
      </c>
      <c r="K96" s="84" t="str">
        <f t="shared" si="138"/>
        <v/>
      </c>
      <c r="L96" s="82" t="str">
        <f t="shared" si="139"/>
        <v/>
      </c>
      <c r="M96" s="48" t="str">
        <f t="shared" si="140"/>
        <v/>
      </c>
      <c r="N96" s="48" t="str">
        <f t="shared" si="141"/>
        <v/>
      </c>
      <c r="O96" s="84" t="str">
        <f t="shared" si="142"/>
        <v/>
      </c>
      <c r="P96" s="82" t="str">
        <f t="shared" si="143"/>
        <v/>
      </c>
      <c r="Q96" s="48" t="str">
        <f t="shared" si="144"/>
        <v/>
      </c>
      <c r="R96" s="48" t="str">
        <f t="shared" si="145"/>
        <v/>
      </c>
      <c r="S96" s="84" t="str">
        <f t="shared" si="146"/>
        <v/>
      </c>
      <c r="T96" s="82" t="str">
        <f t="shared" si="147"/>
        <v/>
      </c>
      <c r="U96" s="48" t="str">
        <f t="shared" si="148"/>
        <v/>
      </c>
      <c r="V96" s="48" t="str">
        <f t="shared" si="149"/>
        <v/>
      </c>
      <c r="W96" s="84" t="str">
        <f t="shared" si="150"/>
        <v/>
      </c>
      <c r="X96" s="82" t="str">
        <f t="shared" si="151"/>
        <v/>
      </c>
      <c r="Y96" s="48" t="str">
        <f t="shared" si="152"/>
        <v/>
      </c>
      <c r="Z96" s="48" t="str">
        <f t="shared" si="153"/>
        <v/>
      </c>
      <c r="AA96" s="84" t="str">
        <f t="shared" si="154"/>
        <v/>
      </c>
      <c r="AB96" s="82" t="str">
        <f t="shared" si="155"/>
        <v/>
      </c>
      <c r="AC96" s="48" t="str">
        <f t="shared" si="156"/>
        <v/>
      </c>
      <c r="AD96" s="48" t="str">
        <f t="shared" si="157"/>
        <v/>
      </c>
      <c r="AE96" s="84" t="str">
        <f t="shared" si="158"/>
        <v/>
      </c>
      <c r="AF96" s="82" t="str">
        <f t="shared" si="159"/>
        <v/>
      </c>
      <c r="AG96" s="48" t="str">
        <f t="shared" si="160"/>
        <v/>
      </c>
      <c r="AH96" s="48" t="str">
        <f t="shared" si="161"/>
        <v/>
      </c>
      <c r="AI96" s="84" t="str">
        <f t="shared" si="162"/>
        <v/>
      </c>
      <c r="AJ96" s="82" t="str">
        <f t="shared" si="163"/>
        <v/>
      </c>
      <c r="AK96" s="48" t="str">
        <f t="shared" si="164"/>
        <v/>
      </c>
      <c r="AL96" s="48" t="str">
        <f t="shared" si="165"/>
        <v/>
      </c>
      <c r="AM96" s="84" t="str">
        <f t="shared" si="166"/>
        <v/>
      </c>
      <c r="AN96" s="82" t="str">
        <f t="shared" si="167"/>
        <v/>
      </c>
      <c r="AO96" s="48" t="str">
        <f t="shared" si="168"/>
        <v/>
      </c>
      <c r="AP96" s="48" t="str">
        <f t="shared" si="169"/>
        <v/>
      </c>
      <c r="AQ96" s="84" t="str">
        <f t="shared" si="170"/>
        <v/>
      </c>
      <c r="AR96" s="82" t="str">
        <f t="shared" si="171"/>
        <v/>
      </c>
      <c r="AS96" s="48" t="str">
        <f t="shared" si="172"/>
        <v/>
      </c>
      <c r="AT96" s="48" t="str">
        <f t="shared" si="173"/>
        <v/>
      </c>
      <c r="AU96" s="84" t="str">
        <f t="shared" si="174"/>
        <v/>
      </c>
      <c r="AV96" s="82" t="str">
        <f t="shared" si="175"/>
        <v/>
      </c>
      <c r="AW96" s="48" t="str">
        <f t="shared" si="176"/>
        <v/>
      </c>
      <c r="AX96" s="48" t="str">
        <f t="shared" si="177"/>
        <v/>
      </c>
      <c r="AY96" s="84" t="str">
        <f t="shared" si="178"/>
        <v/>
      </c>
      <c r="AZ96" s="82" t="str">
        <f t="shared" si="179"/>
        <v/>
      </c>
      <c r="BA96" s="48" t="str">
        <f t="shared" si="180"/>
        <v/>
      </c>
      <c r="BB96" s="48" t="str">
        <f t="shared" si="181"/>
        <v/>
      </c>
      <c r="BC96" s="84" t="str">
        <f t="shared" si="182"/>
        <v/>
      </c>
      <c r="BD96" s="82" t="str">
        <f t="shared" si="183"/>
        <v/>
      </c>
      <c r="BE96" s="48" t="str">
        <f t="shared" si="184"/>
        <v/>
      </c>
      <c r="BF96" s="48" t="str">
        <f t="shared" si="185"/>
        <v/>
      </c>
      <c r="BG96" s="84" t="str">
        <f t="shared" si="186"/>
        <v/>
      </c>
      <c r="BH96" s="87" t="str">
        <f t="shared" si="187"/>
        <v/>
      </c>
      <c r="BI96" s="49" t="str">
        <f t="shared" si="188"/>
        <v/>
      </c>
      <c r="BJ96" s="49" t="str">
        <f t="shared" si="189"/>
        <v/>
      </c>
      <c r="BK96" s="89" t="str">
        <f t="shared" si="190"/>
        <v/>
      </c>
      <c r="BL96" s="87" t="str">
        <f t="shared" si="191"/>
        <v/>
      </c>
      <c r="BM96" s="49" t="str">
        <f t="shared" si="192"/>
        <v/>
      </c>
      <c r="BN96" s="49" t="str">
        <f t="shared" si="193"/>
        <v/>
      </c>
      <c r="BO96" s="89" t="str">
        <f t="shared" si="194"/>
        <v/>
      </c>
      <c r="BP96" s="87" t="str">
        <f t="shared" si="195"/>
        <v/>
      </c>
      <c r="BQ96" s="49" t="str">
        <f t="shared" si="196"/>
        <v/>
      </c>
      <c r="BR96" s="49" t="str">
        <f t="shared" si="197"/>
        <v/>
      </c>
      <c r="BS96" s="89" t="str">
        <f t="shared" si="198"/>
        <v/>
      </c>
      <c r="BT96" s="87" t="str">
        <f t="shared" si="199"/>
        <v/>
      </c>
    </row>
    <row r="97" spans="2:72" s="93" customFormat="1">
      <c r="B97" s="90">
        <f>Weekly!B89</f>
        <v>0</v>
      </c>
      <c r="C97" s="90">
        <f>Weekly!C89</f>
        <v>0</v>
      </c>
      <c r="D97" s="90">
        <f>Weekly!D94</f>
        <v>0</v>
      </c>
      <c r="E97" s="91" t="e">
        <f>VLOOKUP(B97,Team!$B$4:$E$183,4,FALSE)</f>
        <v>#N/A</v>
      </c>
      <c r="F97" s="92" t="str">
        <f>Weekly!M89</f>
        <v/>
      </c>
      <c r="G97" s="92" t="str">
        <f>Weekly!N89</f>
        <v/>
      </c>
      <c r="H97" s="48" t="str">
        <f t="shared" si="135"/>
        <v/>
      </c>
      <c r="I97" s="48" t="str">
        <f t="shared" si="136"/>
        <v/>
      </c>
      <c r="J97" s="48" t="str">
        <f t="shared" si="137"/>
        <v/>
      </c>
      <c r="K97" s="84" t="str">
        <f t="shared" si="138"/>
        <v/>
      </c>
      <c r="L97" s="82" t="str">
        <f t="shared" si="139"/>
        <v/>
      </c>
      <c r="M97" s="48" t="str">
        <f t="shared" si="140"/>
        <v/>
      </c>
      <c r="N97" s="48" t="str">
        <f t="shared" si="141"/>
        <v/>
      </c>
      <c r="O97" s="84" t="str">
        <f t="shared" si="142"/>
        <v/>
      </c>
      <c r="P97" s="82" t="str">
        <f t="shared" si="143"/>
        <v/>
      </c>
      <c r="Q97" s="48" t="str">
        <f t="shared" si="144"/>
        <v/>
      </c>
      <c r="R97" s="48" t="str">
        <f t="shared" si="145"/>
        <v/>
      </c>
      <c r="S97" s="84" t="str">
        <f t="shared" si="146"/>
        <v/>
      </c>
      <c r="T97" s="82" t="str">
        <f t="shared" si="147"/>
        <v/>
      </c>
      <c r="U97" s="48" t="str">
        <f t="shared" si="148"/>
        <v/>
      </c>
      <c r="V97" s="48" t="str">
        <f t="shared" si="149"/>
        <v/>
      </c>
      <c r="W97" s="84" t="str">
        <f t="shared" si="150"/>
        <v/>
      </c>
      <c r="X97" s="82" t="str">
        <f t="shared" si="151"/>
        <v/>
      </c>
      <c r="Y97" s="48" t="str">
        <f t="shared" si="152"/>
        <v/>
      </c>
      <c r="Z97" s="48" t="str">
        <f t="shared" si="153"/>
        <v/>
      </c>
      <c r="AA97" s="84" t="str">
        <f t="shared" si="154"/>
        <v/>
      </c>
      <c r="AB97" s="82" t="str">
        <f t="shared" si="155"/>
        <v/>
      </c>
      <c r="AC97" s="48" t="str">
        <f t="shared" si="156"/>
        <v/>
      </c>
      <c r="AD97" s="48" t="str">
        <f t="shared" si="157"/>
        <v/>
      </c>
      <c r="AE97" s="84" t="str">
        <f t="shared" si="158"/>
        <v/>
      </c>
      <c r="AF97" s="82" t="str">
        <f t="shared" si="159"/>
        <v/>
      </c>
      <c r="AG97" s="48" t="str">
        <f t="shared" si="160"/>
        <v/>
      </c>
      <c r="AH97" s="48" t="str">
        <f t="shared" si="161"/>
        <v/>
      </c>
      <c r="AI97" s="84" t="str">
        <f t="shared" si="162"/>
        <v/>
      </c>
      <c r="AJ97" s="82" t="str">
        <f t="shared" si="163"/>
        <v/>
      </c>
      <c r="AK97" s="48" t="str">
        <f t="shared" si="164"/>
        <v/>
      </c>
      <c r="AL97" s="48" t="str">
        <f t="shared" si="165"/>
        <v/>
      </c>
      <c r="AM97" s="84" t="str">
        <f t="shared" si="166"/>
        <v/>
      </c>
      <c r="AN97" s="82" t="str">
        <f t="shared" si="167"/>
        <v/>
      </c>
      <c r="AO97" s="48" t="str">
        <f t="shared" si="168"/>
        <v/>
      </c>
      <c r="AP97" s="48" t="str">
        <f t="shared" si="169"/>
        <v/>
      </c>
      <c r="AQ97" s="84" t="str">
        <f t="shared" si="170"/>
        <v/>
      </c>
      <c r="AR97" s="82" t="str">
        <f t="shared" si="171"/>
        <v/>
      </c>
      <c r="AS97" s="48" t="str">
        <f t="shared" si="172"/>
        <v/>
      </c>
      <c r="AT97" s="48" t="str">
        <f t="shared" si="173"/>
        <v/>
      </c>
      <c r="AU97" s="84" t="str">
        <f t="shared" si="174"/>
        <v/>
      </c>
      <c r="AV97" s="82" t="str">
        <f t="shared" si="175"/>
        <v/>
      </c>
      <c r="AW97" s="48" t="str">
        <f t="shared" si="176"/>
        <v/>
      </c>
      <c r="AX97" s="48" t="str">
        <f t="shared" si="177"/>
        <v/>
      </c>
      <c r="AY97" s="84" t="str">
        <f t="shared" si="178"/>
        <v/>
      </c>
      <c r="AZ97" s="82" t="str">
        <f t="shared" si="179"/>
        <v/>
      </c>
      <c r="BA97" s="48" t="str">
        <f t="shared" si="180"/>
        <v/>
      </c>
      <c r="BB97" s="48" t="str">
        <f t="shared" si="181"/>
        <v/>
      </c>
      <c r="BC97" s="84" t="str">
        <f t="shared" si="182"/>
        <v/>
      </c>
      <c r="BD97" s="82" t="str">
        <f t="shared" si="183"/>
        <v/>
      </c>
      <c r="BE97" s="48" t="str">
        <f t="shared" si="184"/>
        <v/>
      </c>
      <c r="BF97" s="48" t="str">
        <f t="shared" si="185"/>
        <v/>
      </c>
      <c r="BG97" s="84" t="str">
        <f t="shared" si="186"/>
        <v/>
      </c>
      <c r="BH97" s="87" t="str">
        <f t="shared" si="187"/>
        <v/>
      </c>
      <c r="BI97" s="49" t="str">
        <f t="shared" si="188"/>
        <v/>
      </c>
      <c r="BJ97" s="49" t="str">
        <f t="shared" si="189"/>
        <v/>
      </c>
      <c r="BK97" s="89" t="str">
        <f t="shared" si="190"/>
        <v/>
      </c>
      <c r="BL97" s="87" t="str">
        <f t="shared" si="191"/>
        <v/>
      </c>
      <c r="BM97" s="49" t="str">
        <f t="shared" si="192"/>
        <v/>
      </c>
      <c r="BN97" s="49" t="str">
        <f t="shared" si="193"/>
        <v/>
      </c>
      <c r="BO97" s="89" t="str">
        <f t="shared" si="194"/>
        <v/>
      </c>
      <c r="BP97" s="87" t="str">
        <f t="shared" si="195"/>
        <v/>
      </c>
      <c r="BQ97" s="49" t="str">
        <f t="shared" si="196"/>
        <v/>
      </c>
      <c r="BR97" s="49" t="str">
        <f t="shared" si="197"/>
        <v/>
      </c>
      <c r="BS97" s="89" t="str">
        <f t="shared" si="198"/>
        <v/>
      </c>
      <c r="BT97" s="87" t="str">
        <f t="shared" si="199"/>
        <v/>
      </c>
    </row>
    <row r="98" spans="2:72" s="93" customFormat="1">
      <c r="B98" s="90">
        <f>Weekly!B90</f>
        <v>0</v>
      </c>
      <c r="C98" s="90">
        <f>Weekly!C90</f>
        <v>0</v>
      </c>
      <c r="D98" s="90">
        <f>Weekly!D95</f>
        <v>0</v>
      </c>
      <c r="E98" s="91" t="e">
        <f>VLOOKUP(B98,Team!$B$4:$E$183,4,FALSE)</f>
        <v>#N/A</v>
      </c>
      <c r="F98" s="92" t="str">
        <f>Weekly!M90</f>
        <v/>
      </c>
      <c r="G98" s="92" t="str">
        <f>Weekly!N90</f>
        <v/>
      </c>
      <c r="H98" s="48" t="str">
        <f t="shared" si="135"/>
        <v/>
      </c>
      <c r="I98" s="48" t="str">
        <f t="shared" si="136"/>
        <v/>
      </c>
      <c r="J98" s="48" t="str">
        <f t="shared" si="137"/>
        <v/>
      </c>
      <c r="K98" s="84" t="str">
        <f t="shared" si="138"/>
        <v/>
      </c>
      <c r="L98" s="82" t="str">
        <f t="shared" si="139"/>
        <v/>
      </c>
      <c r="M98" s="48" t="str">
        <f t="shared" si="140"/>
        <v/>
      </c>
      <c r="N98" s="48" t="str">
        <f t="shared" si="141"/>
        <v/>
      </c>
      <c r="O98" s="84" t="str">
        <f t="shared" si="142"/>
        <v/>
      </c>
      <c r="P98" s="82" t="str">
        <f t="shared" si="143"/>
        <v/>
      </c>
      <c r="Q98" s="48" t="str">
        <f t="shared" si="144"/>
        <v/>
      </c>
      <c r="R98" s="48" t="str">
        <f t="shared" si="145"/>
        <v/>
      </c>
      <c r="S98" s="84" t="str">
        <f t="shared" si="146"/>
        <v/>
      </c>
      <c r="T98" s="82" t="str">
        <f t="shared" si="147"/>
        <v/>
      </c>
      <c r="U98" s="48" t="str">
        <f t="shared" si="148"/>
        <v/>
      </c>
      <c r="V98" s="48" t="str">
        <f t="shared" si="149"/>
        <v/>
      </c>
      <c r="W98" s="84" t="str">
        <f t="shared" si="150"/>
        <v/>
      </c>
      <c r="X98" s="82" t="str">
        <f t="shared" si="151"/>
        <v/>
      </c>
      <c r="Y98" s="48" t="str">
        <f t="shared" si="152"/>
        <v/>
      </c>
      <c r="Z98" s="48" t="str">
        <f t="shared" si="153"/>
        <v/>
      </c>
      <c r="AA98" s="84" t="str">
        <f t="shared" si="154"/>
        <v/>
      </c>
      <c r="AB98" s="82" t="str">
        <f t="shared" si="155"/>
        <v/>
      </c>
      <c r="AC98" s="48" t="str">
        <f t="shared" si="156"/>
        <v/>
      </c>
      <c r="AD98" s="48" t="str">
        <f t="shared" si="157"/>
        <v/>
      </c>
      <c r="AE98" s="84" t="str">
        <f t="shared" si="158"/>
        <v/>
      </c>
      <c r="AF98" s="82" t="str">
        <f t="shared" si="159"/>
        <v/>
      </c>
      <c r="AG98" s="48" t="str">
        <f t="shared" si="160"/>
        <v/>
      </c>
      <c r="AH98" s="48" t="str">
        <f t="shared" si="161"/>
        <v/>
      </c>
      <c r="AI98" s="84" t="str">
        <f t="shared" si="162"/>
        <v/>
      </c>
      <c r="AJ98" s="82" t="str">
        <f t="shared" si="163"/>
        <v/>
      </c>
      <c r="AK98" s="48" t="str">
        <f t="shared" si="164"/>
        <v/>
      </c>
      <c r="AL98" s="48" t="str">
        <f t="shared" si="165"/>
        <v/>
      </c>
      <c r="AM98" s="84" t="str">
        <f t="shared" si="166"/>
        <v/>
      </c>
      <c r="AN98" s="82" t="str">
        <f t="shared" si="167"/>
        <v/>
      </c>
      <c r="AO98" s="48" t="str">
        <f t="shared" si="168"/>
        <v/>
      </c>
      <c r="AP98" s="48" t="str">
        <f t="shared" si="169"/>
        <v/>
      </c>
      <c r="AQ98" s="84" t="str">
        <f t="shared" si="170"/>
        <v/>
      </c>
      <c r="AR98" s="82" t="str">
        <f t="shared" si="171"/>
        <v/>
      </c>
      <c r="AS98" s="48" t="str">
        <f t="shared" si="172"/>
        <v/>
      </c>
      <c r="AT98" s="48" t="str">
        <f t="shared" si="173"/>
        <v/>
      </c>
      <c r="AU98" s="84" t="str">
        <f t="shared" si="174"/>
        <v/>
      </c>
      <c r="AV98" s="82" t="str">
        <f t="shared" si="175"/>
        <v/>
      </c>
      <c r="AW98" s="48" t="str">
        <f t="shared" si="176"/>
        <v/>
      </c>
      <c r="AX98" s="48" t="str">
        <f t="shared" si="177"/>
        <v/>
      </c>
      <c r="AY98" s="84" t="str">
        <f t="shared" si="178"/>
        <v/>
      </c>
      <c r="AZ98" s="82" t="str">
        <f t="shared" si="179"/>
        <v/>
      </c>
      <c r="BA98" s="48" t="str">
        <f t="shared" si="180"/>
        <v/>
      </c>
      <c r="BB98" s="48" t="str">
        <f t="shared" si="181"/>
        <v/>
      </c>
      <c r="BC98" s="84" t="str">
        <f t="shared" si="182"/>
        <v/>
      </c>
      <c r="BD98" s="82" t="str">
        <f t="shared" si="183"/>
        <v/>
      </c>
      <c r="BE98" s="48" t="str">
        <f t="shared" si="184"/>
        <v/>
      </c>
      <c r="BF98" s="48" t="str">
        <f t="shared" si="185"/>
        <v/>
      </c>
      <c r="BG98" s="84" t="str">
        <f t="shared" si="186"/>
        <v/>
      </c>
      <c r="BH98" s="87" t="str">
        <f t="shared" si="187"/>
        <v/>
      </c>
      <c r="BI98" s="49" t="str">
        <f t="shared" si="188"/>
        <v/>
      </c>
      <c r="BJ98" s="49" t="str">
        <f t="shared" si="189"/>
        <v/>
      </c>
      <c r="BK98" s="89" t="str">
        <f t="shared" si="190"/>
        <v/>
      </c>
      <c r="BL98" s="87" t="str">
        <f t="shared" si="191"/>
        <v/>
      </c>
      <c r="BM98" s="49" t="str">
        <f t="shared" si="192"/>
        <v/>
      </c>
      <c r="BN98" s="49" t="str">
        <f t="shared" si="193"/>
        <v/>
      </c>
      <c r="BO98" s="89" t="str">
        <f t="shared" si="194"/>
        <v/>
      </c>
      <c r="BP98" s="87" t="str">
        <f t="shared" si="195"/>
        <v/>
      </c>
      <c r="BQ98" s="49" t="str">
        <f t="shared" si="196"/>
        <v/>
      </c>
      <c r="BR98" s="49" t="str">
        <f t="shared" si="197"/>
        <v/>
      </c>
      <c r="BS98" s="89" t="str">
        <f t="shared" si="198"/>
        <v/>
      </c>
      <c r="BT98" s="87" t="str">
        <f t="shared" si="199"/>
        <v/>
      </c>
    </row>
    <row r="99" spans="2:72" s="93" customFormat="1">
      <c r="B99" s="90">
        <f>Weekly!B91</f>
        <v>0</v>
      </c>
      <c r="C99" s="90">
        <f>Weekly!C91</f>
        <v>0</v>
      </c>
      <c r="D99" s="90">
        <f>Weekly!D96</f>
        <v>0</v>
      </c>
      <c r="E99" s="91" t="e">
        <f>VLOOKUP(B99,Team!$B$4:$E$183,4,FALSE)</f>
        <v>#N/A</v>
      </c>
      <c r="F99" s="92" t="str">
        <f>Weekly!M91</f>
        <v/>
      </c>
      <c r="G99" s="92" t="str">
        <f>Weekly!N91</f>
        <v/>
      </c>
      <c r="H99" s="48" t="str">
        <f t="shared" si="135"/>
        <v/>
      </c>
      <c r="I99" s="48" t="str">
        <f t="shared" si="136"/>
        <v/>
      </c>
      <c r="J99" s="48" t="str">
        <f t="shared" si="137"/>
        <v/>
      </c>
      <c r="K99" s="84" t="str">
        <f t="shared" si="138"/>
        <v/>
      </c>
      <c r="L99" s="82" t="str">
        <f t="shared" si="139"/>
        <v/>
      </c>
      <c r="M99" s="48" t="str">
        <f t="shared" si="140"/>
        <v/>
      </c>
      <c r="N99" s="48" t="str">
        <f t="shared" si="141"/>
        <v/>
      </c>
      <c r="O99" s="84" t="str">
        <f t="shared" si="142"/>
        <v/>
      </c>
      <c r="P99" s="82" t="str">
        <f t="shared" si="143"/>
        <v/>
      </c>
      <c r="Q99" s="48" t="str">
        <f t="shared" si="144"/>
        <v/>
      </c>
      <c r="R99" s="48" t="str">
        <f t="shared" si="145"/>
        <v/>
      </c>
      <c r="S99" s="84" t="str">
        <f t="shared" si="146"/>
        <v/>
      </c>
      <c r="T99" s="82" t="str">
        <f t="shared" si="147"/>
        <v/>
      </c>
      <c r="U99" s="48" t="str">
        <f t="shared" si="148"/>
        <v/>
      </c>
      <c r="V99" s="48" t="str">
        <f t="shared" si="149"/>
        <v/>
      </c>
      <c r="W99" s="84" t="str">
        <f t="shared" si="150"/>
        <v/>
      </c>
      <c r="X99" s="82" t="str">
        <f t="shared" si="151"/>
        <v/>
      </c>
      <c r="Y99" s="48" t="str">
        <f t="shared" si="152"/>
        <v/>
      </c>
      <c r="Z99" s="48" t="str">
        <f t="shared" si="153"/>
        <v/>
      </c>
      <c r="AA99" s="84" t="str">
        <f t="shared" si="154"/>
        <v/>
      </c>
      <c r="AB99" s="82" t="str">
        <f t="shared" si="155"/>
        <v/>
      </c>
      <c r="AC99" s="48" t="str">
        <f t="shared" si="156"/>
        <v/>
      </c>
      <c r="AD99" s="48" t="str">
        <f t="shared" si="157"/>
        <v/>
      </c>
      <c r="AE99" s="84" t="str">
        <f t="shared" si="158"/>
        <v/>
      </c>
      <c r="AF99" s="82" t="str">
        <f t="shared" si="159"/>
        <v/>
      </c>
      <c r="AG99" s="48" t="str">
        <f t="shared" si="160"/>
        <v/>
      </c>
      <c r="AH99" s="48" t="str">
        <f t="shared" si="161"/>
        <v/>
      </c>
      <c r="AI99" s="84" t="str">
        <f t="shared" si="162"/>
        <v/>
      </c>
      <c r="AJ99" s="82" t="str">
        <f t="shared" si="163"/>
        <v/>
      </c>
      <c r="AK99" s="48" t="str">
        <f t="shared" si="164"/>
        <v/>
      </c>
      <c r="AL99" s="48" t="str">
        <f t="shared" si="165"/>
        <v/>
      </c>
      <c r="AM99" s="84" t="str">
        <f t="shared" si="166"/>
        <v/>
      </c>
      <c r="AN99" s="82" t="str">
        <f t="shared" si="167"/>
        <v/>
      </c>
      <c r="AO99" s="48" t="str">
        <f t="shared" si="168"/>
        <v/>
      </c>
      <c r="AP99" s="48" t="str">
        <f t="shared" si="169"/>
        <v/>
      </c>
      <c r="AQ99" s="84" t="str">
        <f t="shared" si="170"/>
        <v/>
      </c>
      <c r="AR99" s="82" t="str">
        <f t="shared" si="171"/>
        <v/>
      </c>
      <c r="AS99" s="48" t="str">
        <f t="shared" si="172"/>
        <v/>
      </c>
      <c r="AT99" s="48" t="str">
        <f t="shared" si="173"/>
        <v/>
      </c>
      <c r="AU99" s="84" t="str">
        <f t="shared" si="174"/>
        <v/>
      </c>
      <c r="AV99" s="82" t="str">
        <f t="shared" si="175"/>
        <v/>
      </c>
      <c r="AW99" s="48" t="str">
        <f t="shared" si="176"/>
        <v/>
      </c>
      <c r="AX99" s="48" t="str">
        <f t="shared" si="177"/>
        <v/>
      </c>
      <c r="AY99" s="84" t="str">
        <f t="shared" si="178"/>
        <v/>
      </c>
      <c r="AZ99" s="82" t="str">
        <f t="shared" si="179"/>
        <v/>
      </c>
      <c r="BA99" s="48" t="str">
        <f t="shared" si="180"/>
        <v/>
      </c>
      <c r="BB99" s="48" t="str">
        <f t="shared" si="181"/>
        <v/>
      </c>
      <c r="BC99" s="84" t="str">
        <f t="shared" si="182"/>
        <v/>
      </c>
      <c r="BD99" s="82" t="str">
        <f t="shared" si="183"/>
        <v/>
      </c>
      <c r="BE99" s="48" t="str">
        <f t="shared" si="184"/>
        <v/>
      </c>
      <c r="BF99" s="48" t="str">
        <f t="shared" si="185"/>
        <v/>
      </c>
      <c r="BG99" s="84" t="str">
        <f t="shared" si="186"/>
        <v/>
      </c>
      <c r="BH99" s="87" t="str">
        <f t="shared" si="187"/>
        <v/>
      </c>
      <c r="BI99" s="49" t="str">
        <f t="shared" si="188"/>
        <v/>
      </c>
      <c r="BJ99" s="49" t="str">
        <f t="shared" si="189"/>
        <v/>
      </c>
      <c r="BK99" s="89" t="str">
        <f t="shared" si="190"/>
        <v/>
      </c>
      <c r="BL99" s="87" t="str">
        <f t="shared" si="191"/>
        <v/>
      </c>
      <c r="BM99" s="49" t="str">
        <f t="shared" si="192"/>
        <v/>
      </c>
      <c r="BN99" s="49" t="str">
        <f t="shared" si="193"/>
        <v/>
      </c>
      <c r="BO99" s="89" t="str">
        <f t="shared" si="194"/>
        <v/>
      </c>
      <c r="BP99" s="87" t="str">
        <f t="shared" si="195"/>
        <v/>
      </c>
      <c r="BQ99" s="49" t="str">
        <f t="shared" si="196"/>
        <v/>
      </c>
      <c r="BR99" s="49" t="str">
        <f t="shared" si="197"/>
        <v/>
      </c>
      <c r="BS99" s="89" t="str">
        <f t="shared" si="198"/>
        <v/>
      </c>
      <c r="BT99" s="87" t="str">
        <f t="shared" si="199"/>
        <v/>
      </c>
    </row>
    <row r="100" spans="2:72" s="93" customFormat="1">
      <c r="B100" s="90">
        <f>Weekly!B92</f>
        <v>0</v>
      </c>
      <c r="C100" s="90">
        <f>Weekly!C92</f>
        <v>0</v>
      </c>
      <c r="D100" s="90">
        <f>Weekly!D97</f>
        <v>0</v>
      </c>
      <c r="E100" s="91" t="e">
        <f>VLOOKUP(B100,Team!$B$4:$E$183,4,FALSE)</f>
        <v>#N/A</v>
      </c>
      <c r="F100" s="92" t="str">
        <f>Weekly!M92</f>
        <v/>
      </c>
      <c r="G100" s="92" t="str">
        <f>Weekly!N92</f>
        <v/>
      </c>
      <c r="H100" s="48" t="str">
        <f t="shared" si="135"/>
        <v/>
      </c>
      <c r="I100" s="48" t="str">
        <f t="shared" si="136"/>
        <v/>
      </c>
      <c r="J100" s="48" t="str">
        <f t="shared" si="137"/>
        <v/>
      </c>
      <c r="K100" s="84" t="str">
        <f t="shared" si="138"/>
        <v/>
      </c>
      <c r="L100" s="82" t="str">
        <f t="shared" si="139"/>
        <v/>
      </c>
      <c r="M100" s="48" t="str">
        <f t="shared" si="140"/>
        <v/>
      </c>
      <c r="N100" s="48" t="str">
        <f t="shared" si="141"/>
        <v/>
      </c>
      <c r="O100" s="84" t="str">
        <f t="shared" si="142"/>
        <v/>
      </c>
      <c r="P100" s="82" t="str">
        <f t="shared" si="143"/>
        <v/>
      </c>
      <c r="Q100" s="48" t="str">
        <f t="shared" si="144"/>
        <v/>
      </c>
      <c r="R100" s="48" t="str">
        <f t="shared" si="145"/>
        <v/>
      </c>
      <c r="S100" s="84" t="str">
        <f t="shared" si="146"/>
        <v/>
      </c>
      <c r="T100" s="82" t="str">
        <f t="shared" si="147"/>
        <v/>
      </c>
      <c r="U100" s="48" t="str">
        <f t="shared" si="148"/>
        <v/>
      </c>
      <c r="V100" s="48" t="str">
        <f t="shared" si="149"/>
        <v/>
      </c>
      <c r="W100" s="84" t="str">
        <f t="shared" si="150"/>
        <v/>
      </c>
      <c r="X100" s="82" t="str">
        <f t="shared" si="151"/>
        <v/>
      </c>
      <c r="Y100" s="48" t="str">
        <f t="shared" si="152"/>
        <v/>
      </c>
      <c r="Z100" s="48" t="str">
        <f t="shared" si="153"/>
        <v/>
      </c>
      <c r="AA100" s="84" t="str">
        <f t="shared" si="154"/>
        <v/>
      </c>
      <c r="AB100" s="82" t="str">
        <f t="shared" si="155"/>
        <v/>
      </c>
      <c r="AC100" s="48" t="str">
        <f t="shared" si="156"/>
        <v/>
      </c>
      <c r="AD100" s="48" t="str">
        <f t="shared" si="157"/>
        <v/>
      </c>
      <c r="AE100" s="84" t="str">
        <f t="shared" si="158"/>
        <v/>
      </c>
      <c r="AF100" s="82" t="str">
        <f t="shared" si="159"/>
        <v/>
      </c>
      <c r="AG100" s="48" t="str">
        <f t="shared" si="160"/>
        <v/>
      </c>
      <c r="AH100" s="48" t="str">
        <f t="shared" si="161"/>
        <v/>
      </c>
      <c r="AI100" s="84" t="str">
        <f t="shared" si="162"/>
        <v/>
      </c>
      <c r="AJ100" s="82" t="str">
        <f t="shared" si="163"/>
        <v/>
      </c>
      <c r="AK100" s="48" t="str">
        <f t="shared" si="164"/>
        <v/>
      </c>
      <c r="AL100" s="48" t="str">
        <f t="shared" si="165"/>
        <v/>
      </c>
      <c r="AM100" s="84" t="str">
        <f t="shared" si="166"/>
        <v/>
      </c>
      <c r="AN100" s="82" t="str">
        <f t="shared" si="167"/>
        <v/>
      </c>
      <c r="AO100" s="48" t="str">
        <f t="shared" si="168"/>
        <v/>
      </c>
      <c r="AP100" s="48" t="str">
        <f t="shared" si="169"/>
        <v/>
      </c>
      <c r="AQ100" s="84" t="str">
        <f t="shared" si="170"/>
        <v/>
      </c>
      <c r="AR100" s="82" t="str">
        <f t="shared" si="171"/>
        <v/>
      </c>
      <c r="AS100" s="48" t="str">
        <f t="shared" si="172"/>
        <v/>
      </c>
      <c r="AT100" s="48" t="str">
        <f t="shared" si="173"/>
        <v/>
      </c>
      <c r="AU100" s="84" t="str">
        <f t="shared" si="174"/>
        <v/>
      </c>
      <c r="AV100" s="82" t="str">
        <f t="shared" si="175"/>
        <v/>
      </c>
      <c r="AW100" s="48" t="str">
        <f t="shared" si="176"/>
        <v/>
      </c>
      <c r="AX100" s="48" t="str">
        <f t="shared" si="177"/>
        <v/>
      </c>
      <c r="AY100" s="84" t="str">
        <f t="shared" si="178"/>
        <v/>
      </c>
      <c r="AZ100" s="82" t="str">
        <f t="shared" si="179"/>
        <v/>
      </c>
      <c r="BA100" s="48" t="str">
        <f t="shared" si="180"/>
        <v/>
      </c>
      <c r="BB100" s="48" t="str">
        <f t="shared" si="181"/>
        <v/>
      </c>
      <c r="BC100" s="84" t="str">
        <f t="shared" si="182"/>
        <v/>
      </c>
      <c r="BD100" s="82" t="str">
        <f t="shared" si="183"/>
        <v/>
      </c>
      <c r="BE100" s="48" t="str">
        <f t="shared" si="184"/>
        <v/>
      </c>
      <c r="BF100" s="48" t="str">
        <f t="shared" si="185"/>
        <v/>
      </c>
      <c r="BG100" s="84" t="str">
        <f t="shared" si="186"/>
        <v/>
      </c>
      <c r="BH100" s="87" t="str">
        <f t="shared" si="187"/>
        <v/>
      </c>
      <c r="BI100" s="49" t="str">
        <f t="shared" si="188"/>
        <v/>
      </c>
      <c r="BJ100" s="49" t="str">
        <f t="shared" si="189"/>
        <v/>
      </c>
      <c r="BK100" s="89" t="str">
        <f t="shared" si="190"/>
        <v/>
      </c>
      <c r="BL100" s="87" t="str">
        <f t="shared" si="191"/>
        <v/>
      </c>
      <c r="BM100" s="49" t="str">
        <f t="shared" si="192"/>
        <v/>
      </c>
      <c r="BN100" s="49" t="str">
        <f t="shared" si="193"/>
        <v/>
      </c>
      <c r="BO100" s="89" t="str">
        <f t="shared" si="194"/>
        <v/>
      </c>
      <c r="BP100" s="87" t="str">
        <f t="shared" si="195"/>
        <v/>
      </c>
      <c r="BQ100" s="49" t="str">
        <f t="shared" si="196"/>
        <v/>
      </c>
      <c r="BR100" s="49" t="str">
        <f t="shared" si="197"/>
        <v/>
      </c>
      <c r="BS100" s="89" t="str">
        <f t="shared" si="198"/>
        <v/>
      </c>
      <c r="BT100" s="87" t="str">
        <f t="shared" si="199"/>
        <v/>
      </c>
    </row>
    <row r="101" spans="2:72" s="93" customFormat="1">
      <c r="B101" s="90">
        <f>Weekly!B93</f>
        <v>0</v>
      </c>
      <c r="C101" s="90">
        <f>Weekly!C93</f>
        <v>0</v>
      </c>
      <c r="D101" s="90">
        <f>Weekly!D98</f>
        <v>0</v>
      </c>
      <c r="E101" s="91" t="e">
        <f>VLOOKUP(B101,Team!$B$4:$E$183,4,FALSE)</f>
        <v>#N/A</v>
      </c>
      <c r="F101" s="92" t="str">
        <f>Weekly!M93</f>
        <v/>
      </c>
      <c r="G101" s="92" t="str">
        <f>Weekly!N93</f>
        <v/>
      </c>
      <c r="H101" s="48" t="str">
        <f t="shared" si="135"/>
        <v/>
      </c>
      <c r="I101" s="48" t="str">
        <f t="shared" si="136"/>
        <v/>
      </c>
      <c r="J101" s="48" t="str">
        <f t="shared" si="137"/>
        <v/>
      </c>
      <c r="K101" s="84" t="str">
        <f t="shared" si="138"/>
        <v/>
      </c>
      <c r="L101" s="82" t="str">
        <f t="shared" si="139"/>
        <v/>
      </c>
      <c r="M101" s="48" t="str">
        <f t="shared" si="140"/>
        <v/>
      </c>
      <c r="N101" s="48" t="str">
        <f t="shared" si="141"/>
        <v/>
      </c>
      <c r="O101" s="84" t="str">
        <f t="shared" si="142"/>
        <v/>
      </c>
      <c r="P101" s="82" t="str">
        <f t="shared" si="143"/>
        <v/>
      </c>
      <c r="Q101" s="48" t="str">
        <f t="shared" si="144"/>
        <v/>
      </c>
      <c r="R101" s="48" t="str">
        <f t="shared" si="145"/>
        <v/>
      </c>
      <c r="S101" s="84" t="str">
        <f t="shared" si="146"/>
        <v/>
      </c>
      <c r="T101" s="82" t="str">
        <f t="shared" si="147"/>
        <v/>
      </c>
      <c r="U101" s="48" t="str">
        <f t="shared" si="148"/>
        <v/>
      </c>
      <c r="V101" s="48" t="str">
        <f t="shared" si="149"/>
        <v/>
      </c>
      <c r="W101" s="84" t="str">
        <f t="shared" si="150"/>
        <v/>
      </c>
      <c r="X101" s="82" t="str">
        <f t="shared" si="151"/>
        <v/>
      </c>
      <c r="Y101" s="48" t="str">
        <f t="shared" si="152"/>
        <v/>
      </c>
      <c r="Z101" s="48" t="str">
        <f t="shared" si="153"/>
        <v/>
      </c>
      <c r="AA101" s="84" t="str">
        <f t="shared" si="154"/>
        <v/>
      </c>
      <c r="AB101" s="82" t="str">
        <f t="shared" si="155"/>
        <v/>
      </c>
      <c r="AC101" s="48" t="str">
        <f t="shared" si="156"/>
        <v/>
      </c>
      <c r="AD101" s="48" t="str">
        <f t="shared" si="157"/>
        <v/>
      </c>
      <c r="AE101" s="84" t="str">
        <f t="shared" si="158"/>
        <v/>
      </c>
      <c r="AF101" s="82" t="str">
        <f t="shared" si="159"/>
        <v/>
      </c>
      <c r="AG101" s="48" t="str">
        <f t="shared" si="160"/>
        <v/>
      </c>
      <c r="AH101" s="48" t="str">
        <f t="shared" si="161"/>
        <v/>
      </c>
      <c r="AI101" s="84" t="str">
        <f t="shared" si="162"/>
        <v/>
      </c>
      <c r="AJ101" s="82" t="str">
        <f t="shared" si="163"/>
        <v/>
      </c>
      <c r="AK101" s="48" t="str">
        <f t="shared" si="164"/>
        <v/>
      </c>
      <c r="AL101" s="48" t="str">
        <f t="shared" si="165"/>
        <v/>
      </c>
      <c r="AM101" s="84" t="str">
        <f t="shared" si="166"/>
        <v/>
      </c>
      <c r="AN101" s="82" t="str">
        <f t="shared" si="167"/>
        <v/>
      </c>
      <c r="AO101" s="48" t="str">
        <f t="shared" si="168"/>
        <v/>
      </c>
      <c r="AP101" s="48" t="str">
        <f t="shared" si="169"/>
        <v/>
      </c>
      <c r="AQ101" s="84" t="str">
        <f t="shared" si="170"/>
        <v/>
      </c>
      <c r="AR101" s="82" t="str">
        <f t="shared" si="171"/>
        <v/>
      </c>
      <c r="AS101" s="48" t="str">
        <f t="shared" si="172"/>
        <v/>
      </c>
      <c r="AT101" s="48" t="str">
        <f t="shared" si="173"/>
        <v/>
      </c>
      <c r="AU101" s="84" t="str">
        <f t="shared" si="174"/>
        <v/>
      </c>
      <c r="AV101" s="82" t="str">
        <f t="shared" si="175"/>
        <v/>
      </c>
      <c r="AW101" s="48" t="str">
        <f t="shared" si="176"/>
        <v/>
      </c>
      <c r="AX101" s="48" t="str">
        <f t="shared" si="177"/>
        <v/>
      </c>
      <c r="AY101" s="84" t="str">
        <f t="shared" si="178"/>
        <v/>
      </c>
      <c r="AZ101" s="82" t="str">
        <f t="shared" si="179"/>
        <v/>
      </c>
      <c r="BA101" s="48" t="str">
        <f t="shared" si="180"/>
        <v/>
      </c>
      <c r="BB101" s="48" t="str">
        <f t="shared" si="181"/>
        <v/>
      </c>
      <c r="BC101" s="84" t="str">
        <f t="shared" si="182"/>
        <v/>
      </c>
      <c r="BD101" s="82" t="str">
        <f t="shared" si="183"/>
        <v/>
      </c>
      <c r="BE101" s="48" t="str">
        <f t="shared" si="184"/>
        <v/>
      </c>
      <c r="BF101" s="48" t="str">
        <f t="shared" si="185"/>
        <v/>
      </c>
      <c r="BG101" s="84" t="str">
        <f t="shared" si="186"/>
        <v/>
      </c>
      <c r="BH101" s="87" t="str">
        <f t="shared" si="187"/>
        <v/>
      </c>
      <c r="BI101" s="49" t="str">
        <f t="shared" si="188"/>
        <v/>
      </c>
      <c r="BJ101" s="49" t="str">
        <f t="shared" si="189"/>
        <v/>
      </c>
      <c r="BK101" s="89" t="str">
        <f t="shared" si="190"/>
        <v/>
      </c>
      <c r="BL101" s="87" t="str">
        <f t="shared" si="191"/>
        <v/>
      </c>
      <c r="BM101" s="49" t="str">
        <f t="shared" si="192"/>
        <v/>
      </c>
      <c r="BN101" s="49" t="str">
        <f t="shared" si="193"/>
        <v/>
      </c>
      <c r="BO101" s="89" t="str">
        <f t="shared" si="194"/>
        <v/>
      </c>
      <c r="BP101" s="87" t="str">
        <f t="shared" si="195"/>
        <v/>
      </c>
      <c r="BQ101" s="49" t="str">
        <f t="shared" si="196"/>
        <v/>
      </c>
      <c r="BR101" s="49" t="str">
        <f t="shared" si="197"/>
        <v/>
      </c>
      <c r="BS101" s="89" t="str">
        <f t="shared" si="198"/>
        <v/>
      </c>
      <c r="BT101" s="87" t="str">
        <f t="shared" si="199"/>
        <v/>
      </c>
    </row>
    <row r="102" spans="2:72" s="93" customFormat="1">
      <c r="B102" s="90">
        <f>Weekly!B94</f>
        <v>0</v>
      </c>
      <c r="C102" s="90">
        <f>Weekly!C94</f>
        <v>0</v>
      </c>
      <c r="D102" s="90">
        <f>Weekly!D99</f>
        <v>0</v>
      </c>
      <c r="E102" s="91" t="e">
        <f>VLOOKUP(B102,Team!$B$4:$E$183,4,FALSE)</f>
        <v>#N/A</v>
      </c>
      <c r="F102" s="92" t="str">
        <f>Weekly!M94</f>
        <v/>
      </c>
      <c r="G102" s="92" t="str">
        <f>Weekly!N94</f>
        <v/>
      </c>
      <c r="H102" s="48" t="str">
        <f t="shared" si="135"/>
        <v/>
      </c>
      <c r="I102" s="48" t="str">
        <f t="shared" si="136"/>
        <v/>
      </c>
      <c r="J102" s="48" t="str">
        <f t="shared" si="137"/>
        <v/>
      </c>
      <c r="K102" s="84" t="str">
        <f t="shared" si="138"/>
        <v/>
      </c>
      <c r="L102" s="82" t="str">
        <f t="shared" si="139"/>
        <v/>
      </c>
      <c r="M102" s="48" t="str">
        <f t="shared" si="140"/>
        <v/>
      </c>
      <c r="N102" s="48" t="str">
        <f t="shared" si="141"/>
        <v/>
      </c>
      <c r="O102" s="84" t="str">
        <f t="shared" si="142"/>
        <v/>
      </c>
      <c r="P102" s="82" t="str">
        <f t="shared" si="143"/>
        <v/>
      </c>
      <c r="Q102" s="48" t="str">
        <f t="shared" si="144"/>
        <v/>
      </c>
      <c r="R102" s="48" t="str">
        <f t="shared" si="145"/>
        <v/>
      </c>
      <c r="S102" s="84" t="str">
        <f t="shared" si="146"/>
        <v/>
      </c>
      <c r="T102" s="82" t="str">
        <f t="shared" si="147"/>
        <v/>
      </c>
      <c r="U102" s="48" t="str">
        <f t="shared" si="148"/>
        <v/>
      </c>
      <c r="V102" s="48" t="str">
        <f t="shared" si="149"/>
        <v/>
      </c>
      <c r="W102" s="84" t="str">
        <f t="shared" si="150"/>
        <v/>
      </c>
      <c r="X102" s="82" t="str">
        <f t="shared" si="151"/>
        <v/>
      </c>
      <c r="Y102" s="48" t="str">
        <f t="shared" si="152"/>
        <v/>
      </c>
      <c r="Z102" s="48" t="str">
        <f t="shared" si="153"/>
        <v/>
      </c>
      <c r="AA102" s="84" t="str">
        <f t="shared" si="154"/>
        <v/>
      </c>
      <c r="AB102" s="82" t="str">
        <f t="shared" si="155"/>
        <v/>
      </c>
      <c r="AC102" s="48" t="str">
        <f t="shared" si="156"/>
        <v/>
      </c>
      <c r="AD102" s="48" t="str">
        <f t="shared" si="157"/>
        <v/>
      </c>
      <c r="AE102" s="84" t="str">
        <f t="shared" si="158"/>
        <v/>
      </c>
      <c r="AF102" s="82" t="str">
        <f t="shared" si="159"/>
        <v/>
      </c>
      <c r="AG102" s="48" t="str">
        <f t="shared" si="160"/>
        <v/>
      </c>
      <c r="AH102" s="48" t="str">
        <f t="shared" si="161"/>
        <v/>
      </c>
      <c r="AI102" s="84" t="str">
        <f t="shared" si="162"/>
        <v/>
      </c>
      <c r="AJ102" s="82" t="str">
        <f t="shared" si="163"/>
        <v/>
      </c>
      <c r="AK102" s="48" t="str">
        <f t="shared" si="164"/>
        <v/>
      </c>
      <c r="AL102" s="48" t="str">
        <f t="shared" si="165"/>
        <v/>
      </c>
      <c r="AM102" s="84" t="str">
        <f t="shared" si="166"/>
        <v/>
      </c>
      <c r="AN102" s="82" t="str">
        <f t="shared" si="167"/>
        <v/>
      </c>
      <c r="AO102" s="48" t="str">
        <f t="shared" si="168"/>
        <v/>
      </c>
      <c r="AP102" s="48" t="str">
        <f t="shared" si="169"/>
        <v/>
      </c>
      <c r="AQ102" s="84" t="str">
        <f t="shared" si="170"/>
        <v/>
      </c>
      <c r="AR102" s="82" t="str">
        <f t="shared" si="171"/>
        <v/>
      </c>
      <c r="AS102" s="48" t="str">
        <f t="shared" si="172"/>
        <v/>
      </c>
      <c r="AT102" s="48" t="str">
        <f t="shared" si="173"/>
        <v/>
      </c>
      <c r="AU102" s="84" t="str">
        <f t="shared" si="174"/>
        <v/>
      </c>
      <c r="AV102" s="82" t="str">
        <f t="shared" si="175"/>
        <v/>
      </c>
      <c r="AW102" s="48" t="str">
        <f t="shared" si="176"/>
        <v/>
      </c>
      <c r="AX102" s="48" t="str">
        <f t="shared" si="177"/>
        <v/>
      </c>
      <c r="AY102" s="84" t="str">
        <f t="shared" si="178"/>
        <v/>
      </c>
      <c r="AZ102" s="82" t="str">
        <f t="shared" si="179"/>
        <v/>
      </c>
      <c r="BA102" s="48" t="str">
        <f t="shared" si="180"/>
        <v/>
      </c>
      <c r="BB102" s="48" t="str">
        <f t="shared" si="181"/>
        <v/>
      </c>
      <c r="BC102" s="84" t="str">
        <f t="shared" si="182"/>
        <v/>
      </c>
      <c r="BD102" s="82" t="str">
        <f t="shared" si="183"/>
        <v/>
      </c>
      <c r="BE102" s="48" t="str">
        <f t="shared" si="184"/>
        <v/>
      </c>
      <c r="BF102" s="48" t="str">
        <f t="shared" si="185"/>
        <v/>
      </c>
      <c r="BG102" s="84" t="str">
        <f t="shared" si="186"/>
        <v/>
      </c>
      <c r="BH102" s="87" t="str">
        <f t="shared" si="187"/>
        <v/>
      </c>
      <c r="BI102" s="49" t="str">
        <f t="shared" si="188"/>
        <v/>
      </c>
      <c r="BJ102" s="49" t="str">
        <f t="shared" si="189"/>
        <v/>
      </c>
      <c r="BK102" s="89" t="str">
        <f t="shared" si="190"/>
        <v/>
      </c>
      <c r="BL102" s="87" t="str">
        <f t="shared" si="191"/>
        <v/>
      </c>
      <c r="BM102" s="49" t="str">
        <f t="shared" si="192"/>
        <v/>
      </c>
      <c r="BN102" s="49" t="str">
        <f t="shared" si="193"/>
        <v/>
      </c>
      <c r="BO102" s="89" t="str">
        <f t="shared" si="194"/>
        <v/>
      </c>
      <c r="BP102" s="87" t="str">
        <f t="shared" si="195"/>
        <v/>
      </c>
      <c r="BQ102" s="49" t="str">
        <f t="shared" si="196"/>
        <v/>
      </c>
      <c r="BR102" s="49" t="str">
        <f t="shared" si="197"/>
        <v/>
      </c>
      <c r="BS102" s="89" t="str">
        <f t="shared" si="198"/>
        <v/>
      </c>
      <c r="BT102" s="87" t="str">
        <f t="shared" si="199"/>
        <v/>
      </c>
    </row>
    <row r="103" spans="2:72" s="93" customFormat="1">
      <c r="B103" s="90">
        <f>Weekly!B95</f>
        <v>0</v>
      </c>
      <c r="C103" s="90">
        <f>Weekly!C95</f>
        <v>0</v>
      </c>
      <c r="D103" s="90">
        <f>Weekly!D100</f>
        <v>0</v>
      </c>
      <c r="E103" s="91" t="e">
        <f>VLOOKUP(B103,Team!$B$4:$E$183,4,FALSE)</f>
        <v>#N/A</v>
      </c>
      <c r="F103" s="92" t="str">
        <f>Weekly!M95</f>
        <v/>
      </c>
      <c r="G103" s="92" t="str">
        <f>Weekly!N95</f>
        <v/>
      </c>
      <c r="H103" s="48" t="str">
        <f t="shared" si="135"/>
        <v/>
      </c>
      <c r="I103" s="48" t="str">
        <f t="shared" si="136"/>
        <v/>
      </c>
      <c r="J103" s="48" t="str">
        <f t="shared" si="137"/>
        <v/>
      </c>
      <c r="K103" s="84" t="str">
        <f t="shared" si="138"/>
        <v/>
      </c>
      <c r="L103" s="82" t="str">
        <f t="shared" si="139"/>
        <v/>
      </c>
      <c r="M103" s="48" t="str">
        <f t="shared" si="140"/>
        <v/>
      </c>
      <c r="N103" s="48" t="str">
        <f t="shared" si="141"/>
        <v/>
      </c>
      <c r="O103" s="84" t="str">
        <f t="shared" si="142"/>
        <v/>
      </c>
      <c r="P103" s="82" t="str">
        <f t="shared" si="143"/>
        <v/>
      </c>
      <c r="Q103" s="48" t="str">
        <f t="shared" si="144"/>
        <v/>
      </c>
      <c r="R103" s="48" t="str">
        <f t="shared" si="145"/>
        <v/>
      </c>
      <c r="S103" s="84" t="str">
        <f t="shared" si="146"/>
        <v/>
      </c>
      <c r="T103" s="82" t="str">
        <f t="shared" si="147"/>
        <v/>
      </c>
      <c r="U103" s="48" t="str">
        <f t="shared" si="148"/>
        <v/>
      </c>
      <c r="V103" s="48" t="str">
        <f t="shared" si="149"/>
        <v/>
      </c>
      <c r="W103" s="84" t="str">
        <f t="shared" si="150"/>
        <v/>
      </c>
      <c r="X103" s="82" t="str">
        <f t="shared" si="151"/>
        <v/>
      </c>
      <c r="Y103" s="48" t="str">
        <f t="shared" si="152"/>
        <v/>
      </c>
      <c r="Z103" s="48" t="str">
        <f t="shared" si="153"/>
        <v/>
      </c>
      <c r="AA103" s="84" t="str">
        <f t="shared" si="154"/>
        <v/>
      </c>
      <c r="AB103" s="82" t="str">
        <f t="shared" si="155"/>
        <v/>
      </c>
      <c r="AC103" s="48" t="str">
        <f t="shared" si="156"/>
        <v/>
      </c>
      <c r="AD103" s="48" t="str">
        <f t="shared" si="157"/>
        <v/>
      </c>
      <c r="AE103" s="84" t="str">
        <f t="shared" si="158"/>
        <v/>
      </c>
      <c r="AF103" s="82" t="str">
        <f t="shared" si="159"/>
        <v/>
      </c>
      <c r="AG103" s="48" t="str">
        <f t="shared" si="160"/>
        <v/>
      </c>
      <c r="AH103" s="48" t="str">
        <f t="shared" si="161"/>
        <v/>
      </c>
      <c r="AI103" s="84" t="str">
        <f t="shared" si="162"/>
        <v/>
      </c>
      <c r="AJ103" s="82" t="str">
        <f t="shared" si="163"/>
        <v/>
      </c>
      <c r="AK103" s="48" t="str">
        <f t="shared" si="164"/>
        <v/>
      </c>
      <c r="AL103" s="48" t="str">
        <f t="shared" si="165"/>
        <v/>
      </c>
      <c r="AM103" s="84" t="str">
        <f t="shared" si="166"/>
        <v/>
      </c>
      <c r="AN103" s="82" t="str">
        <f t="shared" si="167"/>
        <v/>
      </c>
      <c r="AO103" s="48" t="str">
        <f t="shared" si="168"/>
        <v/>
      </c>
      <c r="AP103" s="48" t="str">
        <f t="shared" si="169"/>
        <v/>
      </c>
      <c r="AQ103" s="84" t="str">
        <f t="shared" si="170"/>
        <v/>
      </c>
      <c r="AR103" s="82" t="str">
        <f t="shared" si="171"/>
        <v/>
      </c>
      <c r="AS103" s="48" t="str">
        <f t="shared" si="172"/>
        <v/>
      </c>
      <c r="AT103" s="48" t="str">
        <f t="shared" si="173"/>
        <v/>
      </c>
      <c r="AU103" s="84" t="str">
        <f t="shared" si="174"/>
        <v/>
      </c>
      <c r="AV103" s="82" t="str">
        <f t="shared" si="175"/>
        <v/>
      </c>
      <c r="AW103" s="48" t="str">
        <f t="shared" si="176"/>
        <v/>
      </c>
      <c r="AX103" s="48" t="str">
        <f t="shared" si="177"/>
        <v/>
      </c>
      <c r="AY103" s="84" t="str">
        <f t="shared" si="178"/>
        <v/>
      </c>
      <c r="AZ103" s="82" t="str">
        <f t="shared" si="179"/>
        <v/>
      </c>
      <c r="BA103" s="48" t="str">
        <f t="shared" si="180"/>
        <v/>
      </c>
      <c r="BB103" s="48" t="str">
        <f t="shared" si="181"/>
        <v/>
      </c>
      <c r="BC103" s="84" t="str">
        <f t="shared" si="182"/>
        <v/>
      </c>
      <c r="BD103" s="82" t="str">
        <f t="shared" si="183"/>
        <v/>
      </c>
      <c r="BE103" s="48" t="str">
        <f t="shared" si="184"/>
        <v/>
      </c>
      <c r="BF103" s="48" t="str">
        <f t="shared" si="185"/>
        <v/>
      </c>
      <c r="BG103" s="84" t="str">
        <f t="shared" si="186"/>
        <v/>
      </c>
      <c r="BH103" s="87" t="str">
        <f t="shared" si="187"/>
        <v/>
      </c>
      <c r="BI103" s="49" t="str">
        <f t="shared" si="188"/>
        <v/>
      </c>
      <c r="BJ103" s="49" t="str">
        <f t="shared" si="189"/>
        <v/>
      </c>
      <c r="BK103" s="89" t="str">
        <f t="shared" si="190"/>
        <v/>
      </c>
      <c r="BL103" s="87" t="str">
        <f t="shared" si="191"/>
        <v/>
      </c>
      <c r="BM103" s="49" t="str">
        <f t="shared" si="192"/>
        <v/>
      </c>
      <c r="BN103" s="49" t="str">
        <f t="shared" si="193"/>
        <v/>
      </c>
      <c r="BO103" s="89" t="str">
        <f t="shared" si="194"/>
        <v/>
      </c>
      <c r="BP103" s="87" t="str">
        <f t="shared" si="195"/>
        <v/>
      </c>
      <c r="BQ103" s="49" t="str">
        <f t="shared" si="196"/>
        <v/>
      </c>
      <c r="BR103" s="49" t="str">
        <f t="shared" si="197"/>
        <v/>
      </c>
      <c r="BS103" s="89" t="str">
        <f t="shared" si="198"/>
        <v/>
      </c>
      <c r="BT103" s="87" t="str">
        <f t="shared" si="199"/>
        <v/>
      </c>
    </row>
    <row r="104" spans="2:72" s="93" customFormat="1"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</row>
    <row r="105" spans="2:72" s="93" customFormat="1"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</row>
    <row r="106" spans="2:72" s="93" customFormat="1"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</row>
    <row r="107" spans="2:72" s="93" customFormat="1"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</row>
    <row r="108" spans="2:72" s="93" customFormat="1"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</row>
  </sheetData>
  <sheetProtection algorithmName="SHA-512" hashValue="R8MK5dgoVeLGx+G/t+/xNh6ehUMAXYV38ABtpxkigJM6jYqWGVHtFlcwX/lwHLe2Hm5pljyZu3e6RlH7CE49hQ==" saltValue="jg2q8kVVdsr1hEAPWgscuw==" spinCount="100000" sheet="1" formatCells="0" formatColumns="0" sort="0" autoFilter="0"/>
  <autoFilter ref="B16:BT16" xr:uid="{00000000-0009-0000-0000-000006000000}">
    <sortState xmlns:xlrd2="http://schemas.microsoft.com/office/spreadsheetml/2017/richdata2" ref="B17:BT103">
      <sortCondition ref="F16"/>
    </sortState>
  </autoFilter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664" priority="88" stopIfTrue="1" operator="equal">
      <formula>$T$3</formula>
    </cfRule>
    <cfRule type="containsBlanks" dxfId="663" priority="89" stopIfTrue="1">
      <formula>LEN(TRIM(H6))=0</formula>
    </cfRule>
    <cfRule type="cellIs" dxfId="662" priority="81" stopIfTrue="1" operator="equal">
      <formula>$AA$3</formula>
    </cfRule>
    <cfRule type="cellIs" dxfId="661" priority="78" stopIfTrue="1" operator="equal">
      <formula>$AD$3</formula>
    </cfRule>
    <cfRule type="cellIs" dxfId="660" priority="79" stopIfTrue="1" operator="equal">
      <formula>$AB$3</formula>
    </cfRule>
    <cfRule type="cellIs" dxfId="659" priority="80" stopIfTrue="1" operator="equal">
      <formula>$AC$3</formula>
    </cfRule>
    <cfRule type="cellIs" dxfId="658" priority="82" stopIfTrue="1" operator="equal">
      <formula>$Z$3</formula>
    </cfRule>
    <cfRule type="cellIs" dxfId="657" priority="83" stopIfTrue="1" operator="equal">
      <formula>$Y$3</formula>
    </cfRule>
    <cfRule type="cellIs" dxfId="656" priority="84" stopIfTrue="1" operator="equal">
      <formula>$X$3</formula>
    </cfRule>
    <cfRule type="cellIs" dxfId="655" priority="85" stopIfTrue="1" operator="equal">
      <formula>$W$3</formula>
    </cfRule>
    <cfRule type="cellIs" dxfId="654" priority="86" stopIfTrue="1" operator="equal">
      <formula>$V$3</formula>
    </cfRule>
    <cfRule type="cellIs" dxfId="653" priority="87" stopIfTrue="1" operator="equal">
      <formula>$U$3</formula>
    </cfRule>
  </conditionalFormatting>
  <conditionalFormatting sqref="H13:BS13">
    <cfRule type="cellIs" dxfId="652" priority="13" operator="equal">
      <formula>"FFR"</formula>
    </cfRule>
    <cfRule type="cellIs" dxfId="651" priority="14" operator="equal">
      <formula>"F"</formula>
    </cfRule>
    <cfRule type="cellIs" dxfId="650" priority="15" operator="equal">
      <formula>"PEN"</formula>
    </cfRule>
    <cfRule type="cellIs" dxfId="649" priority="16" operator="equal">
      <formula>"TW"</formula>
    </cfRule>
    <cfRule type="cellIs" dxfId="648" priority="17" operator="equal">
      <formula>"AD"</formula>
    </cfRule>
    <cfRule type="cellIs" dxfId="647" priority="18" operator="equal">
      <formula>"SY"</formula>
    </cfRule>
    <cfRule type="cellIs" dxfId="646" priority="19" operator="equal">
      <formula>"CSYS"</formula>
    </cfRule>
    <cfRule type="cellIs" dxfId="645" priority="20" operator="equal">
      <formula>"HHR"</formula>
    </cfRule>
    <cfRule type="cellIs" dxfId="644" priority="21" operator="equal">
      <formula>"HH"</formula>
    </cfRule>
    <cfRule type="cellIs" dxfId="643" priority="22" operator="equal">
      <formula>"STAFF"</formula>
    </cfRule>
    <cfRule type="cellIs" dxfId="642" priority="23" operator="equal">
      <formula>"LINW"</formula>
    </cfRule>
    <cfRule type="cellIs" dxfId="641" priority="24" operator="equal">
      <formula>"MINW"</formula>
    </cfRule>
    <cfRule type="cellIs" dxfId="640" priority="25" operator="equal">
      <formula>"ACC"</formula>
    </cfRule>
    <cfRule type="cellIs" dxfId="639" priority="26" operator="equal">
      <formula>"H"</formula>
    </cfRule>
    <cfRule type="cellIs" dxfId="638" priority="27" operator="equal">
      <formula>"ASM"</formula>
    </cfRule>
    <cfRule type="cellIs" dxfId="637" priority="28" operator="equal">
      <formula>"SM"</formula>
    </cfRule>
    <cfRule type="cellIs" dxfId="636" priority="8" operator="equal">
      <formula>"TEA"</formula>
    </cfRule>
    <cfRule type="cellIs" dxfId="635" priority="30" operator="equal">
      <formula>"H3"</formula>
    </cfRule>
    <cfRule type="cellIs" dxfId="634" priority="31" operator="equal">
      <formula>"H2"</formula>
    </cfRule>
    <cfRule type="cellIs" dxfId="633" priority="32" operator="equal">
      <formula>"H1"</formula>
    </cfRule>
    <cfRule type="cellIs" dxfId="632" priority="1" operator="equal">
      <formula>"R6"</formula>
    </cfRule>
    <cfRule type="cellIs" dxfId="631" priority="2" operator="equal">
      <formula>"R5"</formula>
    </cfRule>
    <cfRule type="cellIs" dxfId="630" priority="3" operator="equal">
      <formula>"R4"</formula>
    </cfRule>
    <cfRule type="cellIs" dxfId="629" priority="4" operator="equal">
      <formula>"R3"</formula>
    </cfRule>
    <cfRule type="cellIs" dxfId="628" priority="5" operator="equal">
      <formula>"R2"</formula>
    </cfRule>
    <cfRule type="cellIs" dxfId="627" priority="29" operator="equal">
      <formula>"EMB"</formula>
    </cfRule>
    <cfRule type="cellIs" dxfId="626" priority="6" operator="equal">
      <formula>"R1"</formula>
    </cfRule>
    <cfRule type="cellIs" dxfId="625" priority="7" operator="equal">
      <formula>"R"</formula>
    </cfRule>
    <cfRule type="cellIs" dxfId="624" priority="9" operator="equal">
      <formula>"BIN"</formula>
    </cfRule>
    <cfRule type="cellIs" dxfId="623" priority="10" operator="equal">
      <formula>"KIDS"</formula>
    </cfRule>
    <cfRule type="cellIs" dxfId="622" priority="11" operator="equal">
      <formula>"CR"</formula>
    </cfRule>
    <cfRule type="cellIs" dxfId="621" priority="12" operator="equal">
      <formula>"FB"</formula>
    </cfRule>
  </conditionalFormatting>
  <conditionalFormatting sqref="H15:BS15">
    <cfRule type="containsBlanks" dxfId="620" priority="77" stopIfTrue="1">
      <formula>LEN(TRIM(H15))=0</formula>
    </cfRule>
    <cfRule type="cellIs" dxfId="619" priority="67" stopIfTrue="1" operator="equal">
      <formula>$AB$3</formula>
    </cfRule>
    <cfRule type="cellIs" dxfId="618" priority="68" stopIfTrue="1" operator="equal">
      <formula>$AC$3</formula>
    </cfRule>
    <cfRule type="cellIs" dxfId="617" priority="69" stopIfTrue="1" operator="equal">
      <formula>$AA$3</formula>
    </cfRule>
    <cfRule type="cellIs" dxfId="616" priority="70" stopIfTrue="1" operator="equal">
      <formula>$Z$3</formula>
    </cfRule>
    <cfRule type="cellIs" dxfId="615" priority="71" stopIfTrue="1" operator="equal">
      <formula>$Y$3</formula>
    </cfRule>
    <cfRule type="cellIs" dxfId="614" priority="72" stopIfTrue="1" operator="equal">
      <formula>$X$3</formula>
    </cfRule>
    <cfRule type="cellIs" dxfId="613" priority="73" stopIfTrue="1" operator="equal">
      <formula>$W$3</formula>
    </cfRule>
    <cfRule type="cellIs" dxfId="612" priority="66" stopIfTrue="1" operator="equal">
      <formula>$AD$3</formula>
    </cfRule>
    <cfRule type="cellIs" dxfId="611" priority="75" stopIfTrue="1" operator="equal">
      <formula>$U$3</formula>
    </cfRule>
    <cfRule type="cellIs" dxfId="610" priority="76" stopIfTrue="1" operator="equal">
      <formula>$T$3</formula>
    </cfRule>
    <cfRule type="cellIs" dxfId="609" priority="74" stopIfTrue="1" operator="equal">
      <formula>$V$3</formula>
    </cfRule>
  </conditionalFormatting>
  <conditionalFormatting sqref="H7:BT12">
    <cfRule type="cellIs" dxfId="608" priority="121" operator="equal">
      <formula>"H1"</formula>
    </cfRule>
    <cfRule type="cellIs" dxfId="607" priority="90" operator="equal">
      <formula>"R6"</formula>
    </cfRule>
    <cfRule type="cellIs" dxfId="606" priority="91" operator="equal">
      <formula>"R5"</formula>
    </cfRule>
    <cfRule type="cellIs" dxfId="605" priority="92" operator="equal">
      <formula>"R4"</formula>
    </cfRule>
    <cfRule type="cellIs" dxfId="604" priority="93" operator="equal">
      <formula>"R3"</formula>
    </cfRule>
    <cfRule type="cellIs" dxfId="603" priority="94" operator="equal">
      <formula>"R2"</formula>
    </cfRule>
    <cfRule type="cellIs" dxfId="602" priority="95" operator="equal">
      <formula>"R1"</formula>
    </cfRule>
    <cfRule type="cellIs" dxfId="601" priority="96" operator="equal">
      <formula>"R"</formula>
    </cfRule>
    <cfRule type="cellIs" dxfId="600" priority="97" operator="equal">
      <formula>"TEA"</formula>
    </cfRule>
    <cfRule type="cellIs" dxfId="599" priority="98" operator="equal">
      <formula>"BIN"</formula>
    </cfRule>
    <cfRule type="cellIs" dxfId="598" priority="99" operator="equal">
      <formula>"KIDS"</formula>
    </cfRule>
    <cfRule type="cellIs" dxfId="597" priority="100" operator="equal">
      <formula>"CR"</formula>
    </cfRule>
    <cfRule type="cellIs" dxfId="596" priority="101" operator="equal">
      <formula>"FB"</formula>
    </cfRule>
    <cfRule type="cellIs" dxfId="595" priority="102" operator="equal">
      <formula>"FFR"</formula>
    </cfRule>
    <cfRule type="cellIs" dxfId="594" priority="103" operator="equal">
      <formula>"F"</formula>
    </cfRule>
    <cfRule type="cellIs" dxfId="593" priority="104" operator="equal">
      <formula>"PEN"</formula>
    </cfRule>
    <cfRule type="cellIs" dxfId="592" priority="105" operator="equal">
      <formula>"TW"</formula>
    </cfRule>
    <cfRule type="cellIs" dxfId="591" priority="106" operator="equal">
      <formula>"AD"</formula>
    </cfRule>
    <cfRule type="cellIs" dxfId="590" priority="107" operator="equal">
      <formula>"SY"</formula>
    </cfRule>
    <cfRule type="cellIs" dxfId="589" priority="108" operator="equal">
      <formula>"CSYS"</formula>
    </cfRule>
    <cfRule type="cellIs" dxfId="588" priority="109" operator="equal">
      <formula>"HHR"</formula>
    </cfRule>
    <cfRule type="cellIs" dxfId="587" priority="110" operator="equal">
      <formula>"HH"</formula>
    </cfRule>
    <cfRule type="cellIs" dxfId="586" priority="111" operator="equal">
      <formula>"STAFF"</formula>
    </cfRule>
    <cfRule type="cellIs" dxfId="585" priority="112" operator="equal">
      <formula>"LINW"</formula>
    </cfRule>
    <cfRule type="cellIs" dxfId="584" priority="113" operator="equal">
      <formula>"MINW"</formula>
    </cfRule>
    <cfRule type="cellIs" dxfId="583" priority="114" operator="equal">
      <formula>"ACC"</formula>
    </cfRule>
    <cfRule type="cellIs" dxfId="582" priority="115" operator="equal">
      <formula>"H"</formula>
    </cfRule>
    <cfRule type="cellIs" dxfId="581" priority="116" operator="equal">
      <formula>"ASM"</formula>
    </cfRule>
    <cfRule type="cellIs" dxfId="580" priority="117" operator="equal">
      <formula>"SM"</formula>
    </cfRule>
    <cfRule type="cellIs" dxfId="579" priority="118" operator="equal">
      <formula>"EMB"</formula>
    </cfRule>
    <cfRule type="cellIs" dxfId="578" priority="119" operator="equal">
      <formula>"H3"</formula>
    </cfRule>
    <cfRule type="cellIs" dxfId="577" priority="120" operator="equal">
      <formula>"H2"</formula>
    </cfRule>
  </conditionalFormatting>
  <conditionalFormatting sqref="H17:BT103">
    <cfRule type="cellIs" dxfId="576" priority="126" stopIfTrue="1" operator="equal">
      <formula>$Z$3</formula>
    </cfRule>
    <cfRule type="cellIs" dxfId="575" priority="122" stopIfTrue="1" operator="equal">
      <formula>$AD$3</formula>
    </cfRule>
    <cfRule type="cellIs" dxfId="574" priority="123" stopIfTrue="1" operator="equal">
      <formula>$AB$3</formula>
    </cfRule>
    <cfRule type="cellIs" dxfId="573" priority="124" stopIfTrue="1" operator="equal">
      <formula>$AC$3</formula>
    </cfRule>
    <cfRule type="cellIs" dxfId="572" priority="125" stopIfTrue="1" operator="equal">
      <formula>$AA$3</formula>
    </cfRule>
    <cfRule type="cellIs" dxfId="571" priority="131" stopIfTrue="1" operator="equal">
      <formula>$U$3</formula>
    </cfRule>
    <cfRule type="cellIs" dxfId="570" priority="127" stopIfTrue="1" operator="equal">
      <formula>$Y$3</formula>
    </cfRule>
    <cfRule type="cellIs" dxfId="569" priority="128" stopIfTrue="1" operator="equal">
      <formula>$X$3</formula>
    </cfRule>
    <cfRule type="cellIs" dxfId="568" priority="129" stopIfTrue="1" operator="equal">
      <formula>$W$3</formula>
    </cfRule>
    <cfRule type="cellIs" dxfId="567" priority="130" stopIfTrue="1" operator="equal">
      <formula>$V$3</formula>
    </cfRule>
    <cfRule type="cellIs" dxfId="566" priority="132" stopIfTrue="1" operator="equal">
      <formula>$T$3</formula>
    </cfRule>
    <cfRule type="containsBlanks" dxfId="565" priority="133" stopIfTrue="1">
      <formula>LEN(TRIM(H17))=0</formula>
    </cfRule>
  </conditionalFormatting>
  <conditionalFormatting sqref="T3:AW3">
    <cfRule type="containsBlanks" dxfId="564" priority="65" stopIfTrue="1">
      <formula>LEN(TRIM(T3))=0</formula>
    </cfRule>
  </conditionalFormatting>
  <conditionalFormatting sqref="BT5:BT6 H16:BJ16">
    <cfRule type="cellIs" dxfId="563" priority="205" operator="equal">
      <formula>"R6"</formula>
    </cfRule>
    <cfRule type="cellIs" dxfId="562" priority="206" operator="equal">
      <formula>"R5"</formula>
    </cfRule>
    <cfRule type="cellIs" dxfId="561" priority="207" operator="equal">
      <formula>"R4"</formula>
    </cfRule>
    <cfRule type="cellIs" dxfId="560" priority="208" operator="equal">
      <formula>"R3"</formula>
    </cfRule>
    <cfRule type="cellIs" dxfId="559" priority="209" operator="equal">
      <formula>"R2"</formula>
    </cfRule>
    <cfRule type="cellIs" dxfId="558" priority="210" operator="equal">
      <formula>"R1"</formula>
    </cfRule>
    <cfRule type="cellIs" dxfId="557" priority="211" operator="equal">
      <formula>"R"</formula>
    </cfRule>
    <cfRule type="cellIs" dxfId="556" priority="212" operator="equal">
      <formula>"TEA"</formula>
    </cfRule>
    <cfRule type="cellIs" dxfId="555" priority="213" operator="equal">
      <formula>"BIN"</formula>
    </cfRule>
    <cfRule type="cellIs" dxfId="554" priority="214" operator="equal">
      <formula>"KIDS"</formula>
    </cfRule>
    <cfRule type="cellIs" dxfId="553" priority="215" operator="equal">
      <formula>"CR"</formula>
    </cfRule>
    <cfRule type="cellIs" dxfId="552" priority="216" operator="equal">
      <formula>"FB"</formula>
    </cfRule>
    <cfRule type="cellIs" dxfId="551" priority="217" operator="equal">
      <formula>"FFR"</formula>
    </cfRule>
    <cfRule type="cellIs" dxfId="550" priority="218" operator="equal">
      <formula>"F"</formula>
    </cfRule>
    <cfRule type="cellIs" dxfId="549" priority="219" operator="equal">
      <formula>"PEN"</formula>
    </cfRule>
    <cfRule type="cellIs" dxfId="548" priority="220" operator="equal">
      <formula>"TW"</formula>
    </cfRule>
    <cfRule type="cellIs" dxfId="547" priority="221" operator="equal">
      <formula>"AD"</formula>
    </cfRule>
    <cfRule type="cellIs" dxfId="546" priority="222" operator="equal">
      <formula>"SY"</formula>
    </cfRule>
    <cfRule type="cellIs" dxfId="545" priority="223" operator="equal">
      <formula>"CSYS"</formula>
    </cfRule>
    <cfRule type="cellIs" dxfId="544" priority="224" operator="equal">
      <formula>"HHR"</formula>
    </cfRule>
    <cfRule type="cellIs" dxfId="543" priority="225" operator="equal">
      <formula>"HH"</formula>
    </cfRule>
    <cfRule type="cellIs" dxfId="542" priority="226" operator="equal">
      <formula>"STAFF"</formula>
    </cfRule>
    <cfRule type="cellIs" dxfId="541" priority="227" operator="equal">
      <formula>"LINW"</formula>
    </cfRule>
    <cfRule type="cellIs" dxfId="540" priority="228" operator="equal">
      <formula>"MINW"</formula>
    </cfRule>
    <cfRule type="cellIs" dxfId="539" priority="229" operator="equal">
      <formula>"ACC"</formula>
    </cfRule>
    <cfRule type="cellIs" dxfId="538" priority="230" operator="equal">
      <formula>"H"</formula>
    </cfRule>
    <cfRule type="cellIs" dxfId="537" priority="231" operator="equal">
      <formula>"ASM"</formula>
    </cfRule>
    <cfRule type="cellIs" dxfId="536" priority="232" operator="equal">
      <formula>"SM"</formula>
    </cfRule>
    <cfRule type="cellIs" dxfId="535" priority="233" operator="equal">
      <formula>"EMB"</formula>
    </cfRule>
    <cfRule type="cellIs" dxfId="534" priority="234" operator="equal">
      <formula>"H3"</formula>
    </cfRule>
    <cfRule type="cellIs" dxfId="533" priority="235" operator="equal">
      <formula>"H2"</formula>
    </cfRule>
    <cfRule type="cellIs" dxfId="532" priority="236" operator="equal">
      <formula>"H1"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</sheetPr>
  <dimension ref="B1:BU103"/>
  <sheetViews>
    <sheetView zoomScale="55" zoomScaleNormal="55" workbookViewId="0">
      <selection activeCell="BP1" sqref="BP1:BR1048576"/>
    </sheetView>
  </sheetViews>
  <sheetFormatPr defaultColWidth="8.85546875" defaultRowHeight="12.6" outlineLevelCol="1"/>
  <cols>
    <col min="1" max="1" width="1.5703125" style="93" customWidth="1"/>
    <col min="2" max="2" width="5" style="93" customWidth="1"/>
    <col min="3" max="3" width="17.42578125" style="93" bestFit="1" customWidth="1"/>
    <col min="4" max="4" width="11.140625" style="93" hidden="1" customWidth="1"/>
    <col min="5" max="5" width="6.140625" style="93" customWidth="1"/>
    <col min="6" max="7" width="8" style="93" customWidth="1"/>
    <col min="8" max="11" width="3.85546875" style="94" hidden="1" customWidth="1" outlineLevel="1"/>
    <col min="12" max="12" width="3.85546875" style="94" hidden="1" customWidth="1" collapsed="1"/>
    <col min="13" max="13" width="3.85546875" style="94" hidden="1" customWidth="1"/>
    <col min="14" max="59" width="3.85546875" style="94" customWidth="1"/>
    <col min="60" max="67" width="3.85546875" style="93" customWidth="1"/>
    <col min="68" max="70" width="3.85546875" style="93" hidden="1" customWidth="1"/>
    <col min="71" max="71" width="3.85546875" style="93" hidden="1" customWidth="1" outlineLevel="1"/>
    <col min="72" max="72" width="4.85546875" style="93" hidden="1" customWidth="1" outlineLevel="1"/>
    <col min="73" max="73" width="8.85546875" style="93" collapsed="1"/>
    <col min="74" max="16384" width="8.85546875" style="93"/>
  </cols>
  <sheetData>
    <row r="1" spans="2:72" customFormat="1" ht="5.45" customHeight="1"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1"/>
      <c r="BE1" s="1"/>
      <c r="BF1" s="1"/>
      <c r="BG1" s="1"/>
    </row>
    <row r="2" spans="2:72" customFormat="1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38" t="s">
        <v>327</v>
      </c>
      <c r="U2" s="138"/>
      <c r="V2" s="138"/>
      <c r="W2" s="138"/>
      <c r="X2" s="138"/>
      <c r="Y2" s="138" t="s">
        <v>229</v>
      </c>
      <c r="Z2" s="138"/>
      <c r="AA2" s="138"/>
      <c r="AB2" s="138"/>
      <c r="AC2" s="138"/>
      <c r="AD2" s="47" t="s">
        <v>231</v>
      </c>
      <c r="AE2" s="138" t="s">
        <v>328</v>
      </c>
      <c r="AF2" s="138"/>
      <c r="AG2" s="138"/>
      <c r="AH2" s="138" t="s">
        <v>329</v>
      </c>
      <c r="AI2" s="138"/>
      <c r="AJ2" s="138"/>
      <c r="AK2" s="138"/>
      <c r="AL2" s="138" t="s">
        <v>330</v>
      </c>
      <c r="AM2" s="138"/>
      <c r="AN2" s="138" t="s">
        <v>248</v>
      </c>
      <c r="AO2" s="138"/>
      <c r="AP2" s="138"/>
      <c r="AQ2" s="138"/>
      <c r="AR2" s="138"/>
      <c r="AS2" s="138"/>
      <c r="AT2" s="138" t="s">
        <v>331</v>
      </c>
      <c r="AU2" s="138"/>
      <c r="AV2" s="138"/>
      <c r="AW2" s="138"/>
      <c r="AX2" s="2"/>
      <c r="AY2" s="2"/>
      <c r="AZ2" s="2"/>
      <c r="BA2" s="2"/>
      <c r="BB2" s="2"/>
      <c r="BC2" s="1"/>
      <c r="BD2" s="1"/>
      <c r="BE2" s="1"/>
      <c r="BF2" s="1"/>
      <c r="BG2" s="1"/>
    </row>
    <row r="3" spans="2:72" customForma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6" t="s">
        <v>210</v>
      </c>
      <c r="U3" s="17" t="s">
        <v>212</v>
      </c>
      <c r="V3" s="18" t="s">
        <v>214</v>
      </c>
      <c r="W3" s="20" t="s">
        <v>216</v>
      </c>
      <c r="X3" s="19" t="s">
        <v>218</v>
      </c>
      <c r="Y3" s="11" t="s">
        <v>220</v>
      </c>
      <c r="Z3" s="12" t="s">
        <v>222</v>
      </c>
      <c r="AA3" s="14" t="s">
        <v>224</v>
      </c>
      <c r="AB3" s="15" t="s">
        <v>226</v>
      </c>
      <c r="AC3" s="13" t="s">
        <v>228</v>
      </c>
      <c r="AD3" s="42" t="s">
        <v>230</v>
      </c>
      <c r="AE3" s="46">
        <v>40</v>
      </c>
      <c r="AF3" s="46">
        <v>15</v>
      </c>
      <c r="AG3" s="46">
        <v>10</v>
      </c>
      <c r="AH3" s="40" t="s">
        <v>235</v>
      </c>
      <c r="AI3" s="41" t="s">
        <v>237</v>
      </c>
      <c r="AJ3" s="45" t="s">
        <v>239</v>
      </c>
      <c r="AK3" s="21" t="s">
        <v>241</v>
      </c>
      <c r="AL3" s="43" t="s">
        <v>243</v>
      </c>
      <c r="AM3" s="44" t="s">
        <v>245</v>
      </c>
      <c r="AN3" s="39" t="s">
        <v>247</v>
      </c>
      <c r="AO3" s="39" t="s">
        <v>249</v>
      </c>
      <c r="AP3" s="39" t="s">
        <v>251</v>
      </c>
      <c r="AQ3" s="39" t="s">
        <v>253</v>
      </c>
      <c r="AR3" s="39" t="s">
        <v>255</v>
      </c>
      <c r="AS3" s="39" t="s">
        <v>257</v>
      </c>
      <c r="AT3" s="10" t="s">
        <v>259</v>
      </c>
      <c r="AU3" s="10" t="s">
        <v>261</v>
      </c>
      <c r="AV3" s="10" t="s">
        <v>263</v>
      </c>
      <c r="AW3" s="10" t="s">
        <v>265</v>
      </c>
      <c r="AX3" s="2"/>
      <c r="AY3" s="2"/>
      <c r="AZ3" s="2"/>
      <c r="BA3" s="2"/>
      <c r="BB3" s="2"/>
      <c r="BC3" s="1"/>
      <c r="BD3" s="1"/>
      <c r="BE3" s="1"/>
      <c r="BF3" s="1"/>
      <c r="BG3" s="1"/>
    </row>
    <row r="4" spans="2:72" customFormat="1" ht="6" customHeight="1"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1"/>
      <c r="BD4" s="1"/>
      <c r="BE4" s="1"/>
      <c r="BF4" s="1"/>
      <c r="BG4" s="1"/>
    </row>
    <row r="5" spans="2:72" customFormat="1" ht="10.35" customHeight="1">
      <c r="C5" s="8" t="str">
        <f>Weekly!P2</f>
        <v xml:space="preserve"> Thu Nov 13</v>
      </c>
      <c r="H5" s="139">
        <v>7</v>
      </c>
      <c r="I5" s="140"/>
      <c r="J5" s="140"/>
      <c r="K5" s="141"/>
      <c r="L5" s="139">
        <v>8</v>
      </c>
      <c r="M5" s="140"/>
      <c r="N5" s="140"/>
      <c r="O5" s="141"/>
      <c r="P5" s="139">
        <v>9</v>
      </c>
      <c r="Q5" s="140"/>
      <c r="R5" s="140"/>
      <c r="S5" s="141"/>
      <c r="T5" s="139">
        <v>10</v>
      </c>
      <c r="U5" s="140"/>
      <c r="V5" s="140"/>
      <c r="W5" s="141"/>
      <c r="X5" s="139">
        <v>11</v>
      </c>
      <c r="Y5" s="140"/>
      <c r="Z5" s="140"/>
      <c r="AA5" s="141"/>
      <c r="AB5" s="139">
        <v>12</v>
      </c>
      <c r="AC5" s="140"/>
      <c r="AD5" s="140"/>
      <c r="AE5" s="141"/>
      <c r="AF5" s="139">
        <v>13</v>
      </c>
      <c r="AG5" s="140"/>
      <c r="AH5" s="140"/>
      <c r="AI5" s="141"/>
      <c r="AJ5" s="139">
        <v>14</v>
      </c>
      <c r="AK5" s="140"/>
      <c r="AL5" s="140"/>
      <c r="AM5" s="141"/>
      <c r="AN5" s="139">
        <v>15</v>
      </c>
      <c r="AO5" s="140"/>
      <c r="AP5" s="140"/>
      <c r="AQ5" s="141"/>
      <c r="AR5" s="139">
        <v>16</v>
      </c>
      <c r="AS5" s="140"/>
      <c r="AT5" s="140"/>
      <c r="AU5" s="141"/>
      <c r="AV5" s="139">
        <v>17</v>
      </c>
      <c r="AW5" s="140"/>
      <c r="AX5" s="140"/>
      <c r="AY5" s="141"/>
      <c r="AZ5" s="139">
        <v>18</v>
      </c>
      <c r="BA5" s="140"/>
      <c r="BB5" s="140"/>
      <c r="BC5" s="141"/>
      <c r="BD5" s="139">
        <v>19</v>
      </c>
      <c r="BE5" s="140"/>
      <c r="BF5" s="140"/>
      <c r="BG5" s="141"/>
      <c r="BH5" s="139">
        <v>20</v>
      </c>
      <c r="BI5" s="140"/>
      <c r="BJ5" s="140"/>
      <c r="BK5" s="141"/>
      <c r="BL5" s="139">
        <v>21</v>
      </c>
      <c r="BM5" s="140"/>
      <c r="BN5" s="140"/>
      <c r="BO5" s="141"/>
      <c r="BP5" s="139">
        <v>22</v>
      </c>
      <c r="BQ5" s="140"/>
      <c r="BR5" s="140"/>
      <c r="BS5" s="141"/>
      <c r="BT5" s="6">
        <v>0.95833333333332604</v>
      </c>
    </row>
    <row r="6" spans="2:72" customFormat="1" ht="12.95">
      <c r="C6" s="8"/>
      <c r="H6" s="100" t="s">
        <v>332</v>
      </c>
      <c r="I6" s="98">
        <v>15</v>
      </c>
      <c r="J6" s="98">
        <v>30</v>
      </c>
      <c r="K6" s="99">
        <v>45</v>
      </c>
      <c r="L6" s="100" t="s">
        <v>332</v>
      </c>
      <c r="M6" s="98">
        <v>15</v>
      </c>
      <c r="N6" s="98">
        <v>30</v>
      </c>
      <c r="O6" s="99">
        <v>45</v>
      </c>
      <c r="P6" s="100" t="s">
        <v>332</v>
      </c>
      <c r="Q6" s="98">
        <v>15</v>
      </c>
      <c r="R6" s="98">
        <v>30</v>
      </c>
      <c r="S6" s="99">
        <v>45</v>
      </c>
      <c r="T6" s="100" t="s">
        <v>332</v>
      </c>
      <c r="U6" s="98">
        <v>15</v>
      </c>
      <c r="V6" s="98">
        <v>30</v>
      </c>
      <c r="W6" s="99">
        <v>45</v>
      </c>
      <c r="X6" s="100" t="s">
        <v>332</v>
      </c>
      <c r="Y6" s="98">
        <v>15</v>
      </c>
      <c r="Z6" s="98">
        <v>30</v>
      </c>
      <c r="AA6" s="99">
        <v>45</v>
      </c>
      <c r="AB6" s="100" t="s">
        <v>332</v>
      </c>
      <c r="AC6" s="98">
        <v>15</v>
      </c>
      <c r="AD6" s="98">
        <v>30</v>
      </c>
      <c r="AE6" s="99">
        <v>45</v>
      </c>
      <c r="AF6" s="100" t="s">
        <v>332</v>
      </c>
      <c r="AG6" s="98">
        <v>15</v>
      </c>
      <c r="AH6" s="98">
        <v>30</v>
      </c>
      <c r="AI6" s="99">
        <v>45</v>
      </c>
      <c r="AJ6" s="100" t="s">
        <v>332</v>
      </c>
      <c r="AK6" s="98">
        <v>15</v>
      </c>
      <c r="AL6" s="98">
        <v>30</v>
      </c>
      <c r="AM6" s="99">
        <v>45</v>
      </c>
      <c r="AN6" s="100" t="s">
        <v>332</v>
      </c>
      <c r="AO6" s="98">
        <v>15</v>
      </c>
      <c r="AP6" s="98">
        <v>30</v>
      </c>
      <c r="AQ6" s="99">
        <v>45</v>
      </c>
      <c r="AR6" s="100" t="s">
        <v>332</v>
      </c>
      <c r="AS6" s="98">
        <v>15</v>
      </c>
      <c r="AT6" s="98">
        <v>30</v>
      </c>
      <c r="AU6" s="99">
        <v>45</v>
      </c>
      <c r="AV6" s="100" t="s">
        <v>332</v>
      </c>
      <c r="AW6" s="98">
        <v>15</v>
      </c>
      <c r="AX6" s="98">
        <v>30</v>
      </c>
      <c r="AY6" s="99">
        <v>45</v>
      </c>
      <c r="AZ6" s="100" t="s">
        <v>332</v>
      </c>
      <c r="BA6" s="98">
        <v>15</v>
      </c>
      <c r="BB6" s="98">
        <v>30</v>
      </c>
      <c r="BC6" s="99">
        <v>45</v>
      </c>
      <c r="BD6" s="100" t="s">
        <v>332</v>
      </c>
      <c r="BE6" s="98">
        <v>15</v>
      </c>
      <c r="BF6" s="98">
        <v>30</v>
      </c>
      <c r="BG6" s="99">
        <v>45</v>
      </c>
      <c r="BH6" s="100" t="s">
        <v>332</v>
      </c>
      <c r="BI6" s="98">
        <v>15</v>
      </c>
      <c r="BJ6" s="98">
        <v>30</v>
      </c>
      <c r="BK6" s="99">
        <v>45</v>
      </c>
      <c r="BL6" s="100" t="s">
        <v>332</v>
      </c>
      <c r="BM6" s="98">
        <v>15</v>
      </c>
      <c r="BN6" s="98">
        <v>30</v>
      </c>
      <c r="BO6" s="99">
        <v>45</v>
      </c>
      <c r="BP6" s="100" t="s">
        <v>332</v>
      </c>
      <c r="BQ6" s="98">
        <v>15</v>
      </c>
      <c r="BR6" s="98">
        <v>30</v>
      </c>
      <c r="BS6" s="99">
        <v>45</v>
      </c>
      <c r="BT6" s="6"/>
    </row>
    <row r="7" spans="2:72" customFormat="1" ht="10.35" customHeight="1">
      <c r="G7" s="24" t="s">
        <v>236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customFormat="1" ht="10.35" customHeight="1">
      <c r="G8" s="24" t="s">
        <v>238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customFormat="1" ht="10.35" customHeight="1">
      <c r="G9" s="24" t="s">
        <v>333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customFormat="1" ht="10.35" customHeight="1">
      <c r="G10" s="24" t="s">
        <v>242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customFormat="1" ht="10.35" customHeight="1">
      <c r="G11" s="23" t="s">
        <v>334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6</v>
      </c>
      <c r="O11" s="22">
        <f t="shared" si="4"/>
        <v>6</v>
      </c>
      <c r="P11" s="22">
        <f t="shared" si="4"/>
        <v>6</v>
      </c>
      <c r="Q11" s="22">
        <f t="shared" si="4"/>
        <v>6</v>
      </c>
      <c r="R11" s="22">
        <f t="shared" si="4"/>
        <v>6</v>
      </c>
      <c r="S11" s="22">
        <f t="shared" si="4"/>
        <v>6</v>
      </c>
      <c r="T11" s="22">
        <f t="shared" si="4"/>
        <v>6</v>
      </c>
      <c r="U11" s="22">
        <f t="shared" si="4"/>
        <v>6</v>
      </c>
      <c r="V11" s="22">
        <f t="shared" si="4"/>
        <v>6</v>
      </c>
      <c r="W11" s="22">
        <f t="shared" si="4"/>
        <v>6</v>
      </c>
      <c r="X11" s="22">
        <f t="shared" si="4"/>
        <v>8</v>
      </c>
      <c r="Y11" s="22">
        <f t="shared" si="4"/>
        <v>8</v>
      </c>
      <c r="Z11" s="22">
        <f t="shared" si="4"/>
        <v>8</v>
      </c>
      <c r="AA11" s="22">
        <f t="shared" si="4"/>
        <v>8</v>
      </c>
      <c r="AB11" s="22">
        <f t="shared" si="4"/>
        <v>10</v>
      </c>
      <c r="AC11" s="22">
        <f t="shared" si="4"/>
        <v>10</v>
      </c>
      <c r="AD11" s="22">
        <f t="shared" si="4"/>
        <v>10</v>
      </c>
      <c r="AE11" s="22">
        <f t="shared" si="4"/>
        <v>10</v>
      </c>
      <c r="AF11" s="22">
        <f t="shared" si="4"/>
        <v>10</v>
      </c>
      <c r="AG11" s="22">
        <f t="shared" si="4"/>
        <v>10</v>
      </c>
      <c r="AH11" s="22">
        <f t="shared" si="4"/>
        <v>10</v>
      </c>
      <c r="AI11" s="22">
        <f t="shared" si="4"/>
        <v>10</v>
      </c>
      <c r="AJ11" s="22">
        <f t="shared" si="4"/>
        <v>16</v>
      </c>
      <c r="AK11" s="22">
        <f t="shared" si="4"/>
        <v>16</v>
      </c>
      <c r="AL11" s="22">
        <f t="shared" si="4"/>
        <v>16</v>
      </c>
      <c r="AM11" s="22">
        <f t="shared" si="4"/>
        <v>16</v>
      </c>
      <c r="AN11" s="22">
        <f t="shared" si="4"/>
        <v>15</v>
      </c>
      <c r="AO11" s="22">
        <f t="shared" si="4"/>
        <v>15</v>
      </c>
      <c r="AP11" s="22">
        <f t="shared" si="4"/>
        <v>15</v>
      </c>
      <c r="AQ11" s="22">
        <f t="shared" si="4"/>
        <v>15</v>
      </c>
      <c r="AR11" s="22">
        <f t="shared" si="4"/>
        <v>16</v>
      </c>
      <c r="AS11" s="22">
        <f t="shared" si="4"/>
        <v>16</v>
      </c>
      <c r="AT11" s="22">
        <f t="shared" si="4"/>
        <v>12</v>
      </c>
      <c r="AU11" s="22">
        <f t="shared" si="4"/>
        <v>12</v>
      </c>
      <c r="AV11" s="22">
        <f t="shared" si="4"/>
        <v>11</v>
      </c>
      <c r="AW11" s="22">
        <f t="shared" si="4"/>
        <v>11</v>
      </c>
      <c r="AX11" s="22">
        <f t="shared" si="4"/>
        <v>11</v>
      </c>
      <c r="AY11" s="22">
        <f t="shared" si="4"/>
        <v>11</v>
      </c>
      <c r="AZ11" s="22">
        <f t="shared" si="4"/>
        <v>11</v>
      </c>
      <c r="BA11" s="22">
        <f t="shared" si="4"/>
        <v>11</v>
      </c>
      <c r="BB11" s="22">
        <f t="shared" si="4"/>
        <v>11</v>
      </c>
      <c r="BC11" s="22">
        <f t="shared" si="4"/>
        <v>11</v>
      </c>
      <c r="BD11" s="22">
        <f t="shared" si="4"/>
        <v>9</v>
      </c>
      <c r="BE11" s="22">
        <f t="shared" si="4"/>
        <v>9</v>
      </c>
      <c r="BF11" s="22">
        <f t="shared" si="4"/>
        <v>9</v>
      </c>
      <c r="BG11" s="22">
        <f t="shared" si="4"/>
        <v>9</v>
      </c>
      <c r="BH11" s="22">
        <f t="shared" si="4"/>
        <v>7</v>
      </c>
      <c r="BI11" s="22">
        <f t="shared" si="4"/>
        <v>7</v>
      </c>
      <c r="BJ11" s="22">
        <f t="shared" si="4"/>
        <v>7</v>
      </c>
      <c r="BK11" s="22">
        <f t="shared" si="4"/>
        <v>7</v>
      </c>
      <c r="BL11" s="22">
        <f t="shared" si="4"/>
        <v>7</v>
      </c>
      <c r="BM11" s="22">
        <f t="shared" si="4"/>
        <v>6</v>
      </c>
      <c r="BN11" s="22">
        <f t="shared" si="4"/>
        <v>6</v>
      </c>
      <c r="BO11" s="22">
        <f t="shared" si="4"/>
        <v>6</v>
      </c>
      <c r="BP11" s="22">
        <f t="shared" si="4"/>
        <v>6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customFormat="1" hidden="1"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customFormat="1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customFormat="1" ht="10.35" customHeight="1">
      <c r="H14" s="142">
        <v>7</v>
      </c>
      <c r="I14" s="143"/>
      <c r="J14" s="143"/>
      <c r="K14" s="144"/>
      <c r="L14" s="142">
        <v>8</v>
      </c>
      <c r="M14" s="143"/>
      <c r="N14" s="143"/>
      <c r="O14" s="144"/>
      <c r="P14" s="142">
        <v>9</v>
      </c>
      <c r="Q14" s="143"/>
      <c r="R14" s="143"/>
      <c r="S14" s="144"/>
      <c r="T14" s="142">
        <v>10</v>
      </c>
      <c r="U14" s="143"/>
      <c r="V14" s="143"/>
      <c r="W14" s="144"/>
      <c r="X14" s="142">
        <v>11</v>
      </c>
      <c r="Y14" s="143"/>
      <c r="Z14" s="143"/>
      <c r="AA14" s="144"/>
      <c r="AB14" s="142">
        <v>12</v>
      </c>
      <c r="AC14" s="143"/>
      <c r="AD14" s="143"/>
      <c r="AE14" s="144"/>
      <c r="AF14" s="142">
        <v>13</v>
      </c>
      <c r="AG14" s="143"/>
      <c r="AH14" s="143"/>
      <c r="AI14" s="144"/>
      <c r="AJ14" s="142">
        <v>14</v>
      </c>
      <c r="AK14" s="143"/>
      <c r="AL14" s="143"/>
      <c r="AM14" s="144"/>
      <c r="AN14" s="142">
        <v>15</v>
      </c>
      <c r="AO14" s="143"/>
      <c r="AP14" s="143"/>
      <c r="AQ14" s="144"/>
      <c r="AR14" s="142">
        <v>16</v>
      </c>
      <c r="AS14" s="143"/>
      <c r="AT14" s="143"/>
      <c r="AU14" s="144"/>
      <c r="AV14" s="142">
        <v>17</v>
      </c>
      <c r="AW14" s="143"/>
      <c r="AX14" s="143"/>
      <c r="AY14" s="144"/>
      <c r="AZ14" s="142">
        <v>18</v>
      </c>
      <c r="BA14" s="143"/>
      <c r="BB14" s="143"/>
      <c r="BC14" s="144"/>
      <c r="BD14" s="142">
        <v>19</v>
      </c>
      <c r="BE14" s="143"/>
      <c r="BF14" s="143"/>
      <c r="BG14" s="144"/>
      <c r="BH14" s="142">
        <v>20</v>
      </c>
      <c r="BI14" s="143"/>
      <c r="BJ14" s="143"/>
      <c r="BK14" s="144"/>
      <c r="BL14" s="142">
        <v>21</v>
      </c>
      <c r="BM14" s="143"/>
      <c r="BN14" s="143"/>
      <c r="BO14" s="144"/>
      <c r="BP14" s="142">
        <v>22</v>
      </c>
      <c r="BQ14" s="143"/>
      <c r="BR14" s="143"/>
      <c r="BS14" s="144"/>
    </row>
    <row r="15" spans="2:72" s="2" customFormat="1" ht="12.95">
      <c r="B15" s="5" t="s">
        <v>284</v>
      </c>
      <c r="C15" s="5" t="s">
        <v>13</v>
      </c>
      <c r="D15" s="5" t="s">
        <v>14</v>
      </c>
      <c r="E15" s="5" t="s">
        <v>335</v>
      </c>
      <c r="F15" s="5" t="s">
        <v>287</v>
      </c>
      <c r="G15" s="5" t="s">
        <v>336</v>
      </c>
      <c r="H15" s="100" t="s">
        <v>332</v>
      </c>
      <c r="I15" s="98">
        <v>15</v>
      </c>
      <c r="J15" s="98">
        <v>30</v>
      </c>
      <c r="K15" s="99">
        <v>45</v>
      </c>
      <c r="L15" s="100" t="s">
        <v>332</v>
      </c>
      <c r="M15" s="98">
        <v>15</v>
      </c>
      <c r="N15" s="98">
        <v>30</v>
      </c>
      <c r="O15" s="99">
        <v>45</v>
      </c>
      <c r="P15" s="100" t="s">
        <v>332</v>
      </c>
      <c r="Q15" s="98">
        <v>15</v>
      </c>
      <c r="R15" s="98">
        <v>30</v>
      </c>
      <c r="S15" s="99">
        <v>45</v>
      </c>
      <c r="T15" s="100" t="s">
        <v>332</v>
      </c>
      <c r="U15" s="98">
        <v>15</v>
      </c>
      <c r="V15" s="98">
        <v>30</v>
      </c>
      <c r="W15" s="99">
        <v>45</v>
      </c>
      <c r="X15" s="100" t="s">
        <v>332</v>
      </c>
      <c r="Y15" s="98">
        <v>15</v>
      </c>
      <c r="Z15" s="98">
        <v>30</v>
      </c>
      <c r="AA15" s="99">
        <v>45</v>
      </c>
      <c r="AB15" s="100" t="s">
        <v>332</v>
      </c>
      <c r="AC15" s="98">
        <v>15</v>
      </c>
      <c r="AD15" s="98">
        <v>30</v>
      </c>
      <c r="AE15" s="99">
        <v>45</v>
      </c>
      <c r="AF15" s="100" t="s">
        <v>332</v>
      </c>
      <c r="AG15" s="98">
        <v>15</v>
      </c>
      <c r="AH15" s="98">
        <v>30</v>
      </c>
      <c r="AI15" s="99">
        <v>45</v>
      </c>
      <c r="AJ15" s="100" t="s">
        <v>332</v>
      </c>
      <c r="AK15" s="98">
        <v>15</v>
      </c>
      <c r="AL15" s="98">
        <v>30</v>
      </c>
      <c r="AM15" s="99">
        <v>45</v>
      </c>
      <c r="AN15" s="100" t="s">
        <v>332</v>
      </c>
      <c r="AO15" s="98">
        <v>15</v>
      </c>
      <c r="AP15" s="98">
        <v>30</v>
      </c>
      <c r="AQ15" s="99">
        <v>45</v>
      </c>
      <c r="AR15" s="100" t="s">
        <v>332</v>
      </c>
      <c r="AS15" s="98">
        <v>15</v>
      </c>
      <c r="AT15" s="98">
        <v>30</v>
      </c>
      <c r="AU15" s="99">
        <v>45</v>
      </c>
      <c r="AV15" s="100" t="s">
        <v>332</v>
      </c>
      <c r="AW15" s="98">
        <v>15</v>
      </c>
      <c r="AX15" s="98">
        <v>30</v>
      </c>
      <c r="AY15" s="99">
        <v>45</v>
      </c>
      <c r="AZ15" s="100" t="s">
        <v>332</v>
      </c>
      <c r="BA15" s="98">
        <v>15</v>
      </c>
      <c r="BB15" s="98">
        <v>30</v>
      </c>
      <c r="BC15" s="99">
        <v>45</v>
      </c>
      <c r="BD15" s="100" t="s">
        <v>332</v>
      </c>
      <c r="BE15" s="98">
        <v>15</v>
      </c>
      <c r="BF15" s="98">
        <v>30</v>
      </c>
      <c r="BG15" s="99">
        <v>45</v>
      </c>
      <c r="BH15" s="100" t="s">
        <v>332</v>
      </c>
      <c r="BI15" s="98">
        <v>15</v>
      </c>
      <c r="BJ15" s="98">
        <v>30</v>
      </c>
      <c r="BK15" s="99">
        <v>45</v>
      </c>
      <c r="BL15" s="100" t="s">
        <v>332</v>
      </c>
      <c r="BM15" s="98">
        <v>15</v>
      </c>
      <c r="BN15" s="98">
        <v>30</v>
      </c>
      <c r="BO15" s="99">
        <v>45</v>
      </c>
      <c r="BP15" s="100" t="s">
        <v>332</v>
      </c>
      <c r="BQ15" s="98">
        <v>15</v>
      </c>
      <c r="BR15" s="98">
        <v>30</v>
      </c>
      <c r="BS15" s="99">
        <v>45</v>
      </c>
    </row>
    <row r="16" spans="2:72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  <c r="BT16" s="53"/>
    </row>
    <row r="17" spans="2:72">
      <c r="B17" s="81" t="str">
        <f>Weekly!B9</f>
        <v>01509</v>
      </c>
      <c r="C17" s="90" t="str">
        <f>Weekly!C9</f>
        <v>Amy</v>
      </c>
      <c r="D17" s="90" t="str">
        <f>Weekly!D34</f>
        <v>Ko</v>
      </c>
      <c r="E17" s="91" t="str">
        <f>VLOOKUP(B17,Team!$B$4:$E$183,4,FALSE)</f>
        <v>L's</v>
      </c>
      <c r="F17" s="92">
        <f>Weekly!P9</f>
        <v>0.35416666666666602</v>
      </c>
      <c r="G17" s="92">
        <f>Weekly!Q9</f>
        <v>0.70833333333333304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>L's</v>
      </c>
      <c r="O17" s="84" t="str">
        <f t="shared" ref="O17:O48" si="12">IF(AND($O$12&gt;=$F17,$O$12&lt;$G17),$E17,"")</f>
        <v>L's</v>
      </c>
      <c r="P17" s="82" t="str">
        <f t="shared" ref="P17:P48" si="13">IF(AND($P$12&gt;=$F17,$P$12&lt;$G17),$E17,"")</f>
        <v>L's</v>
      </c>
      <c r="Q17" s="48" t="str">
        <f t="shared" ref="Q17:Q48" si="14">IF(AND($Q$12&gt;=$F17,$Q$12&lt;$G17),$E17,"")</f>
        <v>L's</v>
      </c>
      <c r="R17" s="48" t="str">
        <f t="shared" ref="R17:R48" si="15">IF(AND($R$12&gt;=$F17,$R$12&lt;$G17),$E17,"")</f>
        <v>L's</v>
      </c>
      <c r="S17" s="84" t="str">
        <f t="shared" ref="S17:S48" si="16">IF(AND($S$12&gt;=$F17,$S$12&lt;$G17),$E17,"")</f>
        <v>L's</v>
      </c>
      <c r="T17" s="82" t="str">
        <f t="shared" ref="T17:T48" si="17">IF(AND($T$12&gt;=$F17,$T$12&lt;$G17),$E17,"")</f>
        <v>L's</v>
      </c>
      <c r="U17" s="48" t="str">
        <f t="shared" ref="U17:U48" si="18">IF(AND($U$12&gt;=$F17,$U$12&lt;$G17),$E17,"")</f>
        <v>L's</v>
      </c>
      <c r="V17" s="48" t="str">
        <f t="shared" ref="V17:V48" si="19">IF(AND($V$12&gt;=$F17,$V$12&lt;$G17),$E17,"")</f>
        <v>L's</v>
      </c>
      <c r="W17" s="84" t="str">
        <f t="shared" ref="W17:W48" si="20">IF(AND($W$12&gt;=$F17,$W$12&lt;$G17),$E17,"")</f>
        <v>L's</v>
      </c>
      <c r="X17" s="82" t="str">
        <f t="shared" ref="X17:X48" si="21">IF(AND($X$12&gt;=$F17,$X$12&lt;$G17),$E17,"")</f>
        <v>L's</v>
      </c>
      <c r="Y17" s="48" t="str">
        <f t="shared" ref="Y17:Y48" si="22">IF(AND($Y$12&gt;=$F17,$Y$12&lt;$G17),$E17,"")</f>
        <v>L's</v>
      </c>
      <c r="Z17" s="48" t="str">
        <f t="shared" ref="Z17:Z48" si="23">IF(AND($Z$12&gt;=$F17,$Z$12&lt;$G17),$E17,"")</f>
        <v>L's</v>
      </c>
      <c r="AA17" s="84" t="str">
        <f t="shared" ref="AA17:AA48" si="24">IF(AND($AA$12&gt;=$F17,$AA$12&lt;$G17),$E17,"")</f>
        <v>L's</v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>L's</v>
      </c>
      <c r="AU17" s="84" t="str">
        <f t="shared" ref="AU17:AU48" si="44">IF(AND($AU$12&gt;=$F17,$AU$12&lt;$G17),$E17,"")</f>
        <v>L's</v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>
      <c r="B18" s="81" t="str">
        <f>Weekly!B10</f>
        <v>1175</v>
      </c>
      <c r="C18" s="90" t="str">
        <f>Weekly!C10</f>
        <v>Anna</v>
      </c>
      <c r="D18" s="90" t="str">
        <f>Weekly!D35</f>
        <v>Luong</v>
      </c>
      <c r="E18" s="91" t="str">
        <f>VLOOKUP(B18,Team!$B$4:$E$183,4,FALSE)</f>
        <v>H&amp;B</v>
      </c>
      <c r="F18" s="92" t="str">
        <f>Weekly!P10</f>
        <v/>
      </c>
      <c r="G18" s="92" t="str">
        <f>Weekly!Q10</f>
        <v/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/>
      </c>
      <c r="O18" s="84" t="str">
        <f t="shared" si="12"/>
        <v/>
      </c>
      <c r="P18" s="82" t="str">
        <f t="shared" si="13"/>
        <v/>
      </c>
      <c r="Q18" s="48" t="str">
        <f t="shared" si="14"/>
        <v/>
      </c>
      <c r="R18" s="48" t="str">
        <f t="shared" si="15"/>
        <v/>
      </c>
      <c r="S18" s="84" t="str">
        <f t="shared" si="16"/>
        <v/>
      </c>
      <c r="T18" s="82" t="str">
        <f t="shared" si="17"/>
        <v/>
      </c>
      <c r="U18" s="48" t="str">
        <f t="shared" si="18"/>
        <v/>
      </c>
      <c r="V18" s="48" t="str">
        <f t="shared" si="19"/>
        <v/>
      </c>
      <c r="W18" s="84" t="str">
        <f t="shared" si="20"/>
        <v/>
      </c>
      <c r="X18" s="82" t="str">
        <f t="shared" si="21"/>
        <v/>
      </c>
      <c r="Y18" s="48" t="str">
        <f t="shared" si="22"/>
        <v/>
      </c>
      <c r="Z18" s="48" t="str">
        <f t="shared" si="23"/>
        <v/>
      </c>
      <c r="AA18" s="84" t="str">
        <f t="shared" si="24"/>
        <v/>
      </c>
      <c r="AB18" s="82" t="str">
        <f t="shared" si="25"/>
        <v/>
      </c>
      <c r="AC18" s="48" t="str">
        <f t="shared" si="26"/>
        <v/>
      </c>
      <c r="AD18" s="48" t="str">
        <f t="shared" si="27"/>
        <v/>
      </c>
      <c r="AE18" s="84" t="str">
        <f t="shared" si="28"/>
        <v/>
      </c>
      <c r="AF18" s="82" t="str">
        <f t="shared" si="29"/>
        <v/>
      </c>
      <c r="AG18" s="48" t="str">
        <f t="shared" si="30"/>
        <v/>
      </c>
      <c r="AH18" s="48" t="str">
        <f t="shared" si="31"/>
        <v/>
      </c>
      <c r="AI18" s="84" t="str">
        <f t="shared" si="32"/>
        <v/>
      </c>
      <c r="AJ18" s="82" t="str">
        <f t="shared" si="33"/>
        <v/>
      </c>
      <c r="AK18" s="48" t="str">
        <f t="shared" si="34"/>
        <v/>
      </c>
      <c r="AL18" s="48" t="str">
        <f t="shared" si="35"/>
        <v/>
      </c>
      <c r="AM18" s="84" t="str">
        <f t="shared" si="36"/>
        <v/>
      </c>
      <c r="AN18" s="82" t="str">
        <f t="shared" si="37"/>
        <v/>
      </c>
      <c r="AO18" s="48" t="str">
        <f t="shared" si="38"/>
        <v/>
      </c>
      <c r="AP18" s="48" t="str">
        <f t="shared" si="39"/>
        <v/>
      </c>
      <c r="AQ18" s="84" t="str">
        <f t="shared" si="40"/>
        <v/>
      </c>
      <c r="AR18" s="82" t="str">
        <f t="shared" si="41"/>
        <v/>
      </c>
      <c r="AS18" s="48" t="str">
        <f t="shared" si="42"/>
        <v/>
      </c>
      <c r="AT18" s="48" t="str">
        <f t="shared" si="43"/>
        <v/>
      </c>
      <c r="AU18" s="84" t="str">
        <f t="shared" si="44"/>
        <v/>
      </c>
      <c r="AV18" s="82" t="str">
        <f t="shared" si="45"/>
        <v/>
      </c>
      <c r="AW18" s="48" t="str">
        <f t="shared" si="46"/>
        <v/>
      </c>
      <c r="AX18" s="48" t="str">
        <f t="shared" si="47"/>
        <v/>
      </c>
      <c r="AY18" s="84" t="str">
        <f t="shared" si="48"/>
        <v/>
      </c>
      <c r="AZ18" s="82" t="str">
        <f t="shared" si="49"/>
        <v/>
      </c>
      <c r="BA18" s="48" t="str">
        <f t="shared" si="50"/>
        <v/>
      </c>
      <c r="BB18" s="48" t="str">
        <f t="shared" si="51"/>
        <v/>
      </c>
      <c r="BC18" s="84" t="str">
        <f t="shared" si="52"/>
        <v/>
      </c>
      <c r="BD18" s="82" t="str">
        <f t="shared" si="53"/>
        <v/>
      </c>
      <c r="BE18" s="48" t="str">
        <f t="shared" si="54"/>
        <v/>
      </c>
      <c r="BF18" s="48" t="str">
        <f t="shared" si="55"/>
        <v/>
      </c>
      <c r="BG18" s="84" t="str">
        <f t="shared" si="56"/>
        <v/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>
      <c r="B19" s="81" t="str">
        <f>Weekly!B11</f>
        <v>1041</v>
      </c>
      <c r="C19" s="90" t="str">
        <f>Weekly!C11</f>
        <v>Archana</v>
      </c>
      <c r="D19" s="90" t="str">
        <f>Weekly!D36</f>
        <v>Sy</v>
      </c>
      <c r="E19" s="91" t="str">
        <f>VLOOKUP(B19,Team!$B$4:$E$183,4,FALSE)</f>
        <v>L's</v>
      </c>
      <c r="F19" s="92" t="str">
        <f>Weekly!P11</f>
        <v/>
      </c>
      <c r="G19" s="92" t="str">
        <f>Weekly!Q11</f>
        <v/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/>
      </c>
      <c r="Y19" s="48" t="str">
        <f t="shared" si="22"/>
        <v/>
      </c>
      <c r="Z19" s="48" t="str">
        <f t="shared" si="23"/>
        <v/>
      </c>
      <c r="AA19" s="84" t="str">
        <f t="shared" si="24"/>
        <v/>
      </c>
      <c r="AB19" s="82" t="str">
        <f t="shared" si="25"/>
        <v/>
      </c>
      <c r="AC19" s="48" t="str">
        <f t="shared" si="26"/>
        <v/>
      </c>
      <c r="AD19" s="48" t="str">
        <f t="shared" si="27"/>
        <v/>
      </c>
      <c r="AE19" s="84" t="str">
        <f t="shared" si="28"/>
        <v/>
      </c>
      <c r="AF19" s="82" t="str">
        <f t="shared" si="29"/>
        <v/>
      </c>
      <c r="AG19" s="48" t="str">
        <f t="shared" si="30"/>
        <v/>
      </c>
      <c r="AH19" s="48" t="str">
        <f t="shared" si="31"/>
        <v/>
      </c>
      <c r="AI19" s="84" t="str">
        <f t="shared" si="32"/>
        <v/>
      </c>
      <c r="AJ19" s="82" t="str">
        <f t="shared" si="33"/>
        <v/>
      </c>
      <c r="AK19" s="48" t="str">
        <f t="shared" si="34"/>
        <v/>
      </c>
      <c r="AL19" s="48" t="str">
        <f t="shared" si="35"/>
        <v/>
      </c>
      <c r="AM19" s="84" t="str">
        <f t="shared" si="36"/>
        <v/>
      </c>
      <c r="AN19" s="82" t="str">
        <f t="shared" si="37"/>
        <v/>
      </c>
      <c r="AO19" s="48" t="str">
        <f t="shared" si="38"/>
        <v/>
      </c>
      <c r="AP19" s="48" t="str">
        <f t="shared" si="39"/>
        <v/>
      </c>
      <c r="AQ19" s="84" t="str">
        <f t="shared" si="40"/>
        <v/>
      </c>
      <c r="AR19" s="82" t="str">
        <f t="shared" si="41"/>
        <v/>
      </c>
      <c r="AS19" s="48" t="str">
        <f t="shared" si="42"/>
        <v/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>
      <c r="B20" s="81" t="str">
        <f>Weekly!B12</f>
        <v>1245</v>
      </c>
      <c r="C20" s="90" t="str">
        <f>Weekly!C12</f>
        <v>Charlotte</v>
      </c>
      <c r="D20" s="90" t="str">
        <f>Weekly!D37</f>
        <v>Htun</v>
      </c>
      <c r="E20" s="91" t="str">
        <f>VLOOKUP(B20,Team!$B$4:$E$183,4,FALSE)</f>
        <v>HH</v>
      </c>
      <c r="F20" s="92" t="str">
        <f>Weekly!P12</f>
        <v/>
      </c>
      <c r="G20" s="92" t="str">
        <f>Weekly!Q12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>
      <c r="B21" s="81" t="str">
        <f>Weekly!B13</f>
        <v>1136</v>
      </c>
      <c r="C21" s="90" t="str">
        <f>Weekly!C13</f>
        <v>Cherry</v>
      </c>
      <c r="D21" s="90" t="str">
        <f>Weekly!D38</f>
        <v>Bongolan</v>
      </c>
      <c r="E21" s="91" t="str">
        <f>VLOOKUP(B21,Team!$B$4:$E$183,4,FALSE)</f>
        <v>M's</v>
      </c>
      <c r="F21" s="92" t="str">
        <f>Weekly!P13</f>
        <v/>
      </c>
      <c r="G21" s="92" t="str">
        <f>Weekly!Q13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/>
      </c>
      <c r="AC21" s="48" t="str">
        <f t="shared" si="26"/>
        <v/>
      </c>
      <c r="AD21" s="48" t="str">
        <f t="shared" si="27"/>
        <v/>
      </c>
      <c r="AE21" s="84" t="str">
        <f t="shared" si="28"/>
        <v/>
      </c>
      <c r="AF21" s="82" t="str">
        <f t="shared" si="29"/>
        <v/>
      </c>
      <c r="AG21" s="48" t="str">
        <f t="shared" si="30"/>
        <v/>
      </c>
      <c r="AH21" s="48" t="str">
        <f t="shared" si="31"/>
        <v/>
      </c>
      <c r="AI21" s="84" t="str">
        <f t="shared" si="32"/>
        <v/>
      </c>
      <c r="AJ21" s="82" t="str">
        <f t="shared" si="33"/>
        <v/>
      </c>
      <c r="AK21" s="48" t="str">
        <f t="shared" si="34"/>
        <v/>
      </c>
      <c r="AL21" s="48" t="str">
        <f t="shared" si="35"/>
        <v/>
      </c>
      <c r="AM21" s="84" t="str">
        <f t="shared" si="36"/>
        <v/>
      </c>
      <c r="AN21" s="82" t="str">
        <f t="shared" si="37"/>
        <v/>
      </c>
      <c r="AO21" s="48" t="str">
        <f t="shared" si="38"/>
        <v/>
      </c>
      <c r="AP21" s="48" t="str">
        <f t="shared" si="39"/>
        <v/>
      </c>
      <c r="AQ21" s="84" t="str">
        <f t="shared" si="40"/>
        <v/>
      </c>
      <c r="AR21" s="82" t="str">
        <f t="shared" si="41"/>
        <v/>
      </c>
      <c r="AS21" s="48" t="str">
        <f t="shared" si="42"/>
        <v/>
      </c>
      <c r="AT21" s="48" t="str">
        <f t="shared" si="43"/>
        <v/>
      </c>
      <c r="AU21" s="84" t="str">
        <f t="shared" si="44"/>
        <v/>
      </c>
      <c r="AV21" s="82" t="str">
        <f t="shared" si="45"/>
        <v/>
      </c>
      <c r="AW21" s="48" t="str">
        <f t="shared" si="46"/>
        <v/>
      </c>
      <c r="AX21" s="48" t="str">
        <f t="shared" si="47"/>
        <v/>
      </c>
      <c r="AY21" s="84" t="str">
        <f t="shared" si="48"/>
        <v/>
      </c>
      <c r="AZ21" s="82" t="str">
        <f t="shared" si="49"/>
        <v/>
      </c>
      <c r="BA21" s="48" t="str">
        <f t="shared" si="50"/>
        <v/>
      </c>
      <c r="BB21" s="48" t="str">
        <f t="shared" si="51"/>
        <v/>
      </c>
      <c r="BC21" s="84" t="str">
        <f t="shared" si="52"/>
        <v/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>
      <c r="B22" s="81" t="str">
        <f>Weekly!B14</f>
        <v>1247</v>
      </c>
      <c r="C22" s="90" t="str">
        <f>Weekly!C14</f>
        <v>Chihiro</v>
      </c>
      <c r="D22" s="90" t="str">
        <f>Weekly!D39</f>
        <v>Ng</v>
      </c>
      <c r="E22" s="91" t="str">
        <f>VLOOKUP(B22,Team!$B$4:$E$183,4,FALSE)</f>
        <v>HH</v>
      </c>
      <c r="F22" s="92">
        <f>Weekly!P14</f>
        <v>0.35416666666666602</v>
      </c>
      <c r="G22" s="92">
        <f>Weekly!Q14</f>
        <v>0.624999999999999</v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>HH</v>
      </c>
      <c r="O22" s="84" t="str">
        <f t="shared" si="12"/>
        <v>HH</v>
      </c>
      <c r="P22" s="82" t="str">
        <f t="shared" si="13"/>
        <v>HH</v>
      </c>
      <c r="Q22" s="48" t="str">
        <f t="shared" si="14"/>
        <v>HH</v>
      </c>
      <c r="R22" s="48" t="str">
        <f t="shared" si="15"/>
        <v>HH</v>
      </c>
      <c r="S22" s="84" t="str">
        <f t="shared" si="16"/>
        <v>HH</v>
      </c>
      <c r="T22" s="82" t="str">
        <f t="shared" si="17"/>
        <v>HH</v>
      </c>
      <c r="U22" s="48" t="str">
        <f t="shared" si="18"/>
        <v>HH</v>
      </c>
      <c r="V22" s="48" t="str">
        <f t="shared" si="19"/>
        <v>HH</v>
      </c>
      <c r="W22" s="84" t="str">
        <f t="shared" si="20"/>
        <v>HH</v>
      </c>
      <c r="X22" s="82" t="str">
        <f t="shared" si="21"/>
        <v>HH</v>
      </c>
      <c r="Y22" s="48" t="str">
        <f t="shared" si="22"/>
        <v>HH</v>
      </c>
      <c r="Z22" s="48" t="str">
        <f t="shared" si="23"/>
        <v>HH</v>
      </c>
      <c r="AA22" s="84" t="str">
        <f t="shared" si="24"/>
        <v>HH</v>
      </c>
      <c r="AB22" s="82" t="str">
        <f t="shared" si="25"/>
        <v>HH</v>
      </c>
      <c r="AC22" s="48" t="str">
        <f t="shared" si="26"/>
        <v>HH</v>
      </c>
      <c r="AD22" s="48" t="str">
        <f t="shared" si="27"/>
        <v>HH</v>
      </c>
      <c r="AE22" s="84" t="str">
        <f t="shared" si="28"/>
        <v>HH</v>
      </c>
      <c r="AF22" s="82" t="str">
        <f t="shared" si="29"/>
        <v>HH</v>
      </c>
      <c r="AG22" s="48" t="str">
        <f t="shared" si="30"/>
        <v>HH</v>
      </c>
      <c r="AH22" s="48" t="str">
        <f t="shared" si="31"/>
        <v>HH</v>
      </c>
      <c r="AI22" s="84" t="str">
        <f t="shared" si="32"/>
        <v>HH</v>
      </c>
      <c r="AJ22" s="82" t="str">
        <f t="shared" si="33"/>
        <v>HH</v>
      </c>
      <c r="AK22" s="48" t="str">
        <f t="shared" si="34"/>
        <v>HH</v>
      </c>
      <c r="AL22" s="48" t="str">
        <f t="shared" si="35"/>
        <v>HH</v>
      </c>
      <c r="AM22" s="84" t="str">
        <f t="shared" si="36"/>
        <v>HH</v>
      </c>
      <c r="AN22" s="82" t="str">
        <f t="shared" si="37"/>
        <v/>
      </c>
      <c r="AO22" s="48" t="str">
        <f t="shared" si="38"/>
        <v/>
      </c>
      <c r="AP22" s="48" t="str">
        <f t="shared" si="39"/>
        <v/>
      </c>
      <c r="AQ22" s="84" t="str">
        <f t="shared" si="40"/>
        <v/>
      </c>
      <c r="AR22" s="82" t="str">
        <f t="shared" si="41"/>
        <v/>
      </c>
      <c r="AS22" s="48" t="str">
        <f t="shared" si="42"/>
        <v/>
      </c>
      <c r="AT22" s="48" t="str">
        <f t="shared" si="43"/>
        <v/>
      </c>
      <c r="AU22" s="84" t="str">
        <f t="shared" si="44"/>
        <v/>
      </c>
      <c r="AV22" s="82" t="str">
        <f t="shared" si="45"/>
        <v/>
      </c>
      <c r="AW22" s="48" t="str">
        <f t="shared" si="46"/>
        <v/>
      </c>
      <c r="AX22" s="48" t="str">
        <f t="shared" si="47"/>
        <v/>
      </c>
      <c r="AY22" s="84" t="str">
        <f t="shared" si="48"/>
        <v/>
      </c>
      <c r="AZ22" s="82" t="str">
        <f t="shared" si="49"/>
        <v/>
      </c>
      <c r="BA22" s="48" t="str">
        <f t="shared" si="50"/>
        <v/>
      </c>
      <c r="BB22" s="48" t="str">
        <f t="shared" si="51"/>
        <v/>
      </c>
      <c r="BC22" s="84" t="str">
        <f t="shared" si="52"/>
        <v/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>
      <c r="B23" s="81" t="str">
        <f>Weekly!B15</f>
        <v>01514</v>
      </c>
      <c r="C23" s="90" t="str">
        <f>Weekly!C15</f>
        <v>Chloe</v>
      </c>
      <c r="D23" s="90" t="str">
        <f>Weekly!D40</f>
        <v>Huynh</v>
      </c>
      <c r="E23" s="91" t="str">
        <f>VLOOKUP(B23,Team!$B$4:$E$183,4,FALSE)</f>
        <v>SPV</v>
      </c>
      <c r="F23" s="92">
        <f>Weekly!P15</f>
        <v>0.58333333333333304</v>
      </c>
      <c r="G23" s="92">
        <f>Weekly!Q15</f>
        <v>0.91666666666666596</v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/>
      </c>
      <c r="O23" s="84" t="str">
        <f t="shared" si="12"/>
        <v/>
      </c>
      <c r="P23" s="82" t="str">
        <f t="shared" si="13"/>
        <v/>
      </c>
      <c r="Q23" s="48" t="str">
        <f t="shared" si="14"/>
        <v/>
      </c>
      <c r="R23" s="48" t="str">
        <f t="shared" si="15"/>
        <v/>
      </c>
      <c r="S23" s="84" t="str">
        <f t="shared" si="16"/>
        <v/>
      </c>
      <c r="T23" s="82" t="str">
        <f t="shared" si="17"/>
        <v/>
      </c>
      <c r="U23" s="48" t="str">
        <f t="shared" si="18"/>
        <v/>
      </c>
      <c r="V23" s="48" t="str">
        <f t="shared" si="19"/>
        <v/>
      </c>
      <c r="W23" s="84" t="str">
        <f t="shared" si="20"/>
        <v/>
      </c>
      <c r="X23" s="82" t="str">
        <f t="shared" si="21"/>
        <v/>
      </c>
      <c r="Y23" s="48" t="str">
        <f t="shared" si="22"/>
        <v/>
      </c>
      <c r="Z23" s="48" t="str">
        <f t="shared" si="23"/>
        <v/>
      </c>
      <c r="AA23" s="84" t="str">
        <f t="shared" si="24"/>
        <v/>
      </c>
      <c r="AB23" s="82" t="str">
        <f t="shared" si="25"/>
        <v/>
      </c>
      <c r="AC23" s="48" t="str">
        <f t="shared" si="26"/>
        <v/>
      </c>
      <c r="AD23" s="48" t="str">
        <f t="shared" si="27"/>
        <v/>
      </c>
      <c r="AE23" s="84" t="str">
        <f t="shared" si="28"/>
        <v/>
      </c>
      <c r="AF23" s="82" t="str">
        <f t="shared" si="29"/>
        <v/>
      </c>
      <c r="AG23" s="48" t="str">
        <f t="shared" si="30"/>
        <v/>
      </c>
      <c r="AH23" s="48" t="str">
        <f t="shared" si="31"/>
        <v/>
      </c>
      <c r="AI23" s="84" t="str">
        <f t="shared" si="32"/>
        <v/>
      </c>
      <c r="AJ23" s="82" t="str">
        <f t="shared" si="33"/>
        <v>SPV</v>
      </c>
      <c r="AK23" s="48" t="str">
        <f t="shared" si="34"/>
        <v>SPV</v>
      </c>
      <c r="AL23" s="48" t="str">
        <f t="shared" si="35"/>
        <v>SPV</v>
      </c>
      <c r="AM23" s="84" t="str">
        <f t="shared" si="36"/>
        <v>SPV</v>
      </c>
      <c r="AN23" s="82" t="str">
        <f t="shared" si="37"/>
        <v>SPV</v>
      </c>
      <c r="AO23" s="48" t="str">
        <f t="shared" si="38"/>
        <v>SPV</v>
      </c>
      <c r="AP23" s="48" t="str">
        <f t="shared" si="39"/>
        <v>SPV</v>
      </c>
      <c r="AQ23" s="84" t="str">
        <f t="shared" si="40"/>
        <v>SPV</v>
      </c>
      <c r="AR23" s="82" t="str">
        <f t="shared" si="41"/>
        <v>SPV</v>
      </c>
      <c r="AS23" s="48" t="str">
        <f t="shared" si="42"/>
        <v>SPV</v>
      </c>
      <c r="AT23" s="48" t="str">
        <f t="shared" si="43"/>
        <v>SPV</v>
      </c>
      <c r="AU23" s="84" t="str">
        <f t="shared" si="44"/>
        <v>SPV</v>
      </c>
      <c r="AV23" s="82" t="str">
        <f t="shared" si="45"/>
        <v>SPV</v>
      </c>
      <c r="AW23" s="48" t="str">
        <f t="shared" si="46"/>
        <v>SPV</v>
      </c>
      <c r="AX23" s="48" t="str">
        <f t="shared" si="47"/>
        <v>SPV</v>
      </c>
      <c r="AY23" s="84" t="str">
        <f t="shared" si="48"/>
        <v>SPV</v>
      </c>
      <c r="AZ23" s="82" t="str">
        <f t="shared" si="49"/>
        <v>SPV</v>
      </c>
      <c r="BA23" s="48" t="str">
        <f t="shared" si="50"/>
        <v>SPV</v>
      </c>
      <c r="BB23" s="48" t="str">
        <f t="shared" si="51"/>
        <v>SPV</v>
      </c>
      <c r="BC23" s="84" t="str">
        <f t="shared" si="52"/>
        <v>SPV</v>
      </c>
      <c r="BD23" s="82" t="str">
        <f t="shared" si="53"/>
        <v>SPV</v>
      </c>
      <c r="BE23" s="48" t="str">
        <f t="shared" si="54"/>
        <v>SPV</v>
      </c>
      <c r="BF23" s="48" t="str">
        <f t="shared" si="55"/>
        <v>SPV</v>
      </c>
      <c r="BG23" s="84" t="str">
        <f t="shared" si="56"/>
        <v>SPV</v>
      </c>
      <c r="BH23" s="87" t="str">
        <f t="shared" si="57"/>
        <v>SPV</v>
      </c>
      <c r="BI23" s="49" t="str">
        <f t="shared" si="58"/>
        <v>SPV</v>
      </c>
      <c r="BJ23" s="49" t="str">
        <f t="shared" si="59"/>
        <v>SPV</v>
      </c>
      <c r="BK23" s="89" t="str">
        <f t="shared" si="60"/>
        <v>SPV</v>
      </c>
      <c r="BL23" s="87" t="str">
        <f t="shared" si="61"/>
        <v>SPV</v>
      </c>
      <c r="BM23" s="49" t="str">
        <f t="shared" si="62"/>
        <v>SPV</v>
      </c>
      <c r="BN23" s="49" t="str">
        <f t="shared" si="63"/>
        <v>SPV</v>
      </c>
      <c r="BO23" s="89" t="str">
        <f t="shared" si="64"/>
        <v>SPV</v>
      </c>
      <c r="BP23" s="87" t="str">
        <f t="shared" si="65"/>
        <v>SPV</v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>
      <c r="B24" s="81" t="str">
        <f>Weekly!B16</f>
        <v>660</v>
      </c>
      <c r="C24" s="90" t="str">
        <f>Weekly!C16</f>
        <v>Daniel</v>
      </c>
      <c r="D24" s="90" t="str">
        <f>Weekly!D41</f>
        <v>Simkhada</v>
      </c>
      <c r="E24" s="91" t="str">
        <f>VLOOKUP(B24,Team!$B$4:$E$183,4,FALSE)</f>
        <v>HH</v>
      </c>
      <c r="F24" s="92" t="str">
        <f>Weekly!P16</f>
        <v/>
      </c>
      <c r="G24" s="92" t="str">
        <f>Weekly!Q16</f>
        <v/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/>
      </c>
      <c r="AC24" s="48" t="str">
        <f t="shared" si="26"/>
        <v/>
      </c>
      <c r="AD24" s="48" t="str">
        <f t="shared" si="27"/>
        <v/>
      </c>
      <c r="AE24" s="84" t="str">
        <f t="shared" si="28"/>
        <v/>
      </c>
      <c r="AF24" s="82" t="str">
        <f t="shared" si="29"/>
        <v/>
      </c>
      <c r="AG24" s="48" t="str">
        <f t="shared" si="30"/>
        <v/>
      </c>
      <c r="AH24" s="48" t="str">
        <f t="shared" si="31"/>
        <v/>
      </c>
      <c r="AI24" s="84" t="str">
        <f t="shared" si="32"/>
        <v/>
      </c>
      <c r="AJ24" s="82" t="str">
        <f t="shared" si="33"/>
        <v/>
      </c>
      <c r="AK24" s="48" t="str">
        <f t="shared" si="34"/>
        <v/>
      </c>
      <c r="AL24" s="48" t="str">
        <f t="shared" si="35"/>
        <v/>
      </c>
      <c r="AM24" s="84" t="str">
        <f t="shared" si="36"/>
        <v/>
      </c>
      <c r="AN24" s="82" t="str">
        <f t="shared" si="37"/>
        <v/>
      </c>
      <c r="AO24" s="48" t="str">
        <f t="shared" si="38"/>
        <v/>
      </c>
      <c r="AP24" s="48" t="str">
        <f t="shared" si="39"/>
        <v/>
      </c>
      <c r="AQ24" s="84" t="str">
        <f t="shared" si="40"/>
        <v/>
      </c>
      <c r="AR24" s="82" t="str">
        <f t="shared" si="41"/>
        <v/>
      </c>
      <c r="AS24" s="48" t="str">
        <f t="shared" si="42"/>
        <v/>
      </c>
      <c r="AT24" s="48" t="str">
        <f t="shared" si="43"/>
        <v/>
      </c>
      <c r="AU24" s="84" t="str">
        <f t="shared" si="44"/>
        <v/>
      </c>
      <c r="AV24" s="82" t="str">
        <f t="shared" si="45"/>
        <v/>
      </c>
      <c r="AW24" s="48" t="str">
        <f t="shared" si="46"/>
        <v/>
      </c>
      <c r="AX24" s="48" t="str">
        <f t="shared" si="47"/>
        <v/>
      </c>
      <c r="AY24" s="84" t="str">
        <f t="shared" si="48"/>
        <v/>
      </c>
      <c r="AZ24" s="82" t="str">
        <f t="shared" si="49"/>
        <v/>
      </c>
      <c r="BA24" s="48" t="str">
        <f t="shared" si="50"/>
        <v/>
      </c>
      <c r="BB24" s="48" t="str">
        <f t="shared" si="51"/>
        <v/>
      </c>
      <c r="BC24" s="84" t="str">
        <f t="shared" si="52"/>
        <v/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>
      <c r="B25" s="81" t="str">
        <f>Weekly!B17</f>
        <v>1275</v>
      </c>
      <c r="C25" s="90" t="str">
        <f>Weekly!C17</f>
        <v>Da-yeon</v>
      </c>
      <c r="D25" s="90" t="str">
        <f>Weekly!D42</f>
        <v>Lee</v>
      </c>
      <c r="E25" s="91" t="str">
        <f>VLOOKUP(B25,Team!$B$4:$E$183,4,FALSE)</f>
        <v>HH</v>
      </c>
      <c r="F25" s="92" t="str">
        <f>Weekly!P17</f>
        <v/>
      </c>
      <c r="G25" s="92" t="str">
        <f>Weekly!Q17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>
      <c r="B26" s="81" t="str">
        <f>Weekly!B18</f>
        <v>1258</v>
      </c>
      <c r="C26" s="90" t="str">
        <f>Weekly!C18</f>
        <v>Dennis</v>
      </c>
      <c r="D26" s="90" t="str">
        <f>Weekly!D43</f>
        <v>Banh</v>
      </c>
      <c r="E26" s="91" t="str">
        <f>VLOOKUP(B26,Team!$B$4:$E$183,4,FALSE)</f>
        <v>Stat.</v>
      </c>
      <c r="F26" s="92" t="str">
        <f>Weekly!P18</f>
        <v/>
      </c>
      <c r="G26" s="92" t="str">
        <f>Weekly!Q18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>
      <c r="B27" s="81" t="str">
        <f>Weekly!B19</f>
        <v>1131</v>
      </c>
      <c r="C27" s="90" t="str">
        <f>Weekly!C19</f>
        <v>Doris</v>
      </c>
      <c r="D27" s="90" t="str">
        <f>Weekly!D44</f>
        <v>Tran Wo</v>
      </c>
      <c r="E27" s="91" t="str">
        <f>VLOOKUP(B27,Team!$B$4:$E$183,4,FALSE)</f>
        <v>L's</v>
      </c>
      <c r="F27" s="92" t="str">
        <f>Weekly!P19</f>
        <v/>
      </c>
      <c r="G27" s="92" t="str">
        <f>Weekly!Q19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>
      <c r="B28" s="81" t="str">
        <f>Weekly!B20</f>
        <v>01601</v>
      </c>
      <c r="C28" s="90" t="str">
        <f>Weekly!C20</f>
        <v>Dorothy</v>
      </c>
      <c r="D28" s="90" t="str">
        <f>Weekly!D45</f>
        <v>Ishikawa</v>
      </c>
      <c r="E28" s="91" t="str">
        <f>VLOOKUP(B28,Team!$B$4:$E$183,4,FALSE)</f>
        <v>M's</v>
      </c>
      <c r="F28" s="92" t="str">
        <f>Weekly!P20</f>
        <v/>
      </c>
      <c r="G28" s="92" t="str">
        <f>Weekly!Q20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>
      <c r="B29" s="81" t="str">
        <f>Weekly!B21</f>
        <v>01506</v>
      </c>
      <c r="C29" s="90" t="str">
        <f>Weekly!C21</f>
        <v>Duke</v>
      </c>
      <c r="D29" s="90" t="str">
        <f>Weekly!D46</f>
        <v>Choi</v>
      </c>
      <c r="E29" s="91" t="str">
        <f>VLOOKUP(B29,Team!$B$4:$E$183,4,FALSE)</f>
        <v>HH</v>
      </c>
      <c r="F29" s="92">
        <f>Weekly!P21</f>
        <v>0.58333333333333304</v>
      </c>
      <c r="G29" s="92">
        <f>Weekly!Q21</f>
        <v>0.91666666666666596</v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/>
      </c>
      <c r="Y29" s="48" t="str">
        <f t="shared" si="22"/>
        <v/>
      </c>
      <c r="Z29" s="48" t="str">
        <f t="shared" si="23"/>
        <v/>
      </c>
      <c r="AA29" s="84" t="str">
        <f t="shared" si="24"/>
        <v/>
      </c>
      <c r="AB29" s="82" t="str">
        <f t="shared" si="25"/>
        <v/>
      </c>
      <c r="AC29" s="48" t="str">
        <f t="shared" si="26"/>
        <v/>
      </c>
      <c r="AD29" s="48" t="str">
        <f t="shared" si="27"/>
        <v/>
      </c>
      <c r="AE29" s="84" t="str">
        <f t="shared" si="28"/>
        <v/>
      </c>
      <c r="AF29" s="82" t="str">
        <f t="shared" si="29"/>
        <v/>
      </c>
      <c r="AG29" s="48" t="str">
        <f t="shared" si="30"/>
        <v/>
      </c>
      <c r="AH29" s="48" t="str">
        <f t="shared" si="31"/>
        <v/>
      </c>
      <c r="AI29" s="84" t="str">
        <f t="shared" si="32"/>
        <v/>
      </c>
      <c r="AJ29" s="82" t="str">
        <f t="shared" si="33"/>
        <v>HH</v>
      </c>
      <c r="AK29" s="48" t="str">
        <f t="shared" si="34"/>
        <v>HH</v>
      </c>
      <c r="AL29" s="48" t="str">
        <f t="shared" si="35"/>
        <v>HH</v>
      </c>
      <c r="AM29" s="84" t="str">
        <f t="shared" si="36"/>
        <v>HH</v>
      </c>
      <c r="AN29" s="82" t="str">
        <f t="shared" si="37"/>
        <v>HH</v>
      </c>
      <c r="AO29" s="48" t="str">
        <f t="shared" si="38"/>
        <v>HH</v>
      </c>
      <c r="AP29" s="48" t="str">
        <f t="shared" si="39"/>
        <v>HH</v>
      </c>
      <c r="AQ29" s="84" t="str">
        <f t="shared" si="40"/>
        <v>HH</v>
      </c>
      <c r="AR29" s="82" t="str">
        <f t="shared" si="41"/>
        <v>HH</v>
      </c>
      <c r="AS29" s="48" t="str">
        <f t="shared" si="42"/>
        <v>HH</v>
      </c>
      <c r="AT29" s="48" t="str">
        <f t="shared" si="43"/>
        <v>HH</v>
      </c>
      <c r="AU29" s="84" t="str">
        <f t="shared" si="44"/>
        <v>HH</v>
      </c>
      <c r="AV29" s="82" t="str">
        <f t="shared" si="45"/>
        <v>HH</v>
      </c>
      <c r="AW29" s="48" t="str">
        <f t="shared" si="46"/>
        <v>HH</v>
      </c>
      <c r="AX29" s="48" t="str">
        <f t="shared" si="47"/>
        <v>HH</v>
      </c>
      <c r="AY29" s="84" t="str">
        <f t="shared" si="48"/>
        <v>HH</v>
      </c>
      <c r="AZ29" s="82" t="str">
        <f t="shared" si="49"/>
        <v>HH</v>
      </c>
      <c r="BA29" s="48" t="str">
        <f t="shared" si="50"/>
        <v>HH</v>
      </c>
      <c r="BB29" s="48" t="str">
        <f t="shared" si="51"/>
        <v>HH</v>
      </c>
      <c r="BC29" s="84" t="str">
        <f t="shared" si="52"/>
        <v>HH</v>
      </c>
      <c r="BD29" s="82" t="str">
        <f t="shared" si="53"/>
        <v>HH</v>
      </c>
      <c r="BE29" s="48" t="str">
        <f t="shared" si="54"/>
        <v>HH</v>
      </c>
      <c r="BF29" s="48" t="str">
        <f t="shared" si="55"/>
        <v>HH</v>
      </c>
      <c r="BG29" s="84" t="str">
        <f t="shared" si="56"/>
        <v>HH</v>
      </c>
      <c r="BH29" s="87" t="str">
        <f t="shared" si="57"/>
        <v>HH</v>
      </c>
      <c r="BI29" s="49" t="str">
        <f t="shared" si="58"/>
        <v>HH</v>
      </c>
      <c r="BJ29" s="49" t="str">
        <f t="shared" si="59"/>
        <v>HH</v>
      </c>
      <c r="BK29" s="89" t="str">
        <f t="shared" si="60"/>
        <v>HH</v>
      </c>
      <c r="BL29" s="87" t="str">
        <f t="shared" si="61"/>
        <v>HH</v>
      </c>
      <c r="BM29" s="49" t="str">
        <f t="shared" si="62"/>
        <v>HH</v>
      </c>
      <c r="BN29" s="49" t="str">
        <f t="shared" si="63"/>
        <v>HH</v>
      </c>
      <c r="BO29" s="89" t="str">
        <f t="shared" si="64"/>
        <v>HH</v>
      </c>
      <c r="BP29" s="87" t="str">
        <f t="shared" si="65"/>
        <v>HH</v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>
      <c r="B30" s="81" t="str">
        <f>Weekly!B22</f>
        <v>01526</v>
      </c>
      <c r="C30" s="90" t="str">
        <f>Weekly!C22</f>
        <v>Emma</v>
      </c>
      <c r="D30" s="90" t="str">
        <f>Weekly!D47</f>
        <v>Nguyen</v>
      </c>
      <c r="E30" s="91" t="str">
        <f>VLOOKUP(B30,Team!$B$4:$E$183,4,FALSE)</f>
        <v>L's</v>
      </c>
      <c r="F30" s="92" t="str">
        <f>Weekly!P22</f>
        <v/>
      </c>
      <c r="G30" s="92" t="str">
        <f>Weekly!Q22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/>
      </c>
      <c r="AK30" s="48" t="str">
        <f t="shared" si="34"/>
        <v/>
      </c>
      <c r="AL30" s="48" t="str">
        <f t="shared" si="35"/>
        <v/>
      </c>
      <c r="AM30" s="84" t="str">
        <f t="shared" si="36"/>
        <v/>
      </c>
      <c r="AN30" s="82" t="str">
        <f t="shared" si="37"/>
        <v/>
      </c>
      <c r="AO30" s="48" t="str">
        <f t="shared" si="38"/>
        <v/>
      </c>
      <c r="AP30" s="48" t="str">
        <f t="shared" si="39"/>
        <v/>
      </c>
      <c r="AQ30" s="84" t="str">
        <f t="shared" si="40"/>
        <v/>
      </c>
      <c r="AR30" s="82" t="str">
        <f t="shared" si="41"/>
        <v/>
      </c>
      <c r="AS30" s="48" t="str">
        <f t="shared" si="42"/>
        <v/>
      </c>
      <c r="AT30" s="48" t="str">
        <f t="shared" si="43"/>
        <v/>
      </c>
      <c r="AU30" s="84" t="str">
        <f t="shared" si="44"/>
        <v/>
      </c>
      <c r="AV30" s="82" t="str">
        <f t="shared" si="45"/>
        <v/>
      </c>
      <c r="AW30" s="48" t="str">
        <f t="shared" si="46"/>
        <v/>
      </c>
      <c r="AX30" s="48" t="str">
        <f t="shared" si="47"/>
        <v/>
      </c>
      <c r="AY30" s="84" t="str">
        <f t="shared" si="48"/>
        <v/>
      </c>
      <c r="AZ30" s="82" t="str">
        <f t="shared" si="49"/>
        <v/>
      </c>
      <c r="BA30" s="48" t="str">
        <f t="shared" si="50"/>
        <v/>
      </c>
      <c r="BB30" s="48" t="str">
        <f t="shared" si="51"/>
        <v/>
      </c>
      <c r="BC30" s="84" t="str">
        <f t="shared" si="52"/>
        <v/>
      </c>
      <c r="BD30" s="82" t="str">
        <f t="shared" si="53"/>
        <v/>
      </c>
      <c r="BE30" s="48" t="str">
        <f t="shared" si="54"/>
        <v/>
      </c>
      <c r="BF30" s="48" t="str">
        <f t="shared" si="55"/>
        <v/>
      </c>
      <c r="BG30" s="84" t="str">
        <f t="shared" si="56"/>
        <v/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>
      <c r="B31" s="81" t="str">
        <f>Weekly!B23</f>
        <v>1025</v>
      </c>
      <c r="C31" s="90" t="str">
        <f>Weekly!C23</f>
        <v>Eunice</v>
      </c>
      <c r="D31" s="90" t="str">
        <f>Weekly!D48</f>
        <v>De Vera</v>
      </c>
      <c r="E31" s="91" t="str">
        <f>VLOOKUP(B31,Team!$B$4:$E$183,4,FALSE)</f>
        <v>L's</v>
      </c>
      <c r="F31" s="92" t="str">
        <f>Weekly!P23</f>
        <v/>
      </c>
      <c r="G31" s="92" t="str">
        <f>Weekly!Q23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>
      <c r="B32" s="81" t="str">
        <f>Weekly!B24</f>
        <v>670</v>
      </c>
      <c r="C32" s="90" t="str">
        <f>Weekly!C24</f>
        <v>Fern</v>
      </c>
      <c r="D32" s="90" t="str">
        <f>Weekly!D49</f>
        <v>Lin</v>
      </c>
      <c r="E32" s="91" t="str">
        <f>VLOOKUP(B32,Team!$B$4:$E$183,4,FALSE)</f>
        <v>SM</v>
      </c>
      <c r="F32" s="92">
        <f>Weekly!P24</f>
        <v>0.58333333333333304</v>
      </c>
      <c r="G32" s="92">
        <f>Weekly!Q24</f>
        <v>0.91666666666666596</v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/>
      </c>
      <c r="AC32" s="48" t="str">
        <f t="shared" si="26"/>
        <v/>
      </c>
      <c r="AD32" s="48" t="str">
        <f t="shared" si="27"/>
        <v/>
      </c>
      <c r="AE32" s="84" t="str">
        <f t="shared" si="28"/>
        <v/>
      </c>
      <c r="AF32" s="82" t="str">
        <f t="shared" si="29"/>
        <v/>
      </c>
      <c r="AG32" s="48" t="str">
        <f t="shared" si="30"/>
        <v/>
      </c>
      <c r="AH32" s="48" t="str">
        <f t="shared" si="31"/>
        <v/>
      </c>
      <c r="AI32" s="84" t="str">
        <f t="shared" si="32"/>
        <v/>
      </c>
      <c r="AJ32" s="82" t="str">
        <f t="shared" si="33"/>
        <v>SM</v>
      </c>
      <c r="AK32" s="48" t="str">
        <f t="shared" si="34"/>
        <v>SM</v>
      </c>
      <c r="AL32" s="48" t="str">
        <f t="shared" si="35"/>
        <v>SM</v>
      </c>
      <c r="AM32" s="84" t="str">
        <f t="shared" si="36"/>
        <v>SM</v>
      </c>
      <c r="AN32" s="82" t="str">
        <f t="shared" si="37"/>
        <v>SM</v>
      </c>
      <c r="AO32" s="48" t="str">
        <f t="shared" si="38"/>
        <v>SM</v>
      </c>
      <c r="AP32" s="48" t="str">
        <f t="shared" si="39"/>
        <v>SM</v>
      </c>
      <c r="AQ32" s="84" t="str">
        <f t="shared" si="40"/>
        <v>SM</v>
      </c>
      <c r="AR32" s="82" t="str">
        <f t="shared" si="41"/>
        <v>SM</v>
      </c>
      <c r="AS32" s="48" t="str">
        <f t="shared" si="42"/>
        <v>SM</v>
      </c>
      <c r="AT32" s="48" t="str">
        <f t="shared" si="43"/>
        <v>SM</v>
      </c>
      <c r="AU32" s="84" t="str">
        <f t="shared" si="44"/>
        <v>SM</v>
      </c>
      <c r="AV32" s="82" t="str">
        <f t="shared" si="45"/>
        <v>SM</v>
      </c>
      <c r="AW32" s="48" t="str">
        <f t="shared" si="46"/>
        <v>SM</v>
      </c>
      <c r="AX32" s="48" t="str">
        <f t="shared" si="47"/>
        <v>SM</v>
      </c>
      <c r="AY32" s="84" t="str">
        <f t="shared" si="48"/>
        <v>SM</v>
      </c>
      <c r="AZ32" s="82" t="str">
        <f t="shared" si="49"/>
        <v>SM</v>
      </c>
      <c r="BA32" s="48" t="str">
        <f t="shared" si="50"/>
        <v>SM</v>
      </c>
      <c r="BB32" s="48" t="str">
        <f t="shared" si="51"/>
        <v>SM</v>
      </c>
      <c r="BC32" s="84" t="str">
        <f t="shared" si="52"/>
        <v>SM</v>
      </c>
      <c r="BD32" s="82" t="str">
        <f t="shared" si="53"/>
        <v>SM</v>
      </c>
      <c r="BE32" s="48" t="str">
        <f t="shared" si="54"/>
        <v>SM</v>
      </c>
      <c r="BF32" s="48" t="str">
        <f t="shared" si="55"/>
        <v>SM</v>
      </c>
      <c r="BG32" s="84" t="str">
        <f t="shared" si="56"/>
        <v>SM</v>
      </c>
      <c r="BH32" s="87" t="str">
        <f t="shared" si="57"/>
        <v>SM</v>
      </c>
      <c r="BI32" s="49" t="str">
        <f t="shared" si="58"/>
        <v>SM</v>
      </c>
      <c r="BJ32" s="49" t="str">
        <f t="shared" si="59"/>
        <v>SM</v>
      </c>
      <c r="BK32" s="89" t="str">
        <f t="shared" si="60"/>
        <v>SM</v>
      </c>
      <c r="BL32" s="87" t="str">
        <f t="shared" si="61"/>
        <v>SM</v>
      </c>
      <c r="BM32" s="49" t="str">
        <f t="shared" si="62"/>
        <v>SM</v>
      </c>
      <c r="BN32" s="49" t="str">
        <f t="shared" si="63"/>
        <v>SM</v>
      </c>
      <c r="BO32" s="89" t="str">
        <f t="shared" si="64"/>
        <v>SM</v>
      </c>
      <c r="BP32" s="87" t="str">
        <f t="shared" si="65"/>
        <v>SM</v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>
      <c r="B33" s="81" t="str">
        <f>Weekly!B25</f>
        <v>01504</v>
      </c>
      <c r="C33" s="90" t="str">
        <f>Weekly!C25</f>
        <v>Hannah</v>
      </c>
      <c r="D33" s="90" t="str">
        <f>Weekly!D50</f>
        <v>Rabena</v>
      </c>
      <c r="E33" s="91" t="str">
        <f>VLOOKUP(B33,Team!$B$4:$E$183,4,FALSE)</f>
        <v>L's</v>
      </c>
      <c r="F33" s="92">
        <f>Weekly!P25</f>
        <v>0.66666666666666596</v>
      </c>
      <c r="G33" s="92">
        <f>Weekly!Q25</f>
        <v>0.874999999999999</v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/>
      </c>
      <c r="AC33" s="48" t="str">
        <f t="shared" si="26"/>
        <v/>
      </c>
      <c r="AD33" s="48" t="str">
        <f t="shared" si="27"/>
        <v/>
      </c>
      <c r="AE33" s="84" t="str">
        <f t="shared" si="28"/>
        <v/>
      </c>
      <c r="AF33" s="82" t="str">
        <f t="shared" si="29"/>
        <v/>
      </c>
      <c r="AG33" s="48" t="str">
        <f t="shared" si="30"/>
        <v/>
      </c>
      <c r="AH33" s="48" t="str">
        <f t="shared" si="31"/>
        <v/>
      </c>
      <c r="AI33" s="84" t="str">
        <f t="shared" si="32"/>
        <v/>
      </c>
      <c r="AJ33" s="82" t="str">
        <f t="shared" si="33"/>
        <v/>
      </c>
      <c r="AK33" s="48" t="str">
        <f t="shared" si="34"/>
        <v/>
      </c>
      <c r="AL33" s="48" t="str">
        <f t="shared" si="35"/>
        <v/>
      </c>
      <c r="AM33" s="84" t="str">
        <f t="shared" si="36"/>
        <v/>
      </c>
      <c r="AN33" s="82" t="str">
        <f t="shared" si="37"/>
        <v/>
      </c>
      <c r="AO33" s="48" t="str">
        <f t="shared" si="38"/>
        <v/>
      </c>
      <c r="AP33" s="48" t="str">
        <f t="shared" si="39"/>
        <v/>
      </c>
      <c r="AQ33" s="84" t="str">
        <f t="shared" si="40"/>
        <v/>
      </c>
      <c r="AR33" s="82" t="str">
        <f t="shared" si="41"/>
        <v>L's</v>
      </c>
      <c r="AS33" s="48" t="str">
        <f t="shared" si="42"/>
        <v>L's</v>
      </c>
      <c r="AT33" s="48" t="str">
        <f t="shared" si="43"/>
        <v>L's</v>
      </c>
      <c r="AU33" s="84" t="str">
        <f t="shared" si="44"/>
        <v>L's</v>
      </c>
      <c r="AV33" s="82" t="str">
        <f t="shared" si="45"/>
        <v>L's</v>
      </c>
      <c r="AW33" s="48" t="str">
        <f t="shared" si="46"/>
        <v>L's</v>
      </c>
      <c r="AX33" s="48" t="str">
        <f t="shared" si="47"/>
        <v>L's</v>
      </c>
      <c r="AY33" s="84" t="str">
        <f t="shared" si="48"/>
        <v>L's</v>
      </c>
      <c r="AZ33" s="82" t="str">
        <f t="shared" si="49"/>
        <v>L's</v>
      </c>
      <c r="BA33" s="48" t="str">
        <f t="shared" si="50"/>
        <v>L's</v>
      </c>
      <c r="BB33" s="48" t="str">
        <f t="shared" si="51"/>
        <v>L's</v>
      </c>
      <c r="BC33" s="84" t="str">
        <f t="shared" si="52"/>
        <v>L's</v>
      </c>
      <c r="BD33" s="82" t="str">
        <f t="shared" si="53"/>
        <v>L's</v>
      </c>
      <c r="BE33" s="48" t="str">
        <f t="shared" si="54"/>
        <v>L's</v>
      </c>
      <c r="BF33" s="48" t="str">
        <f t="shared" si="55"/>
        <v>L's</v>
      </c>
      <c r="BG33" s="84" t="str">
        <f t="shared" si="56"/>
        <v>L's</v>
      </c>
      <c r="BH33" s="87" t="str">
        <f t="shared" si="57"/>
        <v>L's</v>
      </c>
      <c r="BI33" s="49" t="str">
        <f t="shared" si="58"/>
        <v>L's</v>
      </c>
      <c r="BJ33" s="49" t="str">
        <f t="shared" si="59"/>
        <v>L's</v>
      </c>
      <c r="BK33" s="89" t="str">
        <f t="shared" si="60"/>
        <v>L's</v>
      </c>
      <c r="BL33" s="87" t="str">
        <f t="shared" si="61"/>
        <v>L's</v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>
      <c r="B34" s="81" t="str">
        <f>Weekly!B26</f>
        <v>01524</v>
      </c>
      <c r="C34" s="90" t="str">
        <f>Weekly!C26</f>
        <v>Isabelle</v>
      </c>
      <c r="D34" s="90" t="str">
        <f>Weekly!D51</f>
        <v>Seeto</v>
      </c>
      <c r="E34" s="91" t="str">
        <f>VLOOKUP(B34,Team!$B$4:$E$183,4,FALSE)</f>
        <v>HH</v>
      </c>
      <c r="F34" s="92" t="str">
        <f>Weekly!P26</f>
        <v/>
      </c>
      <c r="G34" s="92" t="str">
        <f>Weekly!Q26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>
      <c r="B35" s="81" t="str">
        <f>Weekly!B27</f>
        <v>1216</v>
      </c>
      <c r="C35" s="90" t="str">
        <f>Weekly!C27</f>
        <v>Janelle</v>
      </c>
      <c r="D35" s="90" t="str">
        <f>Weekly!D52</f>
        <v>Deoferio</v>
      </c>
      <c r="E35" s="91" t="str">
        <f>VLOOKUP(B35,Team!$B$4:$E$183,4,FALSE)</f>
        <v>M's</v>
      </c>
      <c r="F35" s="92" t="str">
        <f>Weekly!P27</f>
        <v/>
      </c>
      <c r="G35" s="92" t="str">
        <f>Weekly!Q27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>
      <c r="B36" s="81" t="str">
        <f>Weekly!B28</f>
        <v>1228</v>
      </c>
      <c r="C36" s="90" t="str">
        <f>Weekly!C28</f>
        <v>Jared</v>
      </c>
      <c r="D36" s="90" t="str">
        <f>Weekly!D53</f>
        <v>Chen</v>
      </c>
      <c r="E36" s="91" t="str">
        <f>VLOOKUP(B36,Team!$B$4:$E$183,4,FALSE)</f>
        <v>HH</v>
      </c>
      <c r="F36" s="92">
        <f>Weekly!P28</f>
        <v>0.58333333333333304</v>
      </c>
      <c r="G36" s="92">
        <f>Weekly!Q28</f>
        <v>0.91666666666666596</v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/>
      </c>
      <c r="Q36" s="48" t="str">
        <f t="shared" si="14"/>
        <v/>
      </c>
      <c r="R36" s="48" t="str">
        <f t="shared" si="15"/>
        <v/>
      </c>
      <c r="S36" s="84" t="str">
        <f t="shared" si="16"/>
        <v/>
      </c>
      <c r="T36" s="82" t="str">
        <f t="shared" si="17"/>
        <v/>
      </c>
      <c r="U36" s="48" t="str">
        <f t="shared" si="18"/>
        <v/>
      </c>
      <c r="V36" s="48" t="str">
        <f t="shared" si="19"/>
        <v/>
      </c>
      <c r="W36" s="84" t="str">
        <f t="shared" si="20"/>
        <v/>
      </c>
      <c r="X36" s="82" t="str">
        <f t="shared" si="21"/>
        <v/>
      </c>
      <c r="Y36" s="48" t="str">
        <f t="shared" si="22"/>
        <v/>
      </c>
      <c r="Z36" s="48" t="str">
        <f t="shared" si="23"/>
        <v/>
      </c>
      <c r="AA36" s="84" t="str">
        <f t="shared" si="24"/>
        <v/>
      </c>
      <c r="AB36" s="82" t="str">
        <f t="shared" si="25"/>
        <v/>
      </c>
      <c r="AC36" s="48" t="str">
        <f t="shared" si="26"/>
        <v/>
      </c>
      <c r="AD36" s="48" t="str">
        <f t="shared" si="27"/>
        <v/>
      </c>
      <c r="AE36" s="84" t="str">
        <f t="shared" si="28"/>
        <v/>
      </c>
      <c r="AF36" s="82" t="str">
        <f t="shared" si="29"/>
        <v/>
      </c>
      <c r="AG36" s="48" t="str">
        <f t="shared" si="30"/>
        <v/>
      </c>
      <c r="AH36" s="48" t="str">
        <f t="shared" si="31"/>
        <v/>
      </c>
      <c r="AI36" s="84" t="str">
        <f t="shared" si="32"/>
        <v/>
      </c>
      <c r="AJ36" s="82" t="str">
        <f t="shared" si="33"/>
        <v>HH</v>
      </c>
      <c r="AK36" s="48" t="str">
        <f t="shared" si="34"/>
        <v>HH</v>
      </c>
      <c r="AL36" s="48" t="str">
        <f t="shared" si="35"/>
        <v>HH</v>
      </c>
      <c r="AM36" s="84" t="str">
        <f t="shared" si="36"/>
        <v>HH</v>
      </c>
      <c r="AN36" s="82" t="str">
        <f t="shared" si="37"/>
        <v>HH</v>
      </c>
      <c r="AO36" s="48" t="str">
        <f t="shared" si="38"/>
        <v>HH</v>
      </c>
      <c r="AP36" s="48" t="str">
        <f t="shared" si="39"/>
        <v>HH</v>
      </c>
      <c r="AQ36" s="84" t="str">
        <f t="shared" si="40"/>
        <v>HH</v>
      </c>
      <c r="AR36" s="82" t="str">
        <f t="shared" si="41"/>
        <v>HH</v>
      </c>
      <c r="AS36" s="48" t="str">
        <f t="shared" si="42"/>
        <v>HH</v>
      </c>
      <c r="AT36" s="48" t="str">
        <f t="shared" si="43"/>
        <v>HH</v>
      </c>
      <c r="AU36" s="84" t="str">
        <f t="shared" si="44"/>
        <v>HH</v>
      </c>
      <c r="AV36" s="82" t="str">
        <f t="shared" si="45"/>
        <v>HH</v>
      </c>
      <c r="AW36" s="48" t="str">
        <f t="shared" si="46"/>
        <v>HH</v>
      </c>
      <c r="AX36" s="48" t="str">
        <f t="shared" si="47"/>
        <v>HH</v>
      </c>
      <c r="AY36" s="84" t="str">
        <f t="shared" si="48"/>
        <v>HH</v>
      </c>
      <c r="AZ36" s="82" t="str">
        <f t="shared" si="49"/>
        <v>HH</v>
      </c>
      <c r="BA36" s="48" t="str">
        <f t="shared" si="50"/>
        <v>HH</v>
      </c>
      <c r="BB36" s="48" t="str">
        <f t="shared" si="51"/>
        <v>HH</v>
      </c>
      <c r="BC36" s="84" t="str">
        <f t="shared" si="52"/>
        <v>HH</v>
      </c>
      <c r="BD36" s="82" t="str">
        <f t="shared" si="53"/>
        <v>HH</v>
      </c>
      <c r="BE36" s="48" t="str">
        <f t="shared" si="54"/>
        <v>HH</v>
      </c>
      <c r="BF36" s="48" t="str">
        <f t="shared" si="55"/>
        <v>HH</v>
      </c>
      <c r="BG36" s="84" t="str">
        <f t="shared" si="56"/>
        <v>HH</v>
      </c>
      <c r="BH36" s="87" t="str">
        <f t="shared" si="57"/>
        <v>HH</v>
      </c>
      <c r="BI36" s="49" t="str">
        <f t="shared" si="58"/>
        <v>HH</v>
      </c>
      <c r="BJ36" s="49" t="str">
        <f t="shared" si="59"/>
        <v>HH</v>
      </c>
      <c r="BK36" s="89" t="str">
        <f t="shared" si="60"/>
        <v>HH</v>
      </c>
      <c r="BL36" s="87" t="str">
        <f t="shared" si="61"/>
        <v>HH</v>
      </c>
      <c r="BM36" s="49" t="str">
        <f t="shared" si="62"/>
        <v>HH</v>
      </c>
      <c r="BN36" s="49" t="str">
        <f t="shared" si="63"/>
        <v>HH</v>
      </c>
      <c r="BO36" s="89" t="str">
        <f t="shared" si="64"/>
        <v>HH</v>
      </c>
      <c r="BP36" s="87" t="str">
        <f t="shared" si="65"/>
        <v>HH</v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>
      <c r="B37" s="81" t="str">
        <f>Weekly!B29</f>
        <v>1196</v>
      </c>
      <c r="C37" s="90" t="str">
        <f>Weekly!C29</f>
        <v>Jessica</v>
      </c>
      <c r="D37" s="90" t="str">
        <f>Weekly!D54</f>
        <v>Ma</v>
      </c>
      <c r="E37" s="91" t="str">
        <f>VLOOKUP(B37,Team!$B$4:$E$183,4,FALSE)</f>
        <v>SPV</v>
      </c>
      <c r="F37" s="92">
        <f>Weekly!P29</f>
        <v>0.35416666666666602</v>
      </c>
      <c r="G37" s="92">
        <f>Weekly!Q29</f>
        <v>0.687499999999999</v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>SPV</v>
      </c>
      <c r="O37" s="84" t="str">
        <f t="shared" si="12"/>
        <v>SPV</v>
      </c>
      <c r="P37" s="82" t="str">
        <f t="shared" si="13"/>
        <v>SPV</v>
      </c>
      <c r="Q37" s="48" t="str">
        <f t="shared" si="14"/>
        <v>SPV</v>
      </c>
      <c r="R37" s="48" t="str">
        <f t="shared" si="15"/>
        <v>SPV</v>
      </c>
      <c r="S37" s="84" t="str">
        <f t="shared" si="16"/>
        <v>SPV</v>
      </c>
      <c r="T37" s="82" t="str">
        <f t="shared" si="17"/>
        <v>SPV</v>
      </c>
      <c r="U37" s="48" t="str">
        <f t="shared" si="18"/>
        <v>SPV</v>
      </c>
      <c r="V37" s="48" t="str">
        <f t="shared" si="19"/>
        <v>SPV</v>
      </c>
      <c r="W37" s="84" t="str">
        <f t="shared" si="20"/>
        <v>SPV</v>
      </c>
      <c r="X37" s="82" t="str">
        <f t="shared" si="21"/>
        <v>SPV</v>
      </c>
      <c r="Y37" s="48" t="str">
        <f t="shared" si="22"/>
        <v>SPV</v>
      </c>
      <c r="Z37" s="48" t="str">
        <f t="shared" si="23"/>
        <v>SPV</v>
      </c>
      <c r="AA37" s="84" t="str">
        <f t="shared" si="24"/>
        <v>SPV</v>
      </c>
      <c r="AB37" s="82" t="str">
        <f t="shared" si="25"/>
        <v>SPV</v>
      </c>
      <c r="AC37" s="48" t="str">
        <f t="shared" si="26"/>
        <v>SPV</v>
      </c>
      <c r="AD37" s="48" t="str">
        <f t="shared" si="27"/>
        <v>SPV</v>
      </c>
      <c r="AE37" s="84" t="str">
        <f t="shared" si="28"/>
        <v>SPV</v>
      </c>
      <c r="AF37" s="82" t="str">
        <f t="shared" si="29"/>
        <v>SPV</v>
      </c>
      <c r="AG37" s="48" t="str">
        <f t="shared" si="30"/>
        <v>SPV</v>
      </c>
      <c r="AH37" s="48" t="str">
        <f t="shared" si="31"/>
        <v>SPV</v>
      </c>
      <c r="AI37" s="84" t="str">
        <f t="shared" si="32"/>
        <v>SPV</v>
      </c>
      <c r="AJ37" s="82" t="str">
        <f t="shared" si="33"/>
        <v>SPV</v>
      </c>
      <c r="AK37" s="48" t="str">
        <f t="shared" si="34"/>
        <v>SPV</v>
      </c>
      <c r="AL37" s="48" t="str">
        <f t="shared" si="35"/>
        <v>SPV</v>
      </c>
      <c r="AM37" s="84" t="str">
        <f t="shared" si="36"/>
        <v>SPV</v>
      </c>
      <c r="AN37" s="82" t="str">
        <f t="shared" si="37"/>
        <v>SPV</v>
      </c>
      <c r="AO37" s="48" t="str">
        <f t="shared" si="38"/>
        <v>SPV</v>
      </c>
      <c r="AP37" s="48" t="str">
        <f t="shared" si="39"/>
        <v>SPV</v>
      </c>
      <c r="AQ37" s="84" t="str">
        <f t="shared" si="40"/>
        <v>SPV</v>
      </c>
      <c r="AR37" s="82" t="str">
        <f t="shared" si="41"/>
        <v>SPV</v>
      </c>
      <c r="AS37" s="48" t="str">
        <f t="shared" si="42"/>
        <v>SPV</v>
      </c>
      <c r="AT37" s="48" t="str">
        <f t="shared" si="43"/>
        <v/>
      </c>
      <c r="AU37" s="84" t="str">
        <f t="shared" si="44"/>
        <v/>
      </c>
      <c r="AV37" s="82" t="str">
        <f t="shared" si="45"/>
        <v/>
      </c>
      <c r="AW37" s="48" t="str">
        <f t="shared" si="46"/>
        <v/>
      </c>
      <c r="AX37" s="48" t="str">
        <f t="shared" si="47"/>
        <v/>
      </c>
      <c r="AY37" s="84" t="str">
        <f t="shared" si="48"/>
        <v/>
      </c>
      <c r="AZ37" s="82" t="str">
        <f t="shared" si="49"/>
        <v/>
      </c>
      <c r="BA37" s="48" t="str">
        <f t="shared" si="50"/>
        <v/>
      </c>
      <c r="BB37" s="48" t="str">
        <f t="shared" si="51"/>
        <v/>
      </c>
      <c r="BC37" s="84" t="str">
        <f t="shared" si="52"/>
        <v/>
      </c>
      <c r="BD37" s="82" t="str">
        <f t="shared" si="53"/>
        <v/>
      </c>
      <c r="BE37" s="48" t="str">
        <f t="shared" si="54"/>
        <v/>
      </c>
      <c r="BF37" s="48" t="str">
        <f t="shared" si="55"/>
        <v/>
      </c>
      <c r="BG37" s="84" t="str">
        <f t="shared" si="56"/>
        <v/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>
      <c r="B38" s="81" t="str">
        <f>Weekly!B30</f>
        <v>01520</v>
      </c>
      <c r="C38" s="90" t="str">
        <f>Weekly!C30</f>
        <v>Jessie</v>
      </c>
      <c r="D38" s="90" t="str">
        <f>Weekly!D55</f>
        <v>Lee</v>
      </c>
      <c r="E38" s="91" t="str">
        <f>VLOOKUP(B38,Team!$B$4:$E$183,4,FALSE)</f>
        <v>L's</v>
      </c>
      <c r="F38" s="92" t="str">
        <f>Weekly!P30</f>
        <v/>
      </c>
      <c r="G38" s="92" t="str">
        <f>Weekly!Q30</f>
        <v/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/>
      </c>
      <c r="Y38" s="48" t="str">
        <f t="shared" si="22"/>
        <v/>
      </c>
      <c r="Z38" s="48" t="str">
        <f t="shared" si="23"/>
        <v/>
      </c>
      <c r="AA38" s="84" t="str">
        <f t="shared" si="24"/>
        <v/>
      </c>
      <c r="AB38" s="82" t="str">
        <f t="shared" si="25"/>
        <v/>
      </c>
      <c r="AC38" s="48" t="str">
        <f t="shared" si="26"/>
        <v/>
      </c>
      <c r="AD38" s="48" t="str">
        <f t="shared" si="27"/>
        <v/>
      </c>
      <c r="AE38" s="84" t="str">
        <f t="shared" si="28"/>
        <v/>
      </c>
      <c r="AF38" s="82" t="str">
        <f t="shared" si="29"/>
        <v/>
      </c>
      <c r="AG38" s="48" t="str">
        <f t="shared" si="30"/>
        <v/>
      </c>
      <c r="AH38" s="48" t="str">
        <f t="shared" si="31"/>
        <v/>
      </c>
      <c r="AI38" s="84" t="str">
        <f t="shared" si="32"/>
        <v/>
      </c>
      <c r="AJ38" s="82" t="str">
        <f t="shared" si="33"/>
        <v/>
      </c>
      <c r="AK38" s="48" t="str">
        <f t="shared" si="34"/>
        <v/>
      </c>
      <c r="AL38" s="48" t="str">
        <f t="shared" si="35"/>
        <v/>
      </c>
      <c r="AM38" s="84" t="str">
        <f t="shared" si="36"/>
        <v/>
      </c>
      <c r="AN38" s="82" t="str">
        <f t="shared" si="37"/>
        <v/>
      </c>
      <c r="AO38" s="48" t="str">
        <f t="shared" si="38"/>
        <v/>
      </c>
      <c r="AP38" s="48" t="str">
        <f t="shared" si="39"/>
        <v/>
      </c>
      <c r="AQ38" s="84" t="str">
        <f t="shared" si="40"/>
        <v/>
      </c>
      <c r="AR38" s="82" t="str">
        <f t="shared" si="41"/>
        <v/>
      </c>
      <c r="AS38" s="48" t="str">
        <f t="shared" si="42"/>
        <v/>
      </c>
      <c r="AT38" s="48" t="str">
        <f t="shared" si="43"/>
        <v/>
      </c>
      <c r="AU38" s="84" t="str">
        <f t="shared" si="44"/>
        <v/>
      </c>
      <c r="AV38" s="82" t="str">
        <f t="shared" si="45"/>
        <v/>
      </c>
      <c r="AW38" s="48" t="str">
        <f t="shared" si="46"/>
        <v/>
      </c>
      <c r="AX38" s="48" t="str">
        <f t="shared" si="47"/>
        <v/>
      </c>
      <c r="AY38" s="84" t="str">
        <f t="shared" si="48"/>
        <v/>
      </c>
      <c r="AZ38" s="82" t="str">
        <f t="shared" si="49"/>
        <v/>
      </c>
      <c r="BA38" s="48" t="str">
        <f t="shared" si="50"/>
        <v/>
      </c>
      <c r="BB38" s="48" t="str">
        <f t="shared" si="51"/>
        <v/>
      </c>
      <c r="BC38" s="84" t="str">
        <f t="shared" si="52"/>
        <v/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>
      <c r="B39" s="81" t="str">
        <f>Weekly!B31</f>
        <v>01505</v>
      </c>
      <c r="C39" s="90" t="str">
        <f>Weekly!C31</f>
        <v>Jewel</v>
      </c>
      <c r="D39" s="90" t="str">
        <f>Weekly!D56</f>
        <v>Lim</v>
      </c>
      <c r="E39" s="91" t="str">
        <f>VLOOKUP(B39,Team!$B$4:$E$183,4,FALSE)</f>
        <v>L's</v>
      </c>
      <c r="F39" s="92" t="str">
        <f>Weekly!P31</f>
        <v/>
      </c>
      <c r="G39" s="92" t="str">
        <f>Weekly!Q31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>
      <c r="B40" s="81" t="str">
        <f>Weekly!B32</f>
        <v>1289</v>
      </c>
      <c r="C40" s="90" t="str">
        <f>Weekly!C32</f>
        <v>Jordan</v>
      </c>
      <c r="D40" s="90" t="str">
        <f>Weekly!D57</f>
        <v>Turner</v>
      </c>
      <c r="E40" s="91" t="str">
        <f>VLOOKUP(B40,Team!$B$4:$E$183,4,FALSE)</f>
        <v>SPV</v>
      </c>
      <c r="F40" s="92">
        <f>Weekly!P32</f>
        <v>0.58333333333333304</v>
      </c>
      <c r="G40" s="92">
        <f>Weekly!Q32</f>
        <v>0.91666666666666596</v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/>
      </c>
      <c r="Y40" s="48" t="str">
        <f t="shared" si="22"/>
        <v/>
      </c>
      <c r="Z40" s="48" t="str">
        <f t="shared" si="23"/>
        <v/>
      </c>
      <c r="AA40" s="84" t="str">
        <f t="shared" si="24"/>
        <v/>
      </c>
      <c r="AB40" s="82" t="str">
        <f t="shared" si="25"/>
        <v/>
      </c>
      <c r="AC40" s="48" t="str">
        <f t="shared" si="26"/>
        <v/>
      </c>
      <c r="AD40" s="48" t="str">
        <f t="shared" si="27"/>
        <v/>
      </c>
      <c r="AE40" s="84" t="str">
        <f t="shared" si="28"/>
        <v/>
      </c>
      <c r="AF40" s="82" t="str">
        <f t="shared" si="29"/>
        <v/>
      </c>
      <c r="AG40" s="48" t="str">
        <f t="shared" si="30"/>
        <v/>
      </c>
      <c r="AH40" s="48" t="str">
        <f t="shared" si="31"/>
        <v/>
      </c>
      <c r="AI40" s="84" t="str">
        <f t="shared" si="32"/>
        <v/>
      </c>
      <c r="AJ40" s="82" t="str">
        <f t="shared" si="33"/>
        <v>SPV</v>
      </c>
      <c r="AK40" s="48" t="str">
        <f t="shared" si="34"/>
        <v>SPV</v>
      </c>
      <c r="AL40" s="48" t="str">
        <f t="shared" si="35"/>
        <v>SPV</v>
      </c>
      <c r="AM40" s="84" t="str">
        <f t="shared" si="36"/>
        <v>SPV</v>
      </c>
      <c r="AN40" s="82" t="str">
        <f t="shared" si="37"/>
        <v>SPV</v>
      </c>
      <c r="AO40" s="48" t="str">
        <f t="shared" si="38"/>
        <v>SPV</v>
      </c>
      <c r="AP40" s="48" t="str">
        <f t="shared" si="39"/>
        <v>SPV</v>
      </c>
      <c r="AQ40" s="84" t="str">
        <f t="shared" si="40"/>
        <v>SPV</v>
      </c>
      <c r="AR40" s="82" t="str">
        <f t="shared" si="41"/>
        <v>SPV</v>
      </c>
      <c r="AS40" s="48" t="str">
        <f t="shared" si="42"/>
        <v>SPV</v>
      </c>
      <c r="AT40" s="48" t="str">
        <f t="shared" si="43"/>
        <v>SPV</v>
      </c>
      <c r="AU40" s="84" t="str">
        <f t="shared" si="44"/>
        <v>SPV</v>
      </c>
      <c r="AV40" s="82" t="str">
        <f t="shared" si="45"/>
        <v>SPV</v>
      </c>
      <c r="AW40" s="48" t="str">
        <f t="shared" si="46"/>
        <v>SPV</v>
      </c>
      <c r="AX40" s="48" t="str">
        <f t="shared" si="47"/>
        <v>SPV</v>
      </c>
      <c r="AY40" s="84" t="str">
        <f t="shared" si="48"/>
        <v>SPV</v>
      </c>
      <c r="AZ40" s="82" t="str">
        <f t="shared" si="49"/>
        <v>SPV</v>
      </c>
      <c r="BA40" s="48" t="str">
        <f t="shared" si="50"/>
        <v>SPV</v>
      </c>
      <c r="BB40" s="48" t="str">
        <f t="shared" si="51"/>
        <v>SPV</v>
      </c>
      <c r="BC40" s="84" t="str">
        <f t="shared" si="52"/>
        <v>SPV</v>
      </c>
      <c r="BD40" s="82" t="str">
        <f t="shared" si="53"/>
        <v>SPV</v>
      </c>
      <c r="BE40" s="48" t="str">
        <f t="shared" si="54"/>
        <v>SPV</v>
      </c>
      <c r="BF40" s="48" t="str">
        <f t="shared" si="55"/>
        <v>SPV</v>
      </c>
      <c r="BG40" s="84" t="str">
        <f t="shared" si="56"/>
        <v>SPV</v>
      </c>
      <c r="BH40" s="87" t="str">
        <f t="shared" si="57"/>
        <v>SPV</v>
      </c>
      <c r="BI40" s="49" t="str">
        <f t="shared" si="58"/>
        <v>SPV</v>
      </c>
      <c r="BJ40" s="49" t="str">
        <f t="shared" si="59"/>
        <v>SPV</v>
      </c>
      <c r="BK40" s="89" t="str">
        <f t="shared" si="60"/>
        <v>SPV</v>
      </c>
      <c r="BL40" s="87" t="str">
        <f t="shared" si="61"/>
        <v>SPV</v>
      </c>
      <c r="BM40" s="49" t="str">
        <f t="shared" si="62"/>
        <v>SPV</v>
      </c>
      <c r="BN40" s="49" t="str">
        <f t="shared" si="63"/>
        <v>SPV</v>
      </c>
      <c r="BO40" s="89" t="str">
        <f t="shared" si="64"/>
        <v>SPV</v>
      </c>
      <c r="BP40" s="87" t="str">
        <f t="shared" si="65"/>
        <v>SPV</v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>
      <c r="B41" s="81" t="str">
        <f>Weekly!B33</f>
        <v>1094</v>
      </c>
      <c r="C41" s="90" t="str">
        <f>Weekly!C33</f>
        <v>Joslyn</v>
      </c>
      <c r="D41" s="90" t="str">
        <f>Weekly!D58</f>
        <v>Wu</v>
      </c>
      <c r="E41" s="91" t="str">
        <f>VLOOKUP(B41,Team!$B$4:$E$183,4,FALSE)</f>
        <v>HH</v>
      </c>
      <c r="F41" s="92">
        <f>Weekly!P33</f>
        <v>0.35416666666666602</v>
      </c>
      <c r="G41" s="92">
        <f>Weekly!Q33</f>
        <v>0.687499999999999</v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>HH</v>
      </c>
      <c r="O41" s="84" t="str">
        <f t="shared" si="12"/>
        <v>HH</v>
      </c>
      <c r="P41" s="82" t="str">
        <f t="shared" si="13"/>
        <v>HH</v>
      </c>
      <c r="Q41" s="48" t="str">
        <f t="shared" si="14"/>
        <v>HH</v>
      </c>
      <c r="R41" s="48" t="str">
        <f t="shared" si="15"/>
        <v>HH</v>
      </c>
      <c r="S41" s="84" t="str">
        <f t="shared" si="16"/>
        <v>HH</v>
      </c>
      <c r="T41" s="82" t="str">
        <f t="shared" si="17"/>
        <v>HH</v>
      </c>
      <c r="U41" s="48" t="str">
        <f t="shared" si="18"/>
        <v>HH</v>
      </c>
      <c r="V41" s="48" t="str">
        <f t="shared" si="19"/>
        <v>HH</v>
      </c>
      <c r="W41" s="84" t="str">
        <f t="shared" si="20"/>
        <v>HH</v>
      </c>
      <c r="X41" s="82" t="str">
        <f t="shared" si="21"/>
        <v>HH</v>
      </c>
      <c r="Y41" s="48" t="str">
        <f t="shared" si="22"/>
        <v>HH</v>
      </c>
      <c r="Z41" s="48" t="str">
        <f t="shared" si="23"/>
        <v>HH</v>
      </c>
      <c r="AA41" s="84" t="str">
        <f t="shared" si="24"/>
        <v>HH</v>
      </c>
      <c r="AB41" s="82" t="str">
        <f t="shared" si="25"/>
        <v>HH</v>
      </c>
      <c r="AC41" s="48" t="str">
        <f t="shared" si="26"/>
        <v>HH</v>
      </c>
      <c r="AD41" s="48" t="str">
        <f t="shared" si="27"/>
        <v>HH</v>
      </c>
      <c r="AE41" s="84" t="str">
        <f t="shared" si="28"/>
        <v>HH</v>
      </c>
      <c r="AF41" s="82" t="str">
        <f t="shared" si="29"/>
        <v>HH</v>
      </c>
      <c r="AG41" s="48" t="str">
        <f t="shared" si="30"/>
        <v>HH</v>
      </c>
      <c r="AH41" s="48" t="str">
        <f t="shared" si="31"/>
        <v>HH</v>
      </c>
      <c r="AI41" s="84" t="str">
        <f t="shared" si="32"/>
        <v>HH</v>
      </c>
      <c r="AJ41" s="82" t="str">
        <f t="shared" si="33"/>
        <v>HH</v>
      </c>
      <c r="AK41" s="48" t="str">
        <f t="shared" si="34"/>
        <v>HH</v>
      </c>
      <c r="AL41" s="48" t="str">
        <f t="shared" si="35"/>
        <v>HH</v>
      </c>
      <c r="AM41" s="84" t="str">
        <f t="shared" si="36"/>
        <v>HH</v>
      </c>
      <c r="AN41" s="82" t="str">
        <f t="shared" si="37"/>
        <v>HH</v>
      </c>
      <c r="AO41" s="48" t="str">
        <f t="shared" si="38"/>
        <v>HH</v>
      </c>
      <c r="AP41" s="48" t="str">
        <f t="shared" si="39"/>
        <v>HH</v>
      </c>
      <c r="AQ41" s="84" t="str">
        <f t="shared" si="40"/>
        <v>HH</v>
      </c>
      <c r="AR41" s="82" t="str">
        <f t="shared" si="41"/>
        <v>HH</v>
      </c>
      <c r="AS41" s="48" t="str">
        <f t="shared" si="42"/>
        <v>HH</v>
      </c>
      <c r="AT41" s="48" t="str">
        <f t="shared" si="43"/>
        <v/>
      </c>
      <c r="AU41" s="84" t="str">
        <f t="shared" si="44"/>
        <v/>
      </c>
      <c r="AV41" s="82" t="str">
        <f t="shared" si="45"/>
        <v/>
      </c>
      <c r="AW41" s="48" t="str">
        <f t="shared" si="46"/>
        <v/>
      </c>
      <c r="AX41" s="48" t="str">
        <f t="shared" si="47"/>
        <v/>
      </c>
      <c r="AY41" s="84" t="str">
        <f t="shared" si="48"/>
        <v/>
      </c>
      <c r="AZ41" s="82" t="str">
        <f t="shared" si="49"/>
        <v/>
      </c>
      <c r="BA41" s="48" t="str">
        <f t="shared" si="50"/>
        <v/>
      </c>
      <c r="BB41" s="48" t="str">
        <f t="shared" si="51"/>
        <v/>
      </c>
      <c r="BC41" s="84" t="str">
        <f t="shared" si="52"/>
        <v/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>
      <c r="B42" s="81" t="str">
        <f>Weekly!B34</f>
        <v>1014</v>
      </c>
      <c r="C42" s="90" t="str">
        <f>Weekly!C34</f>
        <v>Julie K.</v>
      </c>
      <c r="D42" s="90" t="str">
        <f>Weekly!D59</f>
        <v>Shimada</v>
      </c>
      <c r="E42" s="91" t="str">
        <f>VLOOKUP(B42,Team!$B$4:$E$183,4,FALSE)</f>
        <v>H&amp;B</v>
      </c>
      <c r="F42" s="92" t="str">
        <f>Weekly!P34</f>
        <v/>
      </c>
      <c r="G42" s="92" t="str">
        <f>Weekly!Q34</f>
        <v/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/>
      </c>
      <c r="Q42" s="48" t="str">
        <f t="shared" si="14"/>
        <v/>
      </c>
      <c r="R42" s="48" t="str">
        <f t="shared" si="15"/>
        <v/>
      </c>
      <c r="S42" s="84" t="str">
        <f t="shared" si="16"/>
        <v/>
      </c>
      <c r="T42" s="82" t="str">
        <f t="shared" si="17"/>
        <v/>
      </c>
      <c r="U42" s="48" t="str">
        <f t="shared" si="18"/>
        <v/>
      </c>
      <c r="V42" s="48" t="str">
        <f t="shared" si="19"/>
        <v/>
      </c>
      <c r="W42" s="84" t="str">
        <f t="shared" si="20"/>
        <v/>
      </c>
      <c r="X42" s="82" t="str">
        <f t="shared" si="21"/>
        <v/>
      </c>
      <c r="Y42" s="48" t="str">
        <f t="shared" si="22"/>
        <v/>
      </c>
      <c r="Z42" s="48" t="str">
        <f t="shared" si="23"/>
        <v/>
      </c>
      <c r="AA42" s="84" t="str">
        <f t="shared" si="24"/>
        <v/>
      </c>
      <c r="AB42" s="82" t="str">
        <f t="shared" si="25"/>
        <v/>
      </c>
      <c r="AC42" s="48" t="str">
        <f t="shared" si="26"/>
        <v/>
      </c>
      <c r="AD42" s="48" t="str">
        <f t="shared" si="27"/>
        <v/>
      </c>
      <c r="AE42" s="84" t="str">
        <f t="shared" si="28"/>
        <v/>
      </c>
      <c r="AF42" s="82" t="str">
        <f t="shared" si="29"/>
        <v/>
      </c>
      <c r="AG42" s="48" t="str">
        <f t="shared" si="30"/>
        <v/>
      </c>
      <c r="AH42" s="48" t="str">
        <f t="shared" si="31"/>
        <v/>
      </c>
      <c r="AI42" s="84" t="str">
        <f t="shared" si="32"/>
        <v/>
      </c>
      <c r="AJ42" s="82" t="str">
        <f t="shared" si="33"/>
        <v/>
      </c>
      <c r="AK42" s="48" t="str">
        <f t="shared" si="34"/>
        <v/>
      </c>
      <c r="AL42" s="48" t="str">
        <f t="shared" si="35"/>
        <v/>
      </c>
      <c r="AM42" s="84" t="str">
        <f t="shared" si="36"/>
        <v/>
      </c>
      <c r="AN42" s="82" t="str">
        <f t="shared" si="37"/>
        <v/>
      </c>
      <c r="AO42" s="48" t="str">
        <f t="shared" si="38"/>
        <v/>
      </c>
      <c r="AP42" s="48" t="str">
        <f t="shared" si="39"/>
        <v/>
      </c>
      <c r="AQ42" s="84" t="str">
        <f t="shared" si="40"/>
        <v/>
      </c>
      <c r="AR42" s="82" t="str">
        <f t="shared" si="41"/>
        <v/>
      </c>
      <c r="AS42" s="48" t="str">
        <f t="shared" si="42"/>
        <v/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>
      <c r="B43" s="81" t="str">
        <f>Weekly!B35</f>
        <v>01518</v>
      </c>
      <c r="C43" s="90" t="str">
        <f>Weekly!C35</f>
        <v>Julie L.</v>
      </c>
      <c r="D43" s="90" t="str">
        <f>Weekly!D60</f>
        <v>Kim</v>
      </c>
      <c r="E43" s="91" t="str">
        <f>VLOOKUP(B43,Team!$B$4:$E$183,4,FALSE)</f>
        <v>F</v>
      </c>
      <c r="F43" s="92" t="str">
        <f>Weekly!P35</f>
        <v/>
      </c>
      <c r="G43" s="92" t="str">
        <f>Weekly!Q35</f>
        <v/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/>
      </c>
      <c r="Y43" s="48" t="str">
        <f t="shared" si="22"/>
        <v/>
      </c>
      <c r="Z43" s="48" t="str">
        <f t="shared" si="23"/>
        <v/>
      </c>
      <c r="AA43" s="84" t="str">
        <f t="shared" si="24"/>
        <v/>
      </c>
      <c r="AB43" s="82" t="str">
        <f t="shared" si="25"/>
        <v/>
      </c>
      <c r="AC43" s="48" t="str">
        <f t="shared" si="26"/>
        <v/>
      </c>
      <c r="AD43" s="48" t="str">
        <f t="shared" si="27"/>
        <v/>
      </c>
      <c r="AE43" s="84" t="str">
        <f t="shared" si="28"/>
        <v/>
      </c>
      <c r="AF43" s="82" t="str">
        <f t="shared" si="29"/>
        <v/>
      </c>
      <c r="AG43" s="48" t="str">
        <f t="shared" si="30"/>
        <v/>
      </c>
      <c r="AH43" s="48" t="str">
        <f t="shared" si="31"/>
        <v/>
      </c>
      <c r="AI43" s="84" t="str">
        <f t="shared" si="32"/>
        <v/>
      </c>
      <c r="AJ43" s="82" t="str">
        <f t="shared" si="33"/>
        <v/>
      </c>
      <c r="AK43" s="48" t="str">
        <f t="shared" si="34"/>
        <v/>
      </c>
      <c r="AL43" s="48" t="str">
        <f t="shared" si="35"/>
        <v/>
      </c>
      <c r="AM43" s="84" t="str">
        <f t="shared" si="36"/>
        <v/>
      </c>
      <c r="AN43" s="82" t="str">
        <f t="shared" si="37"/>
        <v/>
      </c>
      <c r="AO43" s="48" t="str">
        <f t="shared" si="38"/>
        <v/>
      </c>
      <c r="AP43" s="48" t="str">
        <f t="shared" si="39"/>
        <v/>
      </c>
      <c r="AQ43" s="84" t="str">
        <f t="shared" si="40"/>
        <v/>
      </c>
      <c r="AR43" s="82" t="str">
        <f t="shared" si="41"/>
        <v/>
      </c>
      <c r="AS43" s="48" t="str">
        <f t="shared" si="42"/>
        <v/>
      </c>
      <c r="AT43" s="48" t="str">
        <f t="shared" si="43"/>
        <v/>
      </c>
      <c r="AU43" s="84" t="str">
        <f t="shared" si="44"/>
        <v/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>
      <c r="B44" s="81" t="str">
        <f>Weekly!B36</f>
        <v>01527</v>
      </c>
      <c r="C44" s="90" t="str">
        <f>Weekly!C36</f>
        <v>Justine</v>
      </c>
      <c r="D44" s="90" t="str">
        <f>Weekly!D61</f>
        <v>Sin</v>
      </c>
      <c r="E44" s="91" t="str">
        <f>VLOOKUP(B44,Team!$B$4:$E$183,4,FALSE)</f>
        <v>Stat.</v>
      </c>
      <c r="F44" s="92" t="str">
        <f>Weekly!P36</f>
        <v/>
      </c>
      <c r="G44" s="92" t="str">
        <f>Weekly!Q36</f>
        <v/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/>
      </c>
      <c r="Q44" s="48" t="str">
        <f t="shared" si="14"/>
        <v/>
      </c>
      <c r="R44" s="48" t="str">
        <f t="shared" si="15"/>
        <v/>
      </c>
      <c r="S44" s="84" t="str">
        <f t="shared" si="16"/>
        <v/>
      </c>
      <c r="T44" s="82" t="str">
        <f t="shared" si="17"/>
        <v/>
      </c>
      <c r="U44" s="48" t="str">
        <f t="shared" si="18"/>
        <v/>
      </c>
      <c r="V44" s="48" t="str">
        <f t="shared" si="19"/>
        <v/>
      </c>
      <c r="W44" s="84" t="str">
        <f t="shared" si="20"/>
        <v/>
      </c>
      <c r="X44" s="82" t="str">
        <f t="shared" si="21"/>
        <v/>
      </c>
      <c r="Y44" s="48" t="str">
        <f t="shared" si="22"/>
        <v/>
      </c>
      <c r="Z44" s="48" t="str">
        <f t="shared" si="23"/>
        <v/>
      </c>
      <c r="AA44" s="84" t="str">
        <f t="shared" si="24"/>
        <v/>
      </c>
      <c r="AB44" s="82" t="str">
        <f t="shared" si="25"/>
        <v/>
      </c>
      <c r="AC44" s="48" t="str">
        <f t="shared" si="26"/>
        <v/>
      </c>
      <c r="AD44" s="48" t="str">
        <f t="shared" si="27"/>
        <v/>
      </c>
      <c r="AE44" s="84" t="str">
        <f t="shared" si="28"/>
        <v/>
      </c>
      <c r="AF44" s="82" t="str">
        <f t="shared" si="29"/>
        <v/>
      </c>
      <c r="AG44" s="48" t="str">
        <f t="shared" si="30"/>
        <v/>
      </c>
      <c r="AH44" s="48" t="str">
        <f t="shared" si="31"/>
        <v/>
      </c>
      <c r="AI44" s="84" t="str">
        <f t="shared" si="32"/>
        <v/>
      </c>
      <c r="AJ44" s="82" t="str">
        <f t="shared" si="33"/>
        <v/>
      </c>
      <c r="AK44" s="48" t="str">
        <f t="shared" si="34"/>
        <v/>
      </c>
      <c r="AL44" s="48" t="str">
        <f t="shared" si="35"/>
        <v/>
      </c>
      <c r="AM44" s="84" t="str">
        <f t="shared" si="36"/>
        <v/>
      </c>
      <c r="AN44" s="82" t="str">
        <f t="shared" si="37"/>
        <v/>
      </c>
      <c r="AO44" s="48" t="str">
        <f t="shared" si="38"/>
        <v/>
      </c>
      <c r="AP44" s="48" t="str">
        <f t="shared" si="39"/>
        <v/>
      </c>
      <c r="AQ44" s="84" t="str">
        <f t="shared" si="40"/>
        <v/>
      </c>
      <c r="AR44" s="82" t="str">
        <f t="shared" si="41"/>
        <v/>
      </c>
      <c r="AS44" s="48" t="str">
        <f t="shared" si="42"/>
        <v/>
      </c>
      <c r="AT44" s="48" t="str">
        <f t="shared" si="43"/>
        <v/>
      </c>
      <c r="AU44" s="84" t="str">
        <f t="shared" si="44"/>
        <v/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>
      <c r="B45" s="81" t="str">
        <f>Weekly!B37</f>
        <v>01519</v>
      </c>
      <c r="C45" s="90" t="str">
        <f>Weekly!C37</f>
        <v>Kathy</v>
      </c>
      <c r="D45" s="90">
        <f>Weekly!D62</f>
        <v>0</v>
      </c>
      <c r="E45" s="91" t="str">
        <f>VLOOKUP(B45,Team!$B$4:$E$183,4,FALSE)</f>
        <v>Stat.</v>
      </c>
      <c r="F45" s="92">
        <f>Weekly!P37</f>
        <v>0.45833333333333298</v>
      </c>
      <c r="G45" s="92">
        <f>Weekly!Q37</f>
        <v>0.79166666666666596</v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>Stat.</v>
      </c>
      <c r="Y45" s="48" t="str">
        <f t="shared" si="22"/>
        <v>Stat.</v>
      </c>
      <c r="Z45" s="48" t="str">
        <f t="shared" si="23"/>
        <v>Stat.</v>
      </c>
      <c r="AA45" s="84" t="str">
        <f t="shared" si="24"/>
        <v>Stat.</v>
      </c>
      <c r="AB45" s="82" t="str">
        <f t="shared" si="25"/>
        <v>Stat.</v>
      </c>
      <c r="AC45" s="48" t="str">
        <f t="shared" si="26"/>
        <v>Stat.</v>
      </c>
      <c r="AD45" s="48" t="str">
        <f t="shared" si="27"/>
        <v>Stat.</v>
      </c>
      <c r="AE45" s="84" t="str">
        <f t="shared" si="28"/>
        <v>Stat.</v>
      </c>
      <c r="AF45" s="82" t="str">
        <f t="shared" si="29"/>
        <v>Stat.</v>
      </c>
      <c r="AG45" s="48" t="str">
        <f t="shared" si="30"/>
        <v>Stat.</v>
      </c>
      <c r="AH45" s="48" t="str">
        <f t="shared" si="31"/>
        <v>Stat.</v>
      </c>
      <c r="AI45" s="84" t="str">
        <f t="shared" si="32"/>
        <v>Stat.</v>
      </c>
      <c r="AJ45" s="82" t="str">
        <f t="shared" si="33"/>
        <v>Stat.</v>
      </c>
      <c r="AK45" s="48" t="str">
        <f t="shared" si="34"/>
        <v>Stat.</v>
      </c>
      <c r="AL45" s="48" t="str">
        <f t="shared" si="35"/>
        <v>Stat.</v>
      </c>
      <c r="AM45" s="84" t="str">
        <f t="shared" si="36"/>
        <v>Stat.</v>
      </c>
      <c r="AN45" s="82" t="str">
        <f t="shared" si="37"/>
        <v>Stat.</v>
      </c>
      <c r="AO45" s="48" t="str">
        <f t="shared" si="38"/>
        <v>Stat.</v>
      </c>
      <c r="AP45" s="48" t="str">
        <f t="shared" si="39"/>
        <v>Stat.</v>
      </c>
      <c r="AQ45" s="84" t="str">
        <f t="shared" si="40"/>
        <v>Stat.</v>
      </c>
      <c r="AR45" s="82" t="str">
        <f t="shared" si="41"/>
        <v>Stat.</v>
      </c>
      <c r="AS45" s="48" t="str">
        <f t="shared" si="42"/>
        <v>Stat.</v>
      </c>
      <c r="AT45" s="48" t="str">
        <f t="shared" si="43"/>
        <v>Stat.</v>
      </c>
      <c r="AU45" s="84" t="str">
        <f t="shared" si="44"/>
        <v>Stat.</v>
      </c>
      <c r="AV45" s="82" t="str">
        <f t="shared" si="45"/>
        <v>Stat.</v>
      </c>
      <c r="AW45" s="48" t="str">
        <f t="shared" si="46"/>
        <v>Stat.</v>
      </c>
      <c r="AX45" s="48" t="str">
        <f t="shared" si="47"/>
        <v>Stat.</v>
      </c>
      <c r="AY45" s="84" t="str">
        <f t="shared" si="48"/>
        <v>Stat.</v>
      </c>
      <c r="AZ45" s="82" t="str">
        <f t="shared" si="49"/>
        <v>Stat.</v>
      </c>
      <c r="BA45" s="48" t="str">
        <f t="shared" si="50"/>
        <v>Stat.</v>
      </c>
      <c r="BB45" s="48" t="str">
        <f t="shared" si="51"/>
        <v>Stat.</v>
      </c>
      <c r="BC45" s="84" t="str">
        <f t="shared" si="52"/>
        <v>Stat.</v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>
      <c r="B46" s="81" t="str">
        <f>Weekly!B38</f>
        <v>1143</v>
      </c>
      <c r="C46" s="90" t="str">
        <f>Weekly!C38</f>
        <v>Kaye</v>
      </c>
      <c r="D46" s="90">
        <f>Weekly!D63</f>
        <v>0</v>
      </c>
      <c r="E46" s="91" t="str">
        <f>VLOOKUP(B46,Team!$B$4:$E$183,4,FALSE)</f>
        <v>L's</v>
      </c>
      <c r="F46" s="92" t="str">
        <f>Weekly!P38</f>
        <v/>
      </c>
      <c r="G46" s="92" t="str">
        <f>Weekly!Q38</f>
        <v/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/>
      </c>
      <c r="Y46" s="48" t="str">
        <f t="shared" si="22"/>
        <v/>
      </c>
      <c r="Z46" s="48" t="str">
        <f t="shared" si="23"/>
        <v/>
      </c>
      <c r="AA46" s="84" t="str">
        <f t="shared" si="24"/>
        <v/>
      </c>
      <c r="AB46" s="82" t="str">
        <f t="shared" si="25"/>
        <v/>
      </c>
      <c r="AC46" s="48" t="str">
        <f t="shared" si="26"/>
        <v/>
      </c>
      <c r="AD46" s="48" t="str">
        <f t="shared" si="27"/>
        <v/>
      </c>
      <c r="AE46" s="84" t="str">
        <f t="shared" si="28"/>
        <v/>
      </c>
      <c r="AF46" s="82" t="str">
        <f t="shared" si="29"/>
        <v/>
      </c>
      <c r="AG46" s="48" t="str">
        <f t="shared" si="30"/>
        <v/>
      </c>
      <c r="AH46" s="48" t="str">
        <f t="shared" si="31"/>
        <v/>
      </c>
      <c r="AI46" s="84" t="str">
        <f t="shared" si="32"/>
        <v/>
      </c>
      <c r="AJ46" s="82" t="str">
        <f t="shared" si="33"/>
        <v/>
      </c>
      <c r="AK46" s="48" t="str">
        <f t="shared" si="34"/>
        <v/>
      </c>
      <c r="AL46" s="48" t="str">
        <f t="shared" si="35"/>
        <v/>
      </c>
      <c r="AM46" s="84" t="str">
        <f t="shared" si="36"/>
        <v/>
      </c>
      <c r="AN46" s="82" t="str">
        <f t="shared" si="37"/>
        <v/>
      </c>
      <c r="AO46" s="48" t="str">
        <f t="shared" si="38"/>
        <v/>
      </c>
      <c r="AP46" s="48" t="str">
        <f t="shared" si="39"/>
        <v/>
      </c>
      <c r="AQ46" s="84" t="str">
        <f t="shared" si="40"/>
        <v/>
      </c>
      <c r="AR46" s="82" t="str">
        <f t="shared" si="41"/>
        <v/>
      </c>
      <c r="AS46" s="48" t="str">
        <f t="shared" si="42"/>
        <v/>
      </c>
      <c r="AT46" s="48" t="str">
        <f t="shared" si="43"/>
        <v/>
      </c>
      <c r="AU46" s="84" t="str">
        <f t="shared" si="44"/>
        <v/>
      </c>
      <c r="AV46" s="82" t="str">
        <f t="shared" si="45"/>
        <v/>
      </c>
      <c r="AW46" s="48" t="str">
        <f t="shared" si="46"/>
        <v/>
      </c>
      <c r="AX46" s="48" t="str">
        <f t="shared" si="47"/>
        <v/>
      </c>
      <c r="AY46" s="84" t="str">
        <f t="shared" si="48"/>
        <v/>
      </c>
      <c r="AZ46" s="82" t="str">
        <f t="shared" si="49"/>
        <v/>
      </c>
      <c r="BA46" s="48" t="str">
        <f t="shared" si="50"/>
        <v/>
      </c>
      <c r="BB46" s="48" t="str">
        <f t="shared" si="51"/>
        <v/>
      </c>
      <c r="BC46" s="84" t="str">
        <f t="shared" si="52"/>
        <v/>
      </c>
      <c r="BD46" s="82" t="str">
        <f t="shared" si="53"/>
        <v/>
      </c>
      <c r="BE46" s="48" t="str">
        <f t="shared" si="54"/>
        <v/>
      </c>
      <c r="BF46" s="48" t="str">
        <f t="shared" si="55"/>
        <v/>
      </c>
      <c r="BG46" s="84" t="str">
        <f t="shared" si="56"/>
        <v/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>
      <c r="B47" s="81" t="str">
        <f>Weekly!B39</f>
        <v>01523</v>
      </c>
      <c r="C47" s="90" t="str">
        <f>Weekly!C39</f>
        <v>Lachlan</v>
      </c>
      <c r="D47" s="90">
        <f>Weekly!D64</f>
        <v>0</v>
      </c>
      <c r="E47" s="91" t="str">
        <f>VLOOKUP(B47,Team!$B$4:$E$183,4,FALSE)</f>
        <v>L's</v>
      </c>
      <c r="F47" s="92" t="str">
        <f>Weekly!P39</f>
        <v/>
      </c>
      <c r="G47" s="92" t="str">
        <f>Weekly!Q39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>
      <c r="B48" s="81" t="str">
        <f>Weekly!B40</f>
        <v>614</v>
      </c>
      <c r="C48" s="90" t="str">
        <f>Weekly!C40</f>
        <v>Lauren</v>
      </c>
      <c r="D48" s="90">
        <f>Weekly!D65</f>
        <v>0</v>
      </c>
      <c r="E48" s="91" t="str">
        <f>VLOOKUP(B48,Team!$B$4:$E$183,4,FALSE)</f>
        <v>L's</v>
      </c>
      <c r="F48" s="92" t="str">
        <f>Weekly!P40</f>
        <v/>
      </c>
      <c r="G48" s="92" t="str">
        <f>Weekly!Q40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>
      <c r="B49" s="81" t="str">
        <f>Weekly!B41</f>
        <v>01517</v>
      </c>
      <c r="C49" s="90" t="str">
        <f>Weekly!C41</f>
        <v>Lona</v>
      </c>
      <c r="D49" s="90">
        <f>Weekly!D66</f>
        <v>0</v>
      </c>
      <c r="E49" s="91" t="str">
        <f>VLOOKUP(B49,Team!$B$4:$E$183,4,FALSE)</f>
        <v>M's</v>
      </c>
      <c r="F49" s="92" t="str">
        <f>Weekly!P41</f>
        <v/>
      </c>
      <c r="G49" s="92" t="str">
        <f>Weekly!Q41</f>
        <v/>
      </c>
      <c r="H49" s="48" t="str">
        <f t="shared" ref="H49:H80" si="70">IF(AND($H$12&gt;=$F49,$H$12&lt;$G49),$E49,"")</f>
        <v/>
      </c>
      <c r="I49" s="48" t="str">
        <f t="shared" ref="I49:I80" si="71">IF(AND($I$12&gt;=$F49,$I$12&lt;$G49),$E49,"")</f>
        <v/>
      </c>
      <c r="J49" s="48" t="str">
        <f t="shared" ref="J49:J80" si="72">IF(AND($J$12&gt;=$F49,$J$12&lt;$G49),$E49,"")</f>
        <v/>
      </c>
      <c r="K49" s="84" t="str">
        <f t="shared" ref="K49:K80" si="73">IF(AND($K$12&gt;=$F49,$K$12&lt;$G49),$E49,"")</f>
        <v/>
      </c>
      <c r="L49" s="82" t="str">
        <f t="shared" ref="L49:L80" si="74">IF(AND($L$12&gt;=$F49,$L$12&lt;$G49),$E49,"")</f>
        <v/>
      </c>
      <c r="M49" s="48" t="str">
        <f t="shared" ref="M49:M80" si="75">IF(AND($M$12&gt;=$F49,$M$12&lt;$G49),$E49,"")</f>
        <v/>
      </c>
      <c r="N49" s="48" t="str">
        <f t="shared" ref="N49:N80" si="76">IF(AND($N$12&gt;=$F49,$N$12&lt;$G49),$E49,"")</f>
        <v/>
      </c>
      <c r="O49" s="84" t="str">
        <f t="shared" ref="O49:O80" si="77">IF(AND($O$12&gt;=$F49,$O$12&lt;$G49),$E49,"")</f>
        <v/>
      </c>
      <c r="P49" s="82" t="str">
        <f t="shared" ref="P49:P80" si="78">IF(AND($P$12&gt;=$F49,$P$12&lt;$G49),$E49,"")</f>
        <v/>
      </c>
      <c r="Q49" s="48" t="str">
        <f t="shared" ref="Q49:Q80" si="79">IF(AND($Q$12&gt;=$F49,$Q$12&lt;$G49),$E49,"")</f>
        <v/>
      </c>
      <c r="R49" s="48" t="str">
        <f t="shared" ref="R49:R80" si="80">IF(AND($R$12&gt;=$F49,$R$12&lt;$G49),$E49,"")</f>
        <v/>
      </c>
      <c r="S49" s="84" t="str">
        <f t="shared" ref="S49:S80" si="81">IF(AND($S$12&gt;=$F49,$S$12&lt;$G49),$E49,"")</f>
        <v/>
      </c>
      <c r="T49" s="82" t="str">
        <f t="shared" ref="T49:T80" si="82">IF(AND($T$12&gt;=$F49,$T$12&lt;$G49),$E49,"")</f>
        <v/>
      </c>
      <c r="U49" s="48" t="str">
        <f t="shared" ref="U49:U80" si="83">IF(AND($U$12&gt;=$F49,$U$12&lt;$G49),$E49,"")</f>
        <v/>
      </c>
      <c r="V49" s="48" t="str">
        <f t="shared" ref="V49:V80" si="84">IF(AND($V$12&gt;=$F49,$V$12&lt;$G49),$E49,"")</f>
        <v/>
      </c>
      <c r="W49" s="84" t="str">
        <f t="shared" ref="W49:W80" si="85">IF(AND($W$12&gt;=$F49,$W$12&lt;$G49),$E49,"")</f>
        <v/>
      </c>
      <c r="X49" s="82" t="str">
        <f t="shared" ref="X49:X80" si="86">IF(AND($X$12&gt;=$F49,$X$12&lt;$G49),$E49,"")</f>
        <v/>
      </c>
      <c r="Y49" s="48" t="str">
        <f t="shared" ref="Y49:Y80" si="87">IF(AND($Y$12&gt;=$F49,$Y$12&lt;$G49),$E49,"")</f>
        <v/>
      </c>
      <c r="Z49" s="48" t="str">
        <f t="shared" ref="Z49:Z80" si="88">IF(AND($Z$12&gt;=$F49,$Z$12&lt;$G49),$E49,"")</f>
        <v/>
      </c>
      <c r="AA49" s="84" t="str">
        <f t="shared" ref="AA49:AA80" si="89">IF(AND($AA$12&gt;=$F49,$AA$12&lt;$G49),$E49,"")</f>
        <v/>
      </c>
      <c r="AB49" s="82" t="str">
        <f t="shared" ref="AB49:AB80" si="90">IF(AND($AB$12&gt;=$F49,$AB$12&lt;$G49),$E49,"")</f>
        <v/>
      </c>
      <c r="AC49" s="48" t="str">
        <f t="shared" ref="AC49:AC80" si="91">IF(AND($AC$12&gt;=$F49,$AC$12&lt;$G49),$E49,"")</f>
        <v/>
      </c>
      <c r="AD49" s="48" t="str">
        <f t="shared" ref="AD49:AD80" si="92">IF(AND($AD$12&gt;=$F49,$AD$12&lt;$G49),$E49,"")</f>
        <v/>
      </c>
      <c r="AE49" s="84" t="str">
        <f t="shared" ref="AE49:AE80" si="93">IF(AND($AE$12&gt;=$F49,$AE$12&lt;$G49),$E49,"")</f>
        <v/>
      </c>
      <c r="AF49" s="82" t="str">
        <f t="shared" ref="AF49:AF80" si="94">IF(AND($AF$12&gt;=$F49,$AF$12&lt;$G49),$E49,"")</f>
        <v/>
      </c>
      <c r="AG49" s="48" t="str">
        <f t="shared" ref="AG49:AG80" si="95">IF(AND($AG$12&gt;=$F49,$AG$12&lt;$G49),$E49,"")</f>
        <v/>
      </c>
      <c r="AH49" s="48" t="str">
        <f t="shared" ref="AH49:AH80" si="96">IF(AND($AH$12&gt;=$F49,$AH$12&lt;$G49),$E49,"")</f>
        <v/>
      </c>
      <c r="AI49" s="84" t="str">
        <f t="shared" ref="AI49:AI80" si="97">IF(AND($AI$12&gt;=$F49,$AI$12&lt;$G49),$E49,"")</f>
        <v/>
      </c>
      <c r="AJ49" s="82" t="str">
        <f t="shared" ref="AJ49:AJ80" si="98">IF(AND($AJ$12&gt;=$F49,$AJ$12&lt;$G49),$E49,"")</f>
        <v/>
      </c>
      <c r="AK49" s="48" t="str">
        <f t="shared" ref="AK49:AK80" si="99">IF(AND($AK$12&gt;=$F49,$AK$12&lt;$G49),$E49,"")</f>
        <v/>
      </c>
      <c r="AL49" s="48" t="str">
        <f t="shared" ref="AL49:AL80" si="100">IF(AND($AL$12&gt;=$F49,$AL$12&lt;$G49),$E49,"")</f>
        <v/>
      </c>
      <c r="AM49" s="84" t="str">
        <f t="shared" ref="AM49:AM80" si="101">IF(AND($AM$12&gt;=$F49,$AM$12&lt;$G49),$E49,"")</f>
        <v/>
      </c>
      <c r="AN49" s="82" t="str">
        <f t="shared" ref="AN49:AN80" si="102">IF(AND($AN$12&gt;=$F49,$AN$12&lt;$G49),$E49,"")</f>
        <v/>
      </c>
      <c r="AO49" s="48" t="str">
        <f t="shared" ref="AO49:AO80" si="103">IF(AND($AO$12&gt;=$F49,$AO$12&lt;$G49),$E49,"")</f>
        <v/>
      </c>
      <c r="AP49" s="48" t="str">
        <f t="shared" ref="AP49:AP80" si="104">IF(AND($AP$12&gt;=$F49,$AP$12&lt;$G49),$E49,"")</f>
        <v/>
      </c>
      <c r="AQ49" s="84" t="str">
        <f t="shared" ref="AQ49:AQ80" si="105">IF(AND($AQ$12&gt;=$F49,$AQ$12&lt;$G49),$E49,"")</f>
        <v/>
      </c>
      <c r="AR49" s="82" t="str">
        <f t="shared" ref="AR49:AR80" si="106">IF(AND($AR$12&gt;=$F49,$AR$12&lt;$G49),$E49,"")</f>
        <v/>
      </c>
      <c r="AS49" s="48" t="str">
        <f t="shared" ref="AS49:AS80" si="107">IF(AND($AS$12&gt;=$F49,$AS$12&lt;$G49),$E49,"")</f>
        <v/>
      </c>
      <c r="AT49" s="48" t="str">
        <f t="shared" ref="AT49:AT80" si="108">IF(AND($AT$12&gt;=$F49,$AT$12&lt;$G49),$E49,"")</f>
        <v/>
      </c>
      <c r="AU49" s="84" t="str">
        <f t="shared" ref="AU49:AU80" si="109">IF(AND($AU$12&gt;=$F49,$AU$12&lt;$G49),$E49,"")</f>
        <v/>
      </c>
      <c r="AV49" s="82" t="str">
        <f t="shared" ref="AV49:AV80" si="110">IF(AND($AV$12&gt;=$F49,$AV$12&lt;$G49),$E49,"")</f>
        <v/>
      </c>
      <c r="AW49" s="48" t="str">
        <f t="shared" ref="AW49:AW80" si="111">IF(AND($AW$12&gt;=$F49,$AW$12&lt;$G49),$E49,"")</f>
        <v/>
      </c>
      <c r="AX49" s="48" t="str">
        <f t="shared" ref="AX49:AX80" si="112">IF(AND($AX$12&gt;=$F49,$AX$12&lt;$G49),$E49,"")</f>
        <v/>
      </c>
      <c r="AY49" s="84" t="str">
        <f t="shared" ref="AY49:AY80" si="113">IF(AND($AY$12&gt;=$F49,$AY$12&lt;$G49),$E49,"")</f>
        <v/>
      </c>
      <c r="AZ49" s="82" t="str">
        <f t="shared" ref="AZ49:AZ80" si="114">IF(AND($AZ$12&gt;=$F49,$AZ$12&lt;$G49),$E49,"")</f>
        <v/>
      </c>
      <c r="BA49" s="48" t="str">
        <f t="shared" ref="BA49:BA80" si="115">IF(AND($BA$12&gt;=$F49,$BA$12&lt;$G49),$E49,"")</f>
        <v/>
      </c>
      <c r="BB49" s="48" t="str">
        <f t="shared" ref="BB49:BB80" si="116">IF(AND($BB$12&gt;=$F49,$BB$12&lt;$G49),$E49,"")</f>
        <v/>
      </c>
      <c r="BC49" s="84" t="str">
        <f t="shared" ref="BC49:BC80" si="117">IF(AND($BC$12&gt;=$F49,$BC$12&lt;$G49),$E49,"")</f>
        <v/>
      </c>
      <c r="BD49" s="82" t="str">
        <f t="shared" ref="BD49:BD80" si="118">IF(AND($BD$12&gt;=$F49,$BD$12&lt;$G49),$E49,"")</f>
        <v/>
      </c>
      <c r="BE49" s="48" t="str">
        <f t="shared" ref="BE49:BE80" si="119">IF(AND($BE$12&gt;=$F49,$BE$12&lt;$G49),$E49,"")</f>
        <v/>
      </c>
      <c r="BF49" s="48" t="str">
        <f t="shared" ref="BF49:BF80" si="120">IF(AND($BF$12&gt;=$F49,$BF$12&lt;$G49),$E49,"")</f>
        <v/>
      </c>
      <c r="BG49" s="84" t="str">
        <f t="shared" ref="BG49:BG80" si="121">IF(AND($BG$12&gt;=$F49,$BG$12&lt;$G49),$E49,"")</f>
        <v/>
      </c>
      <c r="BH49" s="87" t="str">
        <f t="shared" ref="BH49:BH80" si="122">IF(AND($BH$12&gt;=$F49,$BH$12&lt;$G49),$E49,"")</f>
        <v/>
      </c>
      <c r="BI49" s="49" t="str">
        <f t="shared" ref="BI49:BI80" si="123">IF(AND($BI$12&gt;=$F49,$BI$12&lt;$G49),$E49,"")</f>
        <v/>
      </c>
      <c r="BJ49" s="49" t="str">
        <f t="shared" ref="BJ49:BJ80" si="124">IF(AND($BJ$12&gt;=$F49,$BJ$12&lt;$G49),$E49,"")</f>
        <v/>
      </c>
      <c r="BK49" s="89" t="str">
        <f t="shared" ref="BK49:BK80" si="125">IF(AND($BK$12&gt;=$F49,$BK$12&lt;$G49),$E49,"")</f>
        <v/>
      </c>
      <c r="BL49" s="87" t="str">
        <f t="shared" ref="BL49:BL80" si="126">IF(AND($BL$12&gt;=$F49,$BL$12&lt;$G49),$E49,"")</f>
        <v/>
      </c>
      <c r="BM49" s="49" t="str">
        <f t="shared" ref="BM49:BM80" si="127">IF(AND($BM$12&gt;=$F49,$BM$12&lt;$G49),$E49,"")</f>
        <v/>
      </c>
      <c r="BN49" s="49" t="str">
        <f t="shared" ref="BN49:BN80" si="128">IF(AND($BN$12&gt;=$F49,$BN$12&lt;$G49),$E49,"")</f>
        <v/>
      </c>
      <c r="BO49" s="89" t="str">
        <f t="shared" ref="BO49:BO80" si="129">IF(AND($BO$12&gt;=$F49,$BO$12&lt;$G49),$E49,"")</f>
        <v/>
      </c>
      <c r="BP49" s="87" t="str">
        <f t="shared" ref="BP49:BP80" si="130">IF(AND($BP$12&gt;=$F49,$BP$12&lt;$G49),$E49,"")</f>
        <v/>
      </c>
      <c r="BQ49" s="49" t="str">
        <f t="shared" ref="BQ49:BQ80" si="131">IF(AND($BQ$12&gt;=$F49,$BQ$12&lt;$G49),$E49,"")</f>
        <v/>
      </c>
      <c r="BR49" s="49" t="str">
        <f t="shared" ref="BR49:BR80" si="132">IF(AND($BR$12&gt;=$F49,$BR$12&lt;$G49),$E49,"")</f>
        <v/>
      </c>
      <c r="BS49" s="89" t="str">
        <f t="shared" ref="BS49:BS80" si="133">IF(AND($BS$12&gt;=$F49,$BS$12&lt;$G49),$E49,"")</f>
        <v/>
      </c>
      <c r="BT49" s="87" t="str">
        <f t="shared" ref="BT49:BT80" si="134">IF(AND($BT$12&gt;=$F49,$BT$12&lt;$G49),$E49,"")</f>
        <v/>
      </c>
    </row>
    <row r="50" spans="2:72">
      <c r="B50" s="81" t="str">
        <f>Weekly!B42</f>
        <v>882</v>
      </c>
      <c r="C50" s="90" t="str">
        <f>Weekly!C42</f>
        <v>Masami</v>
      </c>
      <c r="D50" s="90">
        <f>Weekly!D67</f>
        <v>0</v>
      </c>
      <c r="E50" s="91" t="str">
        <f>VLOOKUP(B50,Team!$B$4:$E$183,4,FALSE)</f>
        <v>Acc.</v>
      </c>
      <c r="F50" s="92">
        <f>Weekly!P42</f>
        <v>0.35416666666666602</v>
      </c>
      <c r="G50" s="92">
        <f>Weekly!Q42</f>
        <v>0.687499999999999</v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>Acc.</v>
      </c>
      <c r="O50" s="84" t="str">
        <f t="shared" si="77"/>
        <v>Acc.</v>
      </c>
      <c r="P50" s="82" t="str">
        <f t="shared" si="78"/>
        <v>Acc.</v>
      </c>
      <c r="Q50" s="48" t="str">
        <f t="shared" si="79"/>
        <v>Acc.</v>
      </c>
      <c r="R50" s="48" t="str">
        <f t="shared" si="80"/>
        <v>Acc.</v>
      </c>
      <c r="S50" s="84" t="str">
        <f t="shared" si="81"/>
        <v>Acc.</v>
      </c>
      <c r="T50" s="82" t="str">
        <f t="shared" si="82"/>
        <v>Acc.</v>
      </c>
      <c r="U50" s="48" t="str">
        <f t="shared" si="83"/>
        <v>Acc.</v>
      </c>
      <c r="V50" s="48" t="str">
        <f t="shared" si="84"/>
        <v>Acc.</v>
      </c>
      <c r="W50" s="84" t="str">
        <f t="shared" si="85"/>
        <v>Acc.</v>
      </c>
      <c r="X50" s="82" t="str">
        <f t="shared" si="86"/>
        <v>Acc.</v>
      </c>
      <c r="Y50" s="48" t="str">
        <f t="shared" si="87"/>
        <v>Acc.</v>
      </c>
      <c r="Z50" s="48" t="str">
        <f t="shared" si="88"/>
        <v>Acc.</v>
      </c>
      <c r="AA50" s="84" t="str">
        <f t="shared" si="89"/>
        <v>Acc.</v>
      </c>
      <c r="AB50" s="82" t="str">
        <f t="shared" si="90"/>
        <v>Acc.</v>
      </c>
      <c r="AC50" s="48" t="str">
        <f t="shared" si="91"/>
        <v>Acc.</v>
      </c>
      <c r="AD50" s="48" t="str">
        <f t="shared" si="92"/>
        <v>Acc.</v>
      </c>
      <c r="AE50" s="84" t="str">
        <f t="shared" si="93"/>
        <v>Acc.</v>
      </c>
      <c r="AF50" s="82" t="str">
        <f t="shared" si="94"/>
        <v>Acc.</v>
      </c>
      <c r="AG50" s="48" t="str">
        <f t="shared" si="95"/>
        <v>Acc.</v>
      </c>
      <c r="AH50" s="48" t="str">
        <f t="shared" si="96"/>
        <v>Acc.</v>
      </c>
      <c r="AI50" s="84" t="str">
        <f t="shared" si="97"/>
        <v>Acc.</v>
      </c>
      <c r="AJ50" s="82" t="str">
        <f t="shared" si="98"/>
        <v>Acc.</v>
      </c>
      <c r="AK50" s="48" t="str">
        <f t="shared" si="99"/>
        <v>Acc.</v>
      </c>
      <c r="AL50" s="48" t="str">
        <f t="shared" si="100"/>
        <v>Acc.</v>
      </c>
      <c r="AM50" s="84" t="str">
        <f t="shared" si="101"/>
        <v>Acc.</v>
      </c>
      <c r="AN50" s="82" t="str">
        <f t="shared" si="102"/>
        <v>Acc.</v>
      </c>
      <c r="AO50" s="48" t="str">
        <f t="shared" si="103"/>
        <v>Acc.</v>
      </c>
      <c r="AP50" s="48" t="str">
        <f t="shared" si="104"/>
        <v>Acc.</v>
      </c>
      <c r="AQ50" s="84" t="str">
        <f t="shared" si="105"/>
        <v>Acc.</v>
      </c>
      <c r="AR50" s="82" t="str">
        <f t="shared" si="106"/>
        <v>Acc.</v>
      </c>
      <c r="AS50" s="48" t="str">
        <f t="shared" si="107"/>
        <v>Acc.</v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>
      <c r="B51" s="81" t="str">
        <f>Weekly!B43</f>
        <v>1132</v>
      </c>
      <c r="C51" s="90" t="str">
        <f>Weekly!C43</f>
        <v>Michelle B.</v>
      </c>
      <c r="D51" s="90">
        <f>Weekly!D68</f>
        <v>0</v>
      </c>
      <c r="E51" s="91" t="str">
        <f>VLOOKUP(B51,Team!$B$4:$E$183,4,FALSE)</f>
        <v>Stat.</v>
      </c>
      <c r="F51" s="92" t="str">
        <f>Weekly!P43</f>
        <v/>
      </c>
      <c r="G51" s="92" t="str">
        <f>Weekly!Q43</f>
        <v/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/>
      </c>
      <c r="O51" s="84" t="str">
        <f t="shared" si="77"/>
        <v/>
      </c>
      <c r="P51" s="82" t="str">
        <f t="shared" si="78"/>
        <v/>
      </c>
      <c r="Q51" s="48" t="str">
        <f t="shared" si="79"/>
        <v/>
      </c>
      <c r="R51" s="48" t="str">
        <f t="shared" si="80"/>
        <v/>
      </c>
      <c r="S51" s="84" t="str">
        <f t="shared" si="81"/>
        <v/>
      </c>
      <c r="T51" s="82" t="str">
        <f t="shared" si="82"/>
        <v/>
      </c>
      <c r="U51" s="48" t="str">
        <f t="shared" si="83"/>
        <v/>
      </c>
      <c r="V51" s="48" t="str">
        <f t="shared" si="84"/>
        <v/>
      </c>
      <c r="W51" s="84" t="str">
        <f t="shared" si="85"/>
        <v/>
      </c>
      <c r="X51" s="82" t="str">
        <f t="shared" si="86"/>
        <v/>
      </c>
      <c r="Y51" s="48" t="str">
        <f t="shared" si="87"/>
        <v/>
      </c>
      <c r="Z51" s="48" t="str">
        <f t="shared" si="88"/>
        <v/>
      </c>
      <c r="AA51" s="84" t="str">
        <f t="shared" si="89"/>
        <v/>
      </c>
      <c r="AB51" s="82" t="str">
        <f t="shared" si="90"/>
        <v/>
      </c>
      <c r="AC51" s="48" t="str">
        <f t="shared" si="91"/>
        <v/>
      </c>
      <c r="AD51" s="48" t="str">
        <f t="shared" si="92"/>
        <v/>
      </c>
      <c r="AE51" s="84" t="str">
        <f t="shared" si="93"/>
        <v/>
      </c>
      <c r="AF51" s="82" t="str">
        <f t="shared" si="94"/>
        <v/>
      </c>
      <c r="AG51" s="48" t="str">
        <f t="shared" si="95"/>
        <v/>
      </c>
      <c r="AH51" s="48" t="str">
        <f t="shared" si="96"/>
        <v/>
      </c>
      <c r="AI51" s="84" t="str">
        <f t="shared" si="97"/>
        <v/>
      </c>
      <c r="AJ51" s="82" t="str">
        <f t="shared" si="98"/>
        <v/>
      </c>
      <c r="AK51" s="48" t="str">
        <f t="shared" si="99"/>
        <v/>
      </c>
      <c r="AL51" s="48" t="str">
        <f t="shared" si="100"/>
        <v/>
      </c>
      <c r="AM51" s="84" t="str">
        <f t="shared" si="101"/>
        <v/>
      </c>
      <c r="AN51" s="82" t="str">
        <f t="shared" si="102"/>
        <v/>
      </c>
      <c r="AO51" s="48" t="str">
        <f t="shared" si="103"/>
        <v/>
      </c>
      <c r="AP51" s="48" t="str">
        <f t="shared" si="104"/>
        <v/>
      </c>
      <c r="AQ51" s="84" t="str">
        <f t="shared" si="105"/>
        <v/>
      </c>
      <c r="AR51" s="82" t="str">
        <f t="shared" si="106"/>
        <v/>
      </c>
      <c r="AS51" s="48" t="str">
        <f t="shared" si="107"/>
        <v/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>
      <c r="B52" s="81" t="str">
        <f>Weekly!B44</f>
        <v>01525</v>
      </c>
      <c r="C52" s="90" t="str">
        <f>Weekly!C44</f>
        <v>Michelle T.</v>
      </c>
      <c r="D52" s="90">
        <f>Weekly!D69</f>
        <v>0</v>
      </c>
      <c r="E52" s="91" t="str">
        <f>VLOOKUP(B52,Team!$B$4:$E$183,4,FALSE)</f>
        <v>Acc.</v>
      </c>
      <c r="F52" s="92" t="str">
        <f>Weekly!P44</f>
        <v/>
      </c>
      <c r="G52" s="92" t="str">
        <f>Weekly!Q44</f>
        <v/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/>
      </c>
      <c r="O52" s="84" t="str">
        <f t="shared" si="77"/>
        <v/>
      </c>
      <c r="P52" s="82" t="str">
        <f t="shared" si="78"/>
        <v/>
      </c>
      <c r="Q52" s="48" t="str">
        <f t="shared" si="79"/>
        <v/>
      </c>
      <c r="R52" s="48" t="str">
        <f t="shared" si="80"/>
        <v/>
      </c>
      <c r="S52" s="84" t="str">
        <f t="shared" si="81"/>
        <v/>
      </c>
      <c r="T52" s="82" t="str">
        <f t="shared" si="82"/>
        <v/>
      </c>
      <c r="U52" s="48" t="str">
        <f t="shared" si="83"/>
        <v/>
      </c>
      <c r="V52" s="48" t="str">
        <f t="shared" si="84"/>
        <v/>
      </c>
      <c r="W52" s="84" t="str">
        <f t="shared" si="85"/>
        <v/>
      </c>
      <c r="X52" s="82" t="str">
        <f t="shared" si="86"/>
        <v/>
      </c>
      <c r="Y52" s="48" t="str">
        <f t="shared" si="87"/>
        <v/>
      </c>
      <c r="Z52" s="48" t="str">
        <f t="shared" si="88"/>
        <v/>
      </c>
      <c r="AA52" s="84" t="str">
        <f t="shared" si="89"/>
        <v/>
      </c>
      <c r="AB52" s="82" t="str">
        <f t="shared" si="90"/>
        <v/>
      </c>
      <c r="AC52" s="48" t="str">
        <f t="shared" si="91"/>
        <v/>
      </c>
      <c r="AD52" s="48" t="str">
        <f t="shared" si="92"/>
        <v/>
      </c>
      <c r="AE52" s="84" t="str">
        <f t="shared" si="93"/>
        <v/>
      </c>
      <c r="AF52" s="82" t="str">
        <f t="shared" si="94"/>
        <v/>
      </c>
      <c r="AG52" s="48" t="str">
        <f t="shared" si="95"/>
        <v/>
      </c>
      <c r="AH52" s="48" t="str">
        <f t="shared" si="96"/>
        <v/>
      </c>
      <c r="AI52" s="84" t="str">
        <f t="shared" si="97"/>
        <v/>
      </c>
      <c r="AJ52" s="82" t="str">
        <f t="shared" si="98"/>
        <v/>
      </c>
      <c r="AK52" s="48" t="str">
        <f t="shared" si="99"/>
        <v/>
      </c>
      <c r="AL52" s="48" t="str">
        <f t="shared" si="100"/>
        <v/>
      </c>
      <c r="AM52" s="84" t="str">
        <f t="shared" si="101"/>
        <v/>
      </c>
      <c r="AN52" s="82" t="str">
        <f t="shared" si="102"/>
        <v/>
      </c>
      <c r="AO52" s="48" t="str">
        <f t="shared" si="103"/>
        <v/>
      </c>
      <c r="AP52" s="48" t="str">
        <f t="shared" si="104"/>
        <v/>
      </c>
      <c r="AQ52" s="84" t="str">
        <f t="shared" si="105"/>
        <v/>
      </c>
      <c r="AR52" s="82" t="str">
        <f t="shared" si="106"/>
        <v/>
      </c>
      <c r="AS52" s="48" t="str">
        <f t="shared" si="107"/>
        <v/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>
      <c r="B53" s="81" t="str">
        <f>Weekly!B45</f>
        <v>1234</v>
      </c>
      <c r="C53" s="90" t="str">
        <f>Weekly!C45</f>
        <v>Misato</v>
      </c>
      <c r="D53" s="90">
        <f>Weekly!D70</f>
        <v>0</v>
      </c>
      <c r="E53" s="91" t="str">
        <f>VLOOKUP(B53,Team!$B$4:$E$183,4,FALSE)</f>
        <v>L's</v>
      </c>
      <c r="F53" s="92" t="str">
        <f>Weekly!P45</f>
        <v/>
      </c>
      <c r="G53" s="92" t="str">
        <f>Weekly!Q45</f>
        <v/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/>
      </c>
      <c r="O53" s="84" t="str">
        <f t="shared" si="77"/>
        <v/>
      </c>
      <c r="P53" s="82" t="str">
        <f t="shared" si="78"/>
        <v/>
      </c>
      <c r="Q53" s="48" t="str">
        <f t="shared" si="79"/>
        <v/>
      </c>
      <c r="R53" s="48" t="str">
        <f t="shared" si="80"/>
        <v/>
      </c>
      <c r="S53" s="84" t="str">
        <f t="shared" si="81"/>
        <v/>
      </c>
      <c r="T53" s="82" t="str">
        <f t="shared" si="82"/>
        <v/>
      </c>
      <c r="U53" s="48" t="str">
        <f t="shared" si="83"/>
        <v/>
      </c>
      <c r="V53" s="48" t="str">
        <f t="shared" si="84"/>
        <v/>
      </c>
      <c r="W53" s="84" t="str">
        <f t="shared" si="85"/>
        <v/>
      </c>
      <c r="X53" s="82" t="str">
        <f t="shared" si="86"/>
        <v/>
      </c>
      <c r="Y53" s="48" t="str">
        <f t="shared" si="87"/>
        <v/>
      </c>
      <c r="Z53" s="48" t="str">
        <f t="shared" si="88"/>
        <v/>
      </c>
      <c r="AA53" s="84" t="str">
        <f t="shared" si="89"/>
        <v/>
      </c>
      <c r="AB53" s="82" t="str">
        <f t="shared" si="90"/>
        <v/>
      </c>
      <c r="AC53" s="48" t="str">
        <f t="shared" si="91"/>
        <v/>
      </c>
      <c r="AD53" s="48" t="str">
        <f t="shared" si="92"/>
        <v/>
      </c>
      <c r="AE53" s="84" t="str">
        <f t="shared" si="93"/>
        <v/>
      </c>
      <c r="AF53" s="82" t="str">
        <f t="shared" si="94"/>
        <v/>
      </c>
      <c r="AG53" s="48" t="str">
        <f t="shared" si="95"/>
        <v/>
      </c>
      <c r="AH53" s="48" t="str">
        <f t="shared" si="96"/>
        <v/>
      </c>
      <c r="AI53" s="84" t="str">
        <f t="shared" si="97"/>
        <v/>
      </c>
      <c r="AJ53" s="82" t="str">
        <f t="shared" si="98"/>
        <v/>
      </c>
      <c r="AK53" s="48" t="str">
        <f t="shared" si="99"/>
        <v/>
      </c>
      <c r="AL53" s="48" t="str">
        <f t="shared" si="100"/>
        <v/>
      </c>
      <c r="AM53" s="84" t="str">
        <f t="shared" si="101"/>
        <v/>
      </c>
      <c r="AN53" s="82" t="str">
        <f t="shared" si="102"/>
        <v/>
      </c>
      <c r="AO53" s="48" t="str">
        <f t="shared" si="103"/>
        <v/>
      </c>
      <c r="AP53" s="48" t="str">
        <f t="shared" si="104"/>
        <v/>
      </c>
      <c r="AQ53" s="84" t="str">
        <f t="shared" si="105"/>
        <v/>
      </c>
      <c r="AR53" s="82" t="str">
        <f t="shared" si="106"/>
        <v/>
      </c>
      <c r="AS53" s="48" t="str">
        <f t="shared" si="107"/>
        <v/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>
      <c r="B54" s="81" t="str">
        <f>Weekly!B46</f>
        <v>1015</v>
      </c>
      <c r="C54" s="90" t="str">
        <f>Weekly!C46</f>
        <v>Natalie C.</v>
      </c>
      <c r="D54" s="90">
        <f>Weekly!D71</f>
        <v>0</v>
      </c>
      <c r="E54" s="91" t="str">
        <f>VLOOKUP(B54,Team!$B$4:$E$183,4,FALSE)</f>
        <v>H&amp;B</v>
      </c>
      <c r="F54" s="92">
        <f>Weekly!P46</f>
        <v>0.499999999999999</v>
      </c>
      <c r="G54" s="92">
        <f>Weekly!Q46</f>
        <v>0.83333333333333204</v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/>
      </c>
      <c r="Y54" s="48" t="str">
        <f t="shared" si="87"/>
        <v/>
      </c>
      <c r="Z54" s="48" t="str">
        <f t="shared" si="88"/>
        <v/>
      </c>
      <c r="AA54" s="84" t="str">
        <f t="shared" si="89"/>
        <v/>
      </c>
      <c r="AB54" s="82" t="str">
        <f t="shared" si="90"/>
        <v>H&amp;B</v>
      </c>
      <c r="AC54" s="48" t="str">
        <f t="shared" si="91"/>
        <v>H&amp;B</v>
      </c>
      <c r="AD54" s="48" t="str">
        <f t="shared" si="92"/>
        <v>H&amp;B</v>
      </c>
      <c r="AE54" s="84" t="str">
        <f t="shared" si="93"/>
        <v>H&amp;B</v>
      </c>
      <c r="AF54" s="82" t="str">
        <f t="shared" si="94"/>
        <v>H&amp;B</v>
      </c>
      <c r="AG54" s="48" t="str">
        <f t="shared" si="95"/>
        <v>H&amp;B</v>
      </c>
      <c r="AH54" s="48" t="str">
        <f t="shared" si="96"/>
        <v>H&amp;B</v>
      </c>
      <c r="AI54" s="84" t="str">
        <f t="shared" si="97"/>
        <v>H&amp;B</v>
      </c>
      <c r="AJ54" s="82" t="str">
        <f t="shared" si="98"/>
        <v>H&amp;B</v>
      </c>
      <c r="AK54" s="48" t="str">
        <f t="shared" si="99"/>
        <v>H&amp;B</v>
      </c>
      <c r="AL54" s="48" t="str">
        <f t="shared" si="100"/>
        <v>H&amp;B</v>
      </c>
      <c r="AM54" s="84" t="str">
        <f t="shared" si="101"/>
        <v>H&amp;B</v>
      </c>
      <c r="AN54" s="82" t="str">
        <f t="shared" si="102"/>
        <v>H&amp;B</v>
      </c>
      <c r="AO54" s="48" t="str">
        <f t="shared" si="103"/>
        <v>H&amp;B</v>
      </c>
      <c r="AP54" s="48" t="str">
        <f t="shared" si="104"/>
        <v>H&amp;B</v>
      </c>
      <c r="AQ54" s="84" t="str">
        <f t="shared" si="105"/>
        <v>H&amp;B</v>
      </c>
      <c r="AR54" s="82" t="str">
        <f t="shared" si="106"/>
        <v>H&amp;B</v>
      </c>
      <c r="AS54" s="48" t="str">
        <f t="shared" si="107"/>
        <v>H&amp;B</v>
      </c>
      <c r="AT54" s="48" t="str">
        <f t="shared" si="108"/>
        <v>H&amp;B</v>
      </c>
      <c r="AU54" s="84" t="str">
        <f t="shared" si="109"/>
        <v>H&amp;B</v>
      </c>
      <c r="AV54" s="82" t="str">
        <f t="shared" si="110"/>
        <v>H&amp;B</v>
      </c>
      <c r="AW54" s="48" t="str">
        <f t="shared" si="111"/>
        <v>H&amp;B</v>
      </c>
      <c r="AX54" s="48" t="str">
        <f t="shared" si="112"/>
        <v>H&amp;B</v>
      </c>
      <c r="AY54" s="84" t="str">
        <f t="shared" si="113"/>
        <v>H&amp;B</v>
      </c>
      <c r="AZ54" s="82" t="str">
        <f t="shared" si="114"/>
        <v>H&amp;B</v>
      </c>
      <c r="BA54" s="48" t="str">
        <f t="shared" si="115"/>
        <v>H&amp;B</v>
      </c>
      <c r="BB54" s="48" t="str">
        <f t="shared" si="116"/>
        <v>H&amp;B</v>
      </c>
      <c r="BC54" s="84" t="str">
        <f t="shared" si="117"/>
        <v>H&amp;B</v>
      </c>
      <c r="BD54" s="82" t="str">
        <f t="shared" si="118"/>
        <v>H&amp;B</v>
      </c>
      <c r="BE54" s="48" t="str">
        <f t="shared" si="119"/>
        <v>H&amp;B</v>
      </c>
      <c r="BF54" s="48" t="str">
        <f t="shared" si="120"/>
        <v>H&amp;B</v>
      </c>
      <c r="BG54" s="84" t="str">
        <f t="shared" si="121"/>
        <v>H&amp;B</v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>
      <c r="B55" s="81" t="str">
        <f>Weekly!B47</f>
        <v>01529</v>
      </c>
      <c r="C55" s="90" t="str">
        <f>Weekly!C47</f>
        <v>Natalie N.</v>
      </c>
      <c r="D55" s="90">
        <f>Weekly!D72</f>
        <v>0</v>
      </c>
      <c r="E55" s="91" t="str">
        <f>VLOOKUP(B55,Team!$B$4:$E$183,4,FALSE)</f>
        <v>L's</v>
      </c>
      <c r="F55" s="92" t="str">
        <f>Weekly!P47</f>
        <v/>
      </c>
      <c r="G55" s="92" t="str">
        <f>Weekly!Q47</f>
        <v/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/>
      </c>
      <c r="O55" s="84" t="str">
        <f t="shared" si="77"/>
        <v/>
      </c>
      <c r="P55" s="82" t="str">
        <f t="shared" si="78"/>
        <v/>
      </c>
      <c r="Q55" s="48" t="str">
        <f t="shared" si="79"/>
        <v/>
      </c>
      <c r="R55" s="48" t="str">
        <f t="shared" si="80"/>
        <v/>
      </c>
      <c r="S55" s="84" t="str">
        <f t="shared" si="81"/>
        <v/>
      </c>
      <c r="T55" s="82" t="str">
        <f t="shared" si="82"/>
        <v/>
      </c>
      <c r="U55" s="48" t="str">
        <f t="shared" si="83"/>
        <v/>
      </c>
      <c r="V55" s="48" t="str">
        <f t="shared" si="84"/>
        <v/>
      </c>
      <c r="W55" s="84" t="str">
        <f t="shared" si="85"/>
        <v/>
      </c>
      <c r="X55" s="82" t="str">
        <f t="shared" si="86"/>
        <v/>
      </c>
      <c r="Y55" s="48" t="str">
        <f t="shared" si="87"/>
        <v/>
      </c>
      <c r="Z55" s="48" t="str">
        <f t="shared" si="88"/>
        <v/>
      </c>
      <c r="AA55" s="84" t="str">
        <f t="shared" si="89"/>
        <v/>
      </c>
      <c r="AB55" s="82" t="str">
        <f t="shared" si="90"/>
        <v/>
      </c>
      <c r="AC55" s="48" t="str">
        <f t="shared" si="91"/>
        <v/>
      </c>
      <c r="AD55" s="48" t="str">
        <f t="shared" si="92"/>
        <v/>
      </c>
      <c r="AE55" s="84" t="str">
        <f t="shared" si="93"/>
        <v/>
      </c>
      <c r="AF55" s="82" t="str">
        <f t="shared" si="94"/>
        <v/>
      </c>
      <c r="AG55" s="48" t="str">
        <f t="shared" si="95"/>
        <v/>
      </c>
      <c r="AH55" s="48" t="str">
        <f t="shared" si="96"/>
        <v/>
      </c>
      <c r="AI55" s="84" t="str">
        <f t="shared" si="97"/>
        <v/>
      </c>
      <c r="AJ55" s="82" t="str">
        <f t="shared" si="98"/>
        <v/>
      </c>
      <c r="AK55" s="48" t="str">
        <f t="shared" si="99"/>
        <v/>
      </c>
      <c r="AL55" s="48" t="str">
        <f t="shared" si="100"/>
        <v/>
      </c>
      <c r="AM55" s="84" t="str">
        <f t="shared" si="101"/>
        <v/>
      </c>
      <c r="AN55" s="82" t="str">
        <f t="shared" si="102"/>
        <v/>
      </c>
      <c r="AO55" s="48" t="str">
        <f t="shared" si="103"/>
        <v/>
      </c>
      <c r="AP55" s="48" t="str">
        <f t="shared" si="104"/>
        <v/>
      </c>
      <c r="AQ55" s="84" t="str">
        <f t="shared" si="105"/>
        <v/>
      </c>
      <c r="AR55" s="82" t="str">
        <f t="shared" si="106"/>
        <v/>
      </c>
      <c r="AS55" s="48" t="str">
        <f t="shared" si="107"/>
        <v/>
      </c>
      <c r="AT55" s="48" t="str">
        <f t="shared" si="108"/>
        <v/>
      </c>
      <c r="AU55" s="84" t="str">
        <f t="shared" si="109"/>
        <v/>
      </c>
      <c r="AV55" s="82" t="str">
        <f t="shared" si="110"/>
        <v/>
      </c>
      <c r="AW55" s="48" t="str">
        <f t="shared" si="111"/>
        <v/>
      </c>
      <c r="AX55" s="48" t="str">
        <f t="shared" si="112"/>
        <v/>
      </c>
      <c r="AY55" s="84" t="str">
        <f t="shared" si="113"/>
        <v/>
      </c>
      <c r="AZ55" s="82" t="str">
        <f t="shared" si="114"/>
        <v/>
      </c>
      <c r="BA55" s="48" t="str">
        <f t="shared" si="115"/>
        <v/>
      </c>
      <c r="BB55" s="48" t="str">
        <f t="shared" si="116"/>
        <v/>
      </c>
      <c r="BC55" s="84" t="str">
        <f t="shared" si="117"/>
        <v/>
      </c>
      <c r="BD55" s="82" t="str">
        <f t="shared" si="118"/>
        <v/>
      </c>
      <c r="BE55" s="48" t="str">
        <f t="shared" si="119"/>
        <v/>
      </c>
      <c r="BF55" s="48" t="str">
        <f t="shared" si="120"/>
        <v/>
      </c>
      <c r="BG55" s="84" t="str">
        <f t="shared" si="121"/>
        <v/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>
      <c r="B56" s="81" t="str">
        <f>Weekly!B48</f>
        <v>1257</v>
      </c>
      <c r="C56" s="90" t="str">
        <f>Weekly!C48</f>
        <v>Noreen</v>
      </c>
      <c r="D56" s="90">
        <f>Weekly!D73</f>
        <v>0</v>
      </c>
      <c r="E56" s="91" t="str">
        <f>VLOOKUP(B56,Team!$B$4:$E$183,4,FALSE)</f>
        <v>L's</v>
      </c>
      <c r="F56" s="92" t="str">
        <f>Weekly!P48</f>
        <v/>
      </c>
      <c r="G56" s="92" t="str">
        <f>Weekly!Q48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>
      <c r="B57" s="81" t="str">
        <f>Weekly!B49</f>
        <v>1287</v>
      </c>
      <c r="C57" s="90" t="str">
        <f>Weekly!C49</f>
        <v>Pearl</v>
      </c>
      <c r="D57" s="90">
        <f>Weekly!D74</f>
        <v>0</v>
      </c>
      <c r="E57" s="91" t="str">
        <f>VLOOKUP(B57,Team!$B$4:$E$183,4,FALSE)</f>
        <v>L's</v>
      </c>
      <c r="F57" s="92" t="str">
        <f>Weekly!P49</f>
        <v/>
      </c>
      <c r="G57" s="92" t="str">
        <f>Weekly!Q49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>
      <c r="B58" s="81" t="str">
        <f>Weekly!B50</f>
        <v>1232</v>
      </c>
      <c r="C58" s="90" t="str">
        <f>Weekly!C50</f>
        <v>Penny</v>
      </c>
      <c r="D58" s="90">
        <f>Weekly!D75</f>
        <v>0</v>
      </c>
      <c r="E58" s="91" t="str">
        <f>VLOOKUP(B58,Team!$B$4:$E$183,4,FALSE)</f>
        <v>L's</v>
      </c>
      <c r="F58" s="92" t="str">
        <f>Weekly!P50</f>
        <v/>
      </c>
      <c r="G58" s="92" t="str">
        <f>Weekly!Q50</f>
        <v/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/>
      </c>
      <c r="O58" s="84" t="str">
        <f t="shared" si="77"/>
        <v/>
      </c>
      <c r="P58" s="82" t="str">
        <f t="shared" si="78"/>
        <v/>
      </c>
      <c r="Q58" s="48" t="str">
        <f t="shared" si="79"/>
        <v/>
      </c>
      <c r="R58" s="48" t="str">
        <f t="shared" si="80"/>
        <v/>
      </c>
      <c r="S58" s="84" t="str">
        <f t="shared" si="81"/>
        <v/>
      </c>
      <c r="T58" s="82" t="str">
        <f t="shared" si="82"/>
        <v/>
      </c>
      <c r="U58" s="48" t="str">
        <f t="shared" si="83"/>
        <v/>
      </c>
      <c r="V58" s="48" t="str">
        <f t="shared" si="84"/>
        <v/>
      </c>
      <c r="W58" s="84" t="str">
        <f t="shared" si="85"/>
        <v/>
      </c>
      <c r="X58" s="82" t="str">
        <f t="shared" si="86"/>
        <v/>
      </c>
      <c r="Y58" s="48" t="str">
        <f t="shared" si="87"/>
        <v/>
      </c>
      <c r="Z58" s="48" t="str">
        <f t="shared" si="88"/>
        <v/>
      </c>
      <c r="AA58" s="84" t="str">
        <f t="shared" si="89"/>
        <v/>
      </c>
      <c r="AB58" s="82" t="str">
        <f t="shared" si="90"/>
        <v/>
      </c>
      <c r="AC58" s="48" t="str">
        <f t="shared" si="91"/>
        <v/>
      </c>
      <c r="AD58" s="48" t="str">
        <f t="shared" si="92"/>
        <v/>
      </c>
      <c r="AE58" s="84" t="str">
        <f t="shared" si="93"/>
        <v/>
      </c>
      <c r="AF58" s="82" t="str">
        <f t="shared" si="94"/>
        <v/>
      </c>
      <c r="AG58" s="48" t="str">
        <f t="shared" si="95"/>
        <v/>
      </c>
      <c r="AH58" s="48" t="str">
        <f t="shared" si="96"/>
        <v/>
      </c>
      <c r="AI58" s="84" t="str">
        <f t="shared" si="97"/>
        <v/>
      </c>
      <c r="AJ58" s="82" t="str">
        <f t="shared" si="98"/>
        <v/>
      </c>
      <c r="AK58" s="48" t="str">
        <f t="shared" si="99"/>
        <v/>
      </c>
      <c r="AL58" s="48" t="str">
        <f t="shared" si="100"/>
        <v/>
      </c>
      <c r="AM58" s="84" t="str">
        <f t="shared" si="101"/>
        <v/>
      </c>
      <c r="AN58" s="82" t="str">
        <f t="shared" si="102"/>
        <v/>
      </c>
      <c r="AO58" s="48" t="str">
        <f t="shared" si="103"/>
        <v/>
      </c>
      <c r="AP58" s="48" t="str">
        <f t="shared" si="104"/>
        <v/>
      </c>
      <c r="AQ58" s="84" t="str">
        <f t="shared" si="105"/>
        <v/>
      </c>
      <c r="AR58" s="82" t="str">
        <f t="shared" si="106"/>
        <v/>
      </c>
      <c r="AS58" s="48" t="str">
        <f t="shared" si="107"/>
        <v/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>
      <c r="B59" s="81" t="str">
        <f>Weekly!B51</f>
        <v>303</v>
      </c>
      <c r="C59" s="90" t="str">
        <f>Weekly!C51</f>
        <v>Rachel</v>
      </c>
      <c r="D59" s="90">
        <f>Weekly!D76</f>
        <v>0</v>
      </c>
      <c r="E59" s="91" t="str">
        <f>VLOOKUP(B59,Team!$B$4:$E$183,4,FALSE)</f>
        <v>ADM</v>
      </c>
      <c r="F59" s="92" t="str">
        <f>Weekly!P51</f>
        <v/>
      </c>
      <c r="G59" s="92" t="str">
        <f>Weekly!Q51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>
      <c r="B60" s="81" t="str">
        <f>Weekly!B52</f>
        <v>1142</v>
      </c>
      <c r="C60" s="90" t="str">
        <f>Weekly!C52</f>
        <v>Ralph</v>
      </c>
      <c r="D60" s="90">
        <f>Weekly!D77</f>
        <v>0</v>
      </c>
      <c r="E60" s="91" t="str">
        <f>VLOOKUP(B60,Team!$B$4:$E$183,4,FALSE)</f>
        <v>L's</v>
      </c>
      <c r="F60" s="92" t="str">
        <f>Weekly!P52</f>
        <v/>
      </c>
      <c r="G60" s="92" t="str">
        <f>Weekly!Q52</f>
        <v/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/>
      </c>
      <c r="O60" s="84" t="str">
        <f t="shared" si="77"/>
        <v/>
      </c>
      <c r="P60" s="82" t="str">
        <f t="shared" si="78"/>
        <v/>
      </c>
      <c r="Q60" s="48" t="str">
        <f t="shared" si="79"/>
        <v/>
      </c>
      <c r="R60" s="48" t="str">
        <f t="shared" si="80"/>
        <v/>
      </c>
      <c r="S60" s="84" t="str">
        <f t="shared" si="81"/>
        <v/>
      </c>
      <c r="T60" s="82" t="str">
        <f t="shared" si="82"/>
        <v/>
      </c>
      <c r="U60" s="48" t="str">
        <f t="shared" si="83"/>
        <v/>
      </c>
      <c r="V60" s="48" t="str">
        <f t="shared" si="84"/>
        <v/>
      </c>
      <c r="W60" s="84" t="str">
        <f t="shared" si="85"/>
        <v/>
      </c>
      <c r="X60" s="82" t="str">
        <f t="shared" si="86"/>
        <v/>
      </c>
      <c r="Y60" s="48" t="str">
        <f t="shared" si="87"/>
        <v/>
      </c>
      <c r="Z60" s="48" t="str">
        <f t="shared" si="88"/>
        <v/>
      </c>
      <c r="AA60" s="84" t="str">
        <f t="shared" si="89"/>
        <v/>
      </c>
      <c r="AB60" s="82" t="str">
        <f t="shared" si="90"/>
        <v/>
      </c>
      <c r="AC60" s="48" t="str">
        <f t="shared" si="91"/>
        <v/>
      </c>
      <c r="AD60" s="48" t="str">
        <f t="shared" si="92"/>
        <v/>
      </c>
      <c r="AE60" s="84" t="str">
        <f t="shared" si="93"/>
        <v/>
      </c>
      <c r="AF60" s="82" t="str">
        <f t="shared" si="94"/>
        <v/>
      </c>
      <c r="AG60" s="48" t="str">
        <f t="shared" si="95"/>
        <v/>
      </c>
      <c r="AH60" s="48" t="str">
        <f t="shared" si="96"/>
        <v/>
      </c>
      <c r="AI60" s="84" t="str">
        <f t="shared" si="97"/>
        <v/>
      </c>
      <c r="AJ60" s="82" t="str">
        <f t="shared" si="98"/>
        <v/>
      </c>
      <c r="AK60" s="48" t="str">
        <f t="shared" si="99"/>
        <v/>
      </c>
      <c r="AL60" s="48" t="str">
        <f t="shared" si="100"/>
        <v/>
      </c>
      <c r="AM60" s="84" t="str">
        <f t="shared" si="101"/>
        <v/>
      </c>
      <c r="AN60" s="82" t="str">
        <f t="shared" si="102"/>
        <v/>
      </c>
      <c r="AO60" s="48" t="str">
        <f t="shared" si="103"/>
        <v/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>
      <c r="B61" s="81" t="str">
        <f>Weekly!B53</f>
        <v>01528</v>
      </c>
      <c r="C61" s="90" t="str">
        <f>Weekly!C53</f>
        <v>Rena</v>
      </c>
      <c r="D61" s="90">
        <f>Weekly!D78</f>
        <v>0</v>
      </c>
      <c r="E61" s="91" t="str">
        <f>VLOOKUP(B61,Team!$B$4:$E$183,4,FALSE)</f>
        <v>L's</v>
      </c>
      <c r="F61" s="92" t="str">
        <f>Weekly!P53</f>
        <v/>
      </c>
      <c r="G61" s="92" t="str">
        <f>Weekly!Q53</f>
        <v/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/>
      </c>
      <c r="O61" s="84" t="str">
        <f t="shared" si="77"/>
        <v/>
      </c>
      <c r="P61" s="82" t="str">
        <f t="shared" si="78"/>
        <v/>
      </c>
      <c r="Q61" s="48" t="str">
        <f t="shared" si="79"/>
        <v/>
      </c>
      <c r="R61" s="48" t="str">
        <f t="shared" si="80"/>
        <v/>
      </c>
      <c r="S61" s="84" t="str">
        <f t="shared" si="81"/>
        <v/>
      </c>
      <c r="T61" s="82" t="str">
        <f t="shared" si="82"/>
        <v/>
      </c>
      <c r="U61" s="48" t="str">
        <f t="shared" si="83"/>
        <v/>
      </c>
      <c r="V61" s="48" t="str">
        <f t="shared" si="84"/>
        <v/>
      </c>
      <c r="W61" s="84" t="str">
        <f t="shared" si="85"/>
        <v/>
      </c>
      <c r="X61" s="82" t="str">
        <f t="shared" si="86"/>
        <v/>
      </c>
      <c r="Y61" s="48" t="str">
        <f t="shared" si="87"/>
        <v/>
      </c>
      <c r="Z61" s="48" t="str">
        <f t="shared" si="88"/>
        <v/>
      </c>
      <c r="AA61" s="84" t="str">
        <f t="shared" si="89"/>
        <v/>
      </c>
      <c r="AB61" s="82" t="str">
        <f t="shared" si="90"/>
        <v/>
      </c>
      <c r="AC61" s="48" t="str">
        <f t="shared" si="91"/>
        <v/>
      </c>
      <c r="AD61" s="48" t="str">
        <f t="shared" si="92"/>
        <v/>
      </c>
      <c r="AE61" s="84" t="str">
        <f t="shared" si="93"/>
        <v/>
      </c>
      <c r="AF61" s="82" t="str">
        <f t="shared" si="94"/>
        <v/>
      </c>
      <c r="AG61" s="48" t="str">
        <f t="shared" si="95"/>
        <v/>
      </c>
      <c r="AH61" s="48" t="str">
        <f t="shared" si="96"/>
        <v/>
      </c>
      <c r="AI61" s="84" t="str">
        <f t="shared" si="97"/>
        <v/>
      </c>
      <c r="AJ61" s="82" t="str">
        <f t="shared" si="98"/>
        <v/>
      </c>
      <c r="AK61" s="48" t="str">
        <f t="shared" si="99"/>
        <v/>
      </c>
      <c r="AL61" s="48" t="str">
        <f t="shared" si="100"/>
        <v/>
      </c>
      <c r="AM61" s="84" t="str">
        <f t="shared" si="101"/>
        <v/>
      </c>
      <c r="AN61" s="82" t="str">
        <f t="shared" si="102"/>
        <v/>
      </c>
      <c r="AO61" s="48" t="str">
        <f t="shared" si="103"/>
        <v/>
      </c>
      <c r="AP61" s="48" t="str">
        <f t="shared" si="104"/>
        <v/>
      </c>
      <c r="AQ61" s="84" t="str">
        <f t="shared" si="105"/>
        <v/>
      </c>
      <c r="AR61" s="82" t="str">
        <f t="shared" si="106"/>
        <v/>
      </c>
      <c r="AS61" s="48" t="str">
        <f t="shared" si="107"/>
        <v/>
      </c>
      <c r="AT61" s="48" t="str">
        <f t="shared" si="108"/>
        <v/>
      </c>
      <c r="AU61" s="84" t="str">
        <f t="shared" si="109"/>
        <v/>
      </c>
      <c r="AV61" s="82" t="str">
        <f t="shared" si="110"/>
        <v/>
      </c>
      <c r="AW61" s="48" t="str">
        <f t="shared" si="111"/>
        <v/>
      </c>
      <c r="AX61" s="48" t="str">
        <f t="shared" si="112"/>
        <v/>
      </c>
      <c r="AY61" s="84" t="str">
        <f t="shared" si="113"/>
        <v/>
      </c>
      <c r="AZ61" s="82" t="str">
        <f t="shared" si="114"/>
        <v/>
      </c>
      <c r="BA61" s="48" t="str">
        <f t="shared" si="115"/>
        <v/>
      </c>
      <c r="BB61" s="48" t="str">
        <f t="shared" si="116"/>
        <v/>
      </c>
      <c r="BC61" s="84" t="str">
        <f t="shared" si="117"/>
        <v/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>
      <c r="B62" s="81" t="str">
        <f>Weekly!B54</f>
        <v>1237</v>
      </c>
      <c r="C62" s="90" t="str">
        <f>Weekly!C54</f>
        <v>Rich</v>
      </c>
      <c r="D62" s="90">
        <f>Weekly!D79</f>
        <v>0</v>
      </c>
      <c r="E62" s="91" t="str">
        <f>VLOOKUP(B62,Team!$B$4:$E$183,4,FALSE)</f>
        <v>F</v>
      </c>
      <c r="F62" s="92">
        <f>Weekly!P54</f>
        <v>0.45833333333333298</v>
      </c>
      <c r="G62" s="92">
        <f>Weekly!Q54</f>
        <v>0.79166666666666596</v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/>
      </c>
      <c r="Q62" s="48" t="str">
        <f t="shared" si="79"/>
        <v/>
      </c>
      <c r="R62" s="48" t="str">
        <f t="shared" si="80"/>
        <v/>
      </c>
      <c r="S62" s="84" t="str">
        <f t="shared" si="81"/>
        <v/>
      </c>
      <c r="T62" s="82" t="str">
        <f t="shared" si="82"/>
        <v/>
      </c>
      <c r="U62" s="48" t="str">
        <f t="shared" si="83"/>
        <v/>
      </c>
      <c r="V62" s="48" t="str">
        <f t="shared" si="84"/>
        <v/>
      </c>
      <c r="W62" s="84" t="str">
        <f t="shared" si="85"/>
        <v/>
      </c>
      <c r="X62" s="82" t="str">
        <f t="shared" si="86"/>
        <v>F</v>
      </c>
      <c r="Y62" s="48" t="str">
        <f t="shared" si="87"/>
        <v>F</v>
      </c>
      <c r="Z62" s="48" t="str">
        <f t="shared" si="88"/>
        <v>F</v>
      </c>
      <c r="AA62" s="84" t="str">
        <f t="shared" si="89"/>
        <v>F</v>
      </c>
      <c r="AB62" s="82" t="str">
        <f t="shared" si="90"/>
        <v>F</v>
      </c>
      <c r="AC62" s="48" t="str">
        <f t="shared" si="91"/>
        <v>F</v>
      </c>
      <c r="AD62" s="48" t="str">
        <f t="shared" si="92"/>
        <v>F</v>
      </c>
      <c r="AE62" s="84" t="str">
        <f t="shared" si="93"/>
        <v>F</v>
      </c>
      <c r="AF62" s="82" t="str">
        <f t="shared" si="94"/>
        <v>F</v>
      </c>
      <c r="AG62" s="48" t="str">
        <f t="shared" si="95"/>
        <v>F</v>
      </c>
      <c r="AH62" s="48" t="str">
        <f t="shared" si="96"/>
        <v>F</v>
      </c>
      <c r="AI62" s="84" t="str">
        <f t="shared" si="97"/>
        <v>F</v>
      </c>
      <c r="AJ62" s="82" t="str">
        <f t="shared" si="98"/>
        <v>F</v>
      </c>
      <c r="AK62" s="48" t="str">
        <f t="shared" si="99"/>
        <v>F</v>
      </c>
      <c r="AL62" s="48" t="str">
        <f t="shared" si="100"/>
        <v>F</v>
      </c>
      <c r="AM62" s="84" t="str">
        <f t="shared" si="101"/>
        <v>F</v>
      </c>
      <c r="AN62" s="82" t="str">
        <f t="shared" si="102"/>
        <v>F</v>
      </c>
      <c r="AO62" s="48" t="str">
        <f t="shared" si="103"/>
        <v>F</v>
      </c>
      <c r="AP62" s="48" t="str">
        <f t="shared" si="104"/>
        <v>F</v>
      </c>
      <c r="AQ62" s="84" t="str">
        <f t="shared" si="105"/>
        <v>F</v>
      </c>
      <c r="AR62" s="82" t="str">
        <f t="shared" si="106"/>
        <v>F</v>
      </c>
      <c r="AS62" s="48" t="str">
        <f t="shared" si="107"/>
        <v>F</v>
      </c>
      <c r="AT62" s="48" t="str">
        <f t="shared" si="108"/>
        <v>F</v>
      </c>
      <c r="AU62" s="84" t="str">
        <f t="shared" si="109"/>
        <v>F</v>
      </c>
      <c r="AV62" s="82" t="str">
        <f t="shared" si="110"/>
        <v>F</v>
      </c>
      <c r="AW62" s="48" t="str">
        <f t="shared" si="111"/>
        <v>F</v>
      </c>
      <c r="AX62" s="48" t="str">
        <f t="shared" si="112"/>
        <v>F</v>
      </c>
      <c r="AY62" s="84" t="str">
        <f t="shared" si="113"/>
        <v>F</v>
      </c>
      <c r="AZ62" s="82" t="str">
        <f t="shared" si="114"/>
        <v>F</v>
      </c>
      <c r="BA62" s="48" t="str">
        <f t="shared" si="115"/>
        <v>F</v>
      </c>
      <c r="BB62" s="48" t="str">
        <f t="shared" si="116"/>
        <v>F</v>
      </c>
      <c r="BC62" s="84" t="str">
        <f t="shared" si="117"/>
        <v>F</v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>
      <c r="B63" s="81" t="str">
        <f>Weekly!B55</f>
        <v>1133</v>
      </c>
      <c r="C63" s="90" t="str">
        <f>Weekly!C55</f>
        <v>Sarah</v>
      </c>
      <c r="D63" s="90">
        <f>Weekly!D80</f>
        <v>0</v>
      </c>
      <c r="E63" s="91" t="str">
        <f>VLOOKUP(B63,Team!$B$4:$E$183,4,FALSE)</f>
        <v>L's</v>
      </c>
      <c r="F63" s="92" t="str">
        <f>Weekly!P55</f>
        <v/>
      </c>
      <c r="G63" s="92" t="str">
        <f>Weekly!Q55</f>
        <v/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/>
      </c>
      <c r="Q63" s="48" t="str">
        <f t="shared" si="79"/>
        <v/>
      </c>
      <c r="R63" s="48" t="str">
        <f t="shared" si="80"/>
        <v/>
      </c>
      <c r="S63" s="84" t="str">
        <f t="shared" si="81"/>
        <v/>
      </c>
      <c r="T63" s="82" t="str">
        <f t="shared" si="82"/>
        <v/>
      </c>
      <c r="U63" s="48" t="str">
        <f t="shared" si="83"/>
        <v/>
      </c>
      <c r="V63" s="48" t="str">
        <f t="shared" si="84"/>
        <v/>
      </c>
      <c r="W63" s="84" t="str">
        <f t="shared" si="85"/>
        <v/>
      </c>
      <c r="X63" s="82" t="str">
        <f t="shared" si="86"/>
        <v/>
      </c>
      <c r="Y63" s="48" t="str">
        <f t="shared" si="87"/>
        <v/>
      </c>
      <c r="Z63" s="48" t="str">
        <f t="shared" si="88"/>
        <v/>
      </c>
      <c r="AA63" s="84" t="str">
        <f t="shared" si="89"/>
        <v/>
      </c>
      <c r="AB63" s="82" t="str">
        <f t="shared" si="90"/>
        <v/>
      </c>
      <c r="AC63" s="48" t="str">
        <f t="shared" si="91"/>
        <v/>
      </c>
      <c r="AD63" s="48" t="str">
        <f t="shared" si="92"/>
        <v/>
      </c>
      <c r="AE63" s="84" t="str">
        <f t="shared" si="93"/>
        <v/>
      </c>
      <c r="AF63" s="82" t="str">
        <f t="shared" si="94"/>
        <v/>
      </c>
      <c r="AG63" s="48" t="str">
        <f t="shared" si="95"/>
        <v/>
      </c>
      <c r="AH63" s="48" t="str">
        <f t="shared" si="96"/>
        <v/>
      </c>
      <c r="AI63" s="84" t="str">
        <f t="shared" si="97"/>
        <v/>
      </c>
      <c r="AJ63" s="82" t="str">
        <f t="shared" si="98"/>
        <v/>
      </c>
      <c r="AK63" s="48" t="str">
        <f t="shared" si="99"/>
        <v/>
      </c>
      <c r="AL63" s="48" t="str">
        <f t="shared" si="100"/>
        <v/>
      </c>
      <c r="AM63" s="84" t="str">
        <f t="shared" si="101"/>
        <v/>
      </c>
      <c r="AN63" s="82" t="str">
        <f t="shared" si="102"/>
        <v/>
      </c>
      <c r="AO63" s="48" t="str">
        <f t="shared" si="103"/>
        <v/>
      </c>
      <c r="AP63" s="48" t="str">
        <f t="shared" si="104"/>
        <v/>
      </c>
      <c r="AQ63" s="84" t="str">
        <f t="shared" si="105"/>
        <v/>
      </c>
      <c r="AR63" s="82" t="str">
        <f t="shared" si="106"/>
        <v/>
      </c>
      <c r="AS63" s="48" t="str">
        <f t="shared" si="107"/>
        <v/>
      </c>
      <c r="AT63" s="48" t="str">
        <f t="shared" si="108"/>
        <v/>
      </c>
      <c r="AU63" s="84" t="str">
        <f t="shared" si="109"/>
        <v/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>
      <c r="B64" s="81" t="str">
        <f>Weekly!B56</f>
        <v>891</v>
      </c>
      <c r="C64" s="90" t="str">
        <f>Weekly!C56</f>
        <v>Sienna</v>
      </c>
      <c r="D64" s="90">
        <f>Weekly!D81</f>
        <v>0</v>
      </c>
      <c r="E64" s="91" t="str">
        <f>VLOOKUP(B64,Team!$B$4:$E$183,4,FALSE)</f>
        <v>Stat.</v>
      </c>
      <c r="F64" s="92">
        <f>Weekly!P56</f>
        <v>0.58333333333333304</v>
      </c>
      <c r="G64" s="92">
        <f>Weekly!Q56</f>
        <v>0.91666666666666596</v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/>
      </c>
      <c r="Y64" s="48" t="str">
        <f t="shared" si="87"/>
        <v/>
      </c>
      <c r="Z64" s="48" t="str">
        <f t="shared" si="88"/>
        <v/>
      </c>
      <c r="AA64" s="84" t="str">
        <f t="shared" si="89"/>
        <v/>
      </c>
      <c r="AB64" s="82" t="str">
        <f t="shared" si="90"/>
        <v/>
      </c>
      <c r="AC64" s="48" t="str">
        <f t="shared" si="91"/>
        <v/>
      </c>
      <c r="AD64" s="48" t="str">
        <f t="shared" si="92"/>
        <v/>
      </c>
      <c r="AE64" s="84" t="str">
        <f t="shared" si="93"/>
        <v/>
      </c>
      <c r="AF64" s="82" t="str">
        <f t="shared" si="94"/>
        <v/>
      </c>
      <c r="AG64" s="48" t="str">
        <f t="shared" si="95"/>
        <v/>
      </c>
      <c r="AH64" s="48" t="str">
        <f t="shared" si="96"/>
        <v/>
      </c>
      <c r="AI64" s="84" t="str">
        <f t="shared" si="97"/>
        <v/>
      </c>
      <c r="AJ64" s="82" t="str">
        <f t="shared" si="98"/>
        <v>Stat.</v>
      </c>
      <c r="AK64" s="48" t="str">
        <f t="shared" si="99"/>
        <v>Stat.</v>
      </c>
      <c r="AL64" s="48" t="str">
        <f t="shared" si="100"/>
        <v>Stat.</v>
      </c>
      <c r="AM64" s="84" t="str">
        <f t="shared" si="101"/>
        <v>Stat.</v>
      </c>
      <c r="AN64" s="82" t="str">
        <f t="shared" si="102"/>
        <v>Stat.</v>
      </c>
      <c r="AO64" s="48" t="str">
        <f t="shared" si="103"/>
        <v>Stat.</v>
      </c>
      <c r="AP64" s="48" t="str">
        <f t="shared" si="104"/>
        <v>Stat.</v>
      </c>
      <c r="AQ64" s="84" t="str">
        <f t="shared" si="105"/>
        <v>Stat.</v>
      </c>
      <c r="AR64" s="82" t="str">
        <f t="shared" si="106"/>
        <v>Stat.</v>
      </c>
      <c r="AS64" s="48" t="str">
        <f t="shared" si="107"/>
        <v>Stat.</v>
      </c>
      <c r="AT64" s="48" t="str">
        <f t="shared" si="108"/>
        <v>Stat.</v>
      </c>
      <c r="AU64" s="84" t="str">
        <f t="shared" si="109"/>
        <v>Stat.</v>
      </c>
      <c r="AV64" s="82" t="str">
        <f t="shared" si="110"/>
        <v>Stat.</v>
      </c>
      <c r="AW64" s="48" t="str">
        <f t="shared" si="111"/>
        <v>Stat.</v>
      </c>
      <c r="AX64" s="48" t="str">
        <f t="shared" si="112"/>
        <v>Stat.</v>
      </c>
      <c r="AY64" s="84" t="str">
        <f t="shared" si="113"/>
        <v>Stat.</v>
      </c>
      <c r="AZ64" s="82" t="str">
        <f t="shared" si="114"/>
        <v>Stat.</v>
      </c>
      <c r="BA64" s="48" t="str">
        <f t="shared" si="115"/>
        <v>Stat.</v>
      </c>
      <c r="BB64" s="48" t="str">
        <f t="shared" si="116"/>
        <v>Stat.</v>
      </c>
      <c r="BC64" s="84" t="str">
        <f t="shared" si="117"/>
        <v>Stat.</v>
      </c>
      <c r="BD64" s="82" t="str">
        <f t="shared" si="118"/>
        <v>Stat.</v>
      </c>
      <c r="BE64" s="48" t="str">
        <f t="shared" si="119"/>
        <v>Stat.</v>
      </c>
      <c r="BF64" s="48" t="str">
        <f t="shared" si="120"/>
        <v>Stat.</v>
      </c>
      <c r="BG64" s="84" t="str">
        <f t="shared" si="121"/>
        <v>Stat.</v>
      </c>
      <c r="BH64" s="87" t="str">
        <f t="shared" si="122"/>
        <v>Stat.</v>
      </c>
      <c r="BI64" s="49" t="str">
        <f t="shared" si="123"/>
        <v>Stat.</v>
      </c>
      <c r="BJ64" s="49" t="str">
        <f t="shared" si="124"/>
        <v>Stat.</v>
      </c>
      <c r="BK64" s="89" t="str">
        <f t="shared" si="125"/>
        <v>Stat.</v>
      </c>
      <c r="BL64" s="87" t="str">
        <f t="shared" si="126"/>
        <v>Stat.</v>
      </c>
      <c r="BM64" s="49" t="str">
        <f t="shared" si="127"/>
        <v>Stat.</v>
      </c>
      <c r="BN64" s="49" t="str">
        <f t="shared" si="128"/>
        <v>Stat.</v>
      </c>
      <c r="BO64" s="89" t="str">
        <f t="shared" si="129"/>
        <v>Stat.</v>
      </c>
      <c r="BP64" s="87" t="str">
        <f t="shared" si="130"/>
        <v>Stat.</v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>
      <c r="B65" s="81" t="str">
        <f>Weekly!B57</f>
        <v>1108</v>
      </c>
      <c r="C65" s="90" t="str">
        <f>Weekly!C57</f>
        <v>Tara</v>
      </c>
      <c r="D65" s="90">
        <f>Weekly!D82</f>
        <v>0</v>
      </c>
      <c r="E65" s="91" t="str">
        <f>VLOOKUP(B65,Team!$B$4:$E$183,4,FALSE)</f>
        <v>ASM</v>
      </c>
      <c r="F65" s="92">
        <f>Weekly!P57</f>
        <v>0.499999999999999</v>
      </c>
      <c r="G65" s="92">
        <f>Weekly!Q57</f>
        <v>0.83333333333333204</v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/>
      </c>
      <c r="Q65" s="48" t="str">
        <f t="shared" si="79"/>
        <v/>
      </c>
      <c r="R65" s="48" t="str">
        <f t="shared" si="80"/>
        <v/>
      </c>
      <c r="S65" s="84" t="str">
        <f t="shared" si="81"/>
        <v/>
      </c>
      <c r="T65" s="82" t="str">
        <f t="shared" si="82"/>
        <v/>
      </c>
      <c r="U65" s="48" t="str">
        <f t="shared" si="83"/>
        <v/>
      </c>
      <c r="V65" s="48" t="str">
        <f t="shared" si="84"/>
        <v/>
      </c>
      <c r="W65" s="84" t="str">
        <f t="shared" si="85"/>
        <v/>
      </c>
      <c r="X65" s="82" t="str">
        <f t="shared" si="86"/>
        <v/>
      </c>
      <c r="Y65" s="48" t="str">
        <f t="shared" si="87"/>
        <v/>
      </c>
      <c r="Z65" s="48" t="str">
        <f t="shared" si="88"/>
        <v/>
      </c>
      <c r="AA65" s="84" t="str">
        <f t="shared" si="89"/>
        <v/>
      </c>
      <c r="AB65" s="82" t="str">
        <f t="shared" si="90"/>
        <v>ASM</v>
      </c>
      <c r="AC65" s="48" t="str">
        <f t="shared" si="91"/>
        <v>ASM</v>
      </c>
      <c r="AD65" s="48" t="str">
        <f t="shared" si="92"/>
        <v>ASM</v>
      </c>
      <c r="AE65" s="84" t="str">
        <f t="shared" si="93"/>
        <v>ASM</v>
      </c>
      <c r="AF65" s="82" t="str">
        <f t="shared" si="94"/>
        <v>ASM</v>
      </c>
      <c r="AG65" s="48" t="str">
        <f t="shared" si="95"/>
        <v>ASM</v>
      </c>
      <c r="AH65" s="48" t="str">
        <f t="shared" si="96"/>
        <v>ASM</v>
      </c>
      <c r="AI65" s="84" t="str">
        <f t="shared" si="97"/>
        <v>ASM</v>
      </c>
      <c r="AJ65" s="82" t="str">
        <f t="shared" si="98"/>
        <v>ASM</v>
      </c>
      <c r="AK65" s="48" t="str">
        <f t="shared" si="99"/>
        <v>ASM</v>
      </c>
      <c r="AL65" s="48" t="str">
        <f t="shared" si="100"/>
        <v>ASM</v>
      </c>
      <c r="AM65" s="84" t="str">
        <f t="shared" si="101"/>
        <v>ASM</v>
      </c>
      <c r="AN65" s="82" t="str">
        <f t="shared" si="102"/>
        <v>ASM</v>
      </c>
      <c r="AO65" s="48" t="str">
        <f t="shared" si="103"/>
        <v>ASM</v>
      </c>
      <c r="AP65" s="48" t="str">
        <f t="shared" si="104"/>
        <v>ASM</v>
      </c>
      <c r="AQ65" s="84" t="str">
        <f t="shared" si="105"/>
        <v>ASM</v>
      </c>
      <c r="AR65" s="82" t="str">
        <f t="shared" si="106"/>
        <v>ASM</v>
      </c>
      <c r="AS65" s="48" t="str">
        <f t="shared" si="107"/>
        <v>ASM</v>
      </c>
      <c r="AT65" s="48" t="str">
        <f t="shared" si="108"/>
        <v>ASM</v>
      </c>
      <c r="AU65" s="84" t="str">
        <f t="shared" si="109"/>
        <v>ASM</v>
      </c>
      <c r="AV65" s="82" t="str">
        <f t="shared" si="110"/>
        <v>ASM</v>
      </c>
      <c r="AW65" s="48" t="str">
        <f t="shared" si="111"/>
        <v>ASM</v>
      </c>
      <c r="AX65" s="48" t="str">
        <f t="shared" si="112"/>
        <v>ASM</v>
      </c>
      <c r="AY65" s="84" t="str">
        <f t="shared" si="113"/>
        <v>ASM</v>
      </c>
      <c r="AZ65" s="82" t="str">
        <f t="shared" si="114"/>
        <v>ASM</v>
      </c>
      <c r="BA65" s="48" t="str">
        <f t="shared" si="115"/>
        <v>ASM</v>
      </c>
      <c r="BB65" s="48" t="str">
        <f t="shared" si="116"/>
        <v>ASM</v>
      </c>
      <c r="BC65" s="84" t="str">
        <f t="shared" si="117"/>
        <v>ASM</v>
      </c>
      <c r="BD65" s="82" t="str">
        <f t="shared" si="118"/>
        <v>ASM</v>
      </c>
      <c r="BE65" s="48" t="str">
        <f t="shared" si="119"/>
        <v>ASM</v>
      </c>
      <c r="BF65" s="48" t="str">
        <f t="shared" si="120"/>
        <v>ASM</v>
      </c>
      <c r="BG65" s="84" t="str">
        <f t="shared" si="121"/>
        <v>ASM</v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>
      <c r="B66" s="81" t="str">
        <f>Weekly!B58</f>
        <v>01521</v>
      </c>
      <c r="C66" s="90" t="str">
        <f>Weekly!C58</f>
        <v>Tom</v>
      </c>
      <c r="D66" s="90">
        <f>Weekly!D83</f>
        <v>0</v>
      </c>
      <c r="E66" s="91" t="str">
        <f>VLOOKUP(B66,Team!$B$4:$E$183,4,FALSE)</f>
        <v>M's</v>
      </c>
      <c r="F66" s="92" t="str">
        <f>Weekly!P58</f>
        <v/>
      </c>
      <c r="G66" s="92" t="str">
        <f>Weekly!Q58</f>
        <v/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/>
      </c>
      <c r="Q66" s="48" t="str">
        <f t="shared" si="79"/>
        <v/>
      </c>
      <c r="R66" s="48" t="str">
        <f t="shared" si="80"/>
        <v/>
      </c>
      <c r="S66" s="84" t="str">
        <f t="shared" si="81"/>
        <v/>
      </c>
      <c r="T66" s="82" t="str">
        <f t="shared" si="82"/>
        <v/>
      </c>
      <c r="U66" s="48" t="str">
        <f t="shared" si="83"/>
        <v/>
      </c>
      <c r="V66" s="48" t="str">
        <f t="shared" si="84"/>
        <v/>
      </c>
      <c r="W66" s="84" t="str">
        <f t="shared" si="85"/>
        <v/>
      </c>
      <c r="X66" s="82" t="str">
        <f t="shared" si="86"/>
        <v/>
      </c>
      <c r="Y66" s="48" t="str">
        <f t="shared" si="87"/>
        <v/>
      </c>
      <c r="Z66" s="48" t="str">
        <f t="shared" si="88"/>
        <v/>
      </c>
      <c r="AA66" s="84" t="str">
        <f t="shared" si="89"/>
        <v/>
      </c>
      <c r="AB66" s="82" t="str">
        <f t="shared" si="90"/>
        <v/>
      </c>
      <c r="AC66" s="48" t="str">
        <f t="shared" si="91"/>
        <v/>
      </c>
      <c r="AD66" s="48" t="str">
        <f t="shared" si="92"/>
        <v/>
      </c>
      <c r="AE66" s="84" t="str">
        <f t="shared" si="93"/>
        <v/>
      </c>
      <c r="AF66" s="82" t="str">
        <f t="shared" si="94"/>
        <v/>
      </c>
      <c r="AG66" s="48" t="str">
        <f t="shared" si="95"/>
        <v/>
      </c>
      <c r="AH66" s="48" t="str">
        <f t="shared" si="96"/>
        <v/>
      </c>
      <c r="AI66" s="84" t="str">
        <f t="shared" si="97"/>
        <v/>
      </c>
      <c r="AJ66" s="82" t="str">
        <f t="shared" si="98"/>
        <v/>
      </c>
      <c r="AK66" s="48" t="str">
        <f t="shared" si="99"/>
        <v/>
      </c>
      <c r="AL66" s="48" t="str">
        <f t="shared" si="100"/>
        <v/>
      </c>
      <c r="AM66" s="84" t="str">
        <f t="shared" si="101"/>
        <v/>
      </c>
      <c r="AN66" s="82" t="str">
        <f t="shared" si="102"/>
        <v/>
      </c>
      <c r="AO66" s="48" t="str">
        <f t="shared" si="103"/>
        <v/>
      </c>
      <c r="AP66" s="48" t="str">
        <f t="shared" si="104"/>
        <v/>
      </c>
      <c r="AQ66" s="84" t="str">
        <f t="shared" si="105"/>
        <v/>
      </c>
      <c r="AR66" s="82" t="str">
        <f t="shared" si="106"/>
        <v/>
      </c>
      <c r="AS66" s="48" t="str">
        <f t="shared" si="107"/>
        <v/>
      </c>
      <c r="AT66" s="48" t="str">
        <f t="shared" si="108"/>
        <v/>
      </c>
      <c r="AU66" s="84" t="str">
        <f t="shared" si="109"/>
        <v/>
      </c>
      <c r="AV66" s="82" t="str">
        <f t="shared" si="110"/>
        <v/>
      </c>
      <c r="AW66" s="48" t="str">
        <f t="shared" si="111"/>
        <v/>
      </c>
      <c r="AX66" s="48" t="str">
        <f t="shared" si="112"/>
        <v/>
      </c>
      <c r="AY66" s="84" t="str">
        <f t="shared" si="113"/>
        <v/>
      </c>
      <c r="AZ66" s="82" t="str">
        <f t="shared" si="114"/>
        <v/>
      </c>
      <c r="BA66" s="48" t="str">
        <f t="shared" si="115"/>
        <v/>
      </c>
      <c r="BB66" s="48" t="str">
        <f t="shared" si="116"/>
        <v/>
      </c>
      <c r="BC66" s="84" t="str">
        <f t="shared" si="117"/>
        <v/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>
      <c r="B67" s="81" t="str">
        <f>Weekly!B59</f>
        <v>1062</v>
      </c>
      <c r="C67" s="90" t="str">
        <f>Weekly!C59</f>
        <v>Tomoko</v>
      </c>
      <c r="D67" s="90">
        <f>Weekly!D84</f>
        <v>0</v>
      </c>
      <c r="E67" s="91" t="str">
        <f>VLOOKUP(B67,Team!$B$4:$E$183,4,FALSE)</f>
        <v>L's</v>
      </c>
      <c r="F67" s="92" t="str">
        <f>Weekly!P59</f>
        <v/>
      </c>
      <c r="G67" s="92" t="str">
        <f>Weekly!Q59</f>
        <v/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/>
      </c>
      <c r="AC67" s="48" t="str">
        <f t="shared" si="91"/>
        <v/>
      </c>
      <c r="AD67" s="48" t="str">
        <f t="shared" si="92"/>
        <v/>
      </c>
      <c r="AE67" s="84" t="str">
        <f t="shared" si="93"/>
        <v/>
      </c>
      <c r="AF67" s="82" t="str">
        <f t="shared" si="94"/>
        <v/>
      </c>
      <c r="AG67" s="48" t="str">
        <f t="shared" si="95"/>
        <v/>
      </c>
      <c r="AH67" s="48" t="str">
        <f t="shared" si="96"/>
        <v/>
      </c>
      <c r="AI67" s="84" t="str">
        <f t="shared" si="97"/>
        <v/>
      </c>
      <c r="AJ67" s="82" t="str">
        <f t="shared" si="98"/>
        <v/>
      </c>
      <c r="AK67" s="48" t="str">
        <f t="shared" si="99"/>
        <v/>
      </c>
      <c r="AL67" s="48" t="str">
        <f t="shared" si="100"/>
        <v/>
      </c>
      <c r="AM67" s="84" t="str">
        <f t="shared" si="101"/>
        <v/>
      </c>
      <c r="AN67" s="82" t="str">
        <f t="shared" si="102"/>
        <v/>
      </c>
      <c r="AO67" s="48" t="str">
        <f t="shared" si="103"/>
        <v/>
      </c>
      <c r="AP67" s="48" t="str">
        <f t="shared" si="104"/>
        <v/>
      </c>
      <c r="AQ67" s="84" t="str">
        <f t="shared" si="105"/>
        <v/>
      </c>
      <c r="AR67" s="82" t="str">
        <f t="shared" si="106"/>
        <v/>
      </c>
      <c r="AS67" s="48" t="str">
        <f t="shared" si="107"/>
        <v/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>
      <c r="B68" s="81" t="str">
        <f>Weekly!B60</f>
        <v>1149</v>
      </c>
      <c r="C68" s="90" t="str">
        <f>Weekly!C60</f>
        <v>Vera</v>
      </c>
      <c r="D68" s="90">
        <f>Weekly!D85</f>
        <v>0</v>
      </c>
      <c r="E68" s="91" t="str">
        <f>VLOOKUP(B68,Team!$B$4:$E$183,4,FALSE)</f>
        <v>L's</v>
      </c>
      <c r="F68" s="92" t="str">
        <f>Weekly!P60</f>
        <v/>
      </c>
      <c r="G68" s="92" t="str">
        <f>Weekly!Q60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>
      <c r="B69" s="81" t="str">
        <f>Weekly!B61</f>
        <v>1160</v>
      </c>
      <c r="C69" s="90" t="str">
        <f>Weekly!C61</f>
        <v>Yura</v>
      </c>
      <c r="D69" s="90">
        <f>Weekly!D86</f>
        <v>0</v>
      </c>
      <c r="E69" s="91" t="str">
        <f>VLOOKUP(B69,Team!$B$4:$E$183,4,FALSE)</f>
        <v>SPV</v>
      </c>
      <c r="F69" s="92">
        <f>Weekly!P61</f>
        <v>0.35416666666666602</v>
      </c>
      <c r="G69" s="92">
        <f>Weekly!Q61</f>
        <v>0.687499999999999</v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>SPV</v>
      </c>
      <c r="O69" s="84" t="str">
        <f t="shared" si="77"/>
        <v>SPV</v>
      </c>
      <c r="P69" s="82" t="str">
        <f t="shared" si="78"/>
        <v>SPV</v>
      </c>
      <c r="Q69" s="48" t="str">
        <f t="shared" si="79"/>
        <v>SPV</v>
      </c>
      <c r="R69" s="48" t="str">
        <f t="shared" si="80"/>
        <v>SPV</v>
      </c>
      <c r="S69" s="84" t="str">
        <f t="shared" si="81"/>
        <v>SPV</v>
      </c>
      <c r="T69" s="82" t="str">
        <f t="shared" si="82"/>
        <v>SPV</v>
      </c>
      <c r="U69" s="48" t="str">
        <f t="shared" si="83"/>
        <v>SPV</v>
      </c>
      <c r="V69" s="48" t="str">
        <f t="shared" si="84"/>
        <v>SPV</v>
      </c>
      <c r="W69" s="84" t="str">
        <f t="shared" si="85"/>
        <v>SPV</v>
      </c>
      <c r="X69" s="82" t="str">
        <f t="shared" si="86"/>
        <v>SPV</v>
      </c>
      <c r="Y69" s="48" t="str">
        <f t="shared" si="87"/>
        <v>SPV</v>
      </c>
      <c r="Z69" s="48" t="str">
        <f t="shared" si="88"/>
        <v>SPV</v>
      </c>
      <c r="AA69" s="84" t="str">
        <f t="shared" si="89"/>
        <v>SPV</v>
      </c>
      <c r="AB69" s="82" t="str">
        <f t="shared" si="90"/>
        <v>SPV</v>
      </c>
      <c r="AC69" s="48" t="str">
        <f t="shared" si="91"/>
        <v>SPV</v>
      </c>
      <c r="AD69" s="48" t="str">
        <f t="shared" si="92"/>
        <v>SPV</v>
      </c>
      <c r="AE69" s="84" t="str">
        <f t="shared" si="93"/>
        <v>SPV</v>
      </c>
      <c r="AF69" s="82" t="str">
        <f t="shared" si="94"/>
        <v>SPV</v>
      </c>
      <c r="AG69" s="48" t="str">
        <f t="shared" si="95"/>
        <v>SPV</v>
      </c>
      <c r="AH69" s="48" t="str">
        <f t="shared" si="96"/>
        <v>SPV</v>
      </c>
      <c r="AI69" s="84" t="str">
        <f t="shared" si="97"/>
        <v>SPV</v>
      </c>
      <c r="AJ69" s="82" t="str">
        <f t="shared" si="98"/>
        <v>SPV</v>
      </c>
      <c r="AK69" s="48" t="str">
        <f t="shared" si="99"/>
        <v>SPV</v>
      </c>
      <c r="AL69" s="48" t="str">
        <f t="shared" si="100"/>
        <v>SPV</v>
      </c>
      <c r="AM69" s="84" t="str">
        <f t="shared" si="101"/>
        <v>SPV</v>
      </c>
      <c r="AN69" s="82" t="str">
        <f t="shared" si="102"/>
        <v>SPV</v>
      </c>
      <c r="AO69" s="48" t="str">
        <f t="shared" si="103"/>
        <v>SPV</v>
      </c>
      <c r="AP69" s="48" t="str">
        <f t="shared" si="104"/>
        <v>SPV</v>
      </c>
      <c r="AQ69" s="84" t="str">
        <f t="shared" si="105"/>
        <v>SPV</v>
      </c>
      <c r="AR69" s="82" t="str">
        <f t="shared" si="106"/>
        <v>SPV</v>
      </c>
      <c r="AS69" s="48" t="str">
        <f t="shared" si="107"/>
        <v>SPV</v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>
      <c r="B70" s="81">
        <f>Weekly!B62</f>
        <v>0</v>
      </c>
      <c r="C70" s="90">
        <f>Weekly!C62</f>
        <v>0</v>
      </c>
      <c r="D70" s="90">
        <f>Weekly!D87</f>
        <v>0</v>
      </c>
      <c r="E70" s="91" t="e">
        <f>VLOOKUP(B70,Team!$B$4:$E$183,4,FALSE)</f>
        <v>#N/A</v>
      </c>
      <c r="F70" s="92" t="str">
        <f>Weekly!P62</f>
        <v/>
      </c>
      <c r="G70" s="92" t="str">
        <f>Weekly!Q62</f>
        <v/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/>
      </c>
      <c r="O70" s="84" t="str">
        <f t="shared" si="77"/>
        <v/>
      </c>
      <c r="P70" s="82" t="str">
        <f t="shared" si="78"/>
        <v/>
      </c>
      <c r="Q70" s="48" t="str">
        <f t="shared" si="79"/>
        <v/>
      </c>
      <c r="R70" s="48" t="str">
        <f t="shared" si="80"/>
        <v/>
      </c>
      <c r="S70" s="84" t="str">
        <f t="shared" si="81"/>
        <v/>
      </c>
      <c r="T70" s="82" t="str">
        <f t="shared" si="82"/>
        <v/>
      </c>
      <c r="U70" s="48" t="str">
        <f t="shared" si="83"/>
        <v/>
      </c>
      <c r="V70" s="48" t="str">
        <f t="shared" si="84"/>
        <v/>
      </c>
      <c r="W70" s="84" t="str">
        <f t="shared" si="85"/>
        <v/>
      </c>
      <c r="X70" s="82" t="str">
        <f t="shared" si="86"/>
        <v/>
      </c>
      <c r="Y70" s="48" t="str">
        <f t="shared" si="87"/>
        <v/>
      </c>
      <c r="Z70" s="48" t="str">
        <f t="shared" si="88"/>
        <v/>
      </c>
      <c r="AA70" s="84" t="str">
        <f t="shared" si="89"/>
        <v/>
      </c>
      <c r="AB70" s="82" t="str">
        <f t="shared" si="90"/>
        <v/>
      </c>
      <c r="AC70" s="48" t="str">
        <f t="shared" si="91"/>
        <v/>
      </c>
      <c r="AD70" s="48" t="str">
        <f t="shared" si="92"/>
        <v/>
      </c>
      <c r="AE70" s="84" t="str">
        <f t="shared" si="93"/>
        <v/>
      </c>
      <c r="AF70" s="82" t="str">
        <f t="shared" si="94"/>
        <v/>
      </c>
      <c r="AG70" s="48" t="str">
        <f t="shared" si="95"/>
        <v/>
      </c>
      <c r="AH70" s="48" t="str">
        <f t="shared" si="96"/>
        <v/>
      </c>
      <c r="AI70" s="84" t="str">
        <f t="shared" si="97"/>
        <v/>
      </c>
      <c r="AJ70" s="82" t="str">
        <f t="shared" si="98"/>
        <v/>
      </c>
      <c r="AK70" s="48" t="str">
        <f t="shared" si="99"/>
        <v/>
      </c>
      <c r="AL70" s="48" t="str">
        <f t="shared" si="100"/>
        <v/>
      </c>
      <c r="AM70" s="84" t="str">
        <f t="shared" si="101"/>
        <v/>
      </c>
      <c r="AN70" s="82" t="str">
        <f t="shared" si="102"/>
        <v/>
      </c>
      <c r="AO70" s="48" t="str">
        <f t="shared" si="103"/>
        <v/>
      </c>
      <c r="AP70" s="48" t="str">
        <f t="shared" si="104"/>
        <v/>
      </c>
      <c r="AQ70" s="84" t="str">
        <f t="shared" si="105"/>
        <v/>
      </c>
      <c r="AR70" s="82" t="str">
        <f t="shared" si="106"/>
        <v/>
      </c>
      <c r="AS70" s="48" t="str">
        <f t="shared" si="107"/>
        <v/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>
      <c r="B71" s="81">
        <f>Weekly!B63</f>
        <v>0</v>
      </c>
      <c r="C71" s="90">
        <f>Weekly!C63</f>
        <v>0</v>
      </c>
      <c r="D71" s="90">
        <f>Weekly!D88</f>
        <v>0</v>
      </c>
      <c r="E71" s="91" t="e">
        <f>VLOOKUP(B71,Team!$B$4:$E$183,4,FALSE)</f>
        <v>#N/A</v>
      </c>
      <c r="F71" s="92" t="str">
        <f>Weekly!P63</f>
        <v/>
      </c>
      <c r="G71" s="92" t="str">
        <f>Weekly!Q63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>
      <c r="B72" s="81">
        <f>Weekly!B64</f>
        <v>0</v>
      </c>
      <c r="C72" s="90">
        <f>Weekly!C64</f>
        <v>0</v>
      </c>
      <c r="D72" s="90">
        <f>Weekly!D89</f>
        <v>0</v>
      </c>
      <c r="E72" s="91" t="e">
        <f>VLOOKUP(B72,Team!$B$4:$E$183,4,FALSE)</f>
        <v>#N/A</v>
      </c>
      <c r="F72" s="92" t="str">
        <f>Weekly!P64</f>
        <v/>
      </c>
      <c r="G72" s="92" t="str">
        <f>Weekly!Q64</f>
        <v/>
      </c>
      <c r="H72" s="48" t="str">
        <f t="shared" si="70"/>
        <v/>
      </c>
      <c r="I72" s="48" t="str">
        <f t="shared" si="71"/>
        <v/>
      </c>
      <c r="J72" s="48" t="str">
        <f t="shared" si="72"/>
        <v/>
      </c>
      <c r="K72" s="84" t="str">
        <f t="shared" si="73"/>
        <v/>
      </c>
      <c r="L72" s="82" t="str">
        <f t="shared" si="74"/>
        <v/>
      </c>
      <c r="M72" s="48" t="str">
        <f t="shared" si="75"/>
        <v/>
      </c>
      <c r="N72" s="48" t="str">
        <f t="shared" si="76"/>
        <v/>
      </c>
      <c r="O72" s="84" t="str">
        <f t="shared" si="77"/>
        <v/>
      </c>
      <c r="P72" s="82" t="str">
        <f t="shared" si="78"/>
        <v/>
      </c>
      <c r="Q72" s="48" t="str">
        <f t="shared" si="79"/>
        <v/>
      </c>
      <c r="R72" s="48" t="str">
        <f t="shared" si="80"/>
        <v/>
      </c>
      <c r="S72" s="84" t="str">
        <f t="shared" si="81"/>
        <v/>
      </c>
      <c r="T72" s="82" t="str">
        <f t="shared" si="82"/>
        <v/>
      </c>
      <c r="U72" s="48" t="str">
        <f t="shared" si="83"/>
        <v/>
      </c>
      <c r="V72" s="48" t="str">
        <f t="shared" si="84"/>
        <v/>
      </c>
      <c r="W72" s="84" t="str">
        <f t="shared" si="85"/>
        <v/>
      </c>
      <c r="X72" s="82" t="str">
        <f t="shared" si="86"/>
        <v/>
      </c>
      <c r="Y72" s="48" t="str">
        <f t="shared" si="87"/>
        <v/>
      </c>
      <c r="Z72" s="48" t="str">
        <f t="shared" si="88"/>
        <v/>
      </c>
      <c r="AA72" s="84" t="str">
        <f t="shared" si="89"/>
        <v/>
      </c>
      <c r="AB72" s="82" t="str">
        <f t="shared" si="90"/>
        <v/>
      </c>
      <c r="AC72" s="48" t="str">
        <f t="shared" si="91"/>
        <v/>
      </c>
      <c r="AD72" s="48" t="str">
        <f t="shared" si="92"/>
        <v/>
      </c>
      <c r="AE72" s="84" t="str">
        <f t="shared" si="93"/>
        <v/>
      </c>
      <c r="AF72" s="82" t="str">
        <f t="shared" si="94"/>
        <v/>
      </c>
      <c r="AG72" s="48" t="str">
        <f t="shared" si="95"/>
        <v/>
      </c>
      <c r="AH72" s="48" t="str">
        <f t="shared" si="96"/>
        <v/>
      </c>
      <c r="AI72" s="84" t="str">
        <f t="shared" si="97"/>
        <v/>
      </c>
      <c r="AJ72" s="82" t="str">
        <f t="shared" si="98"/>
        <v/>
      </c>
      <c r="AK72" s="48" t="str">
        <f t="shared" si="99"/>
        <v/>
      </c>
      <c r="AL72" s="48" t="str">
        <f t="shared" si="100"/>
        <v/>
      </c>
      <c r="AM72" s="84" t="str">
        <f t="shared" si="101"/>
        <v/>
      </c>
      <c r="AN72" s="82" t="str">
        <f t="shared" si="102"/>
        <v/>
      </c>
      <c r="AO72" s="48" t="str">
        <f t="shared" si="103"/>
        <v/>
      </c>
      <c r="AP72" s="48" t="str">
        <f t="shared" si="104"/>
        <v/>
      </c>
      <c r="AQ72" s="84" t="str">
        <f t="shared" si="105"/>
        <v/>
      </c>
      <c r="AR72" s="82" t="str">
        <f t="shared" si="106"/>
        <v/>
      </c>
      <c r="AS72" s="48" t="str">
        <f t="shared" si="107"/>
        <v/>
      </c>
      <c r="AT72" s="48" t="str">
        <f t="shared" si="108"/>
        <v/>
      </c>
      <c r="AU72" s="84" t="str">
        <f t="shared" si="109"/>
        <v/>
      </c>
      <c r="AV72" s="82" t="str">
        <f t="shared" si="110"/>
        <v/>
      </c>
      <c r="AW72" s="48" t="str">
        <f t="shared" si="111"/>
        <v/>
      </c>
      <c r="AX72" s="48" t="str">
        <f t="shared" si="112"/>
        <v/>
      </c>
      <c r="AY72" s="84" t="str">
        <f t="shared" si="113"/>
        <v/>
      </c>
      <c r="AZ72" s="82" t="str">
        <f t="shared" si="114"/>
        <v/>
      </c>
      <c r="BA72" s="48" t="str">
        <f t="shared" si="115"/>
        <v/>
      </c>
      <c r="BB72" s="48" t="str">
        <f t="shared" si="116"/>
        <v/>
      </c>
      <c r="BC72" s="84" t="str">
        <f t="shared" si="117"/>
        <v/>
      </c>
      <c r="BD72" s="82" t="str">
        <f t="shared" si="118"/>
        <v/>
      </c>
      <c r="BE72" s="48" t="str">
        <f t="shared" si="119"/>
        <v/>
      </c>
      <c r="BF72" s="48" t="str">
        <f t="shared" si="120"/>
        <v/>
      </c>
      <c r="BG72" s="84" t="str">
        <f t="shared" si="121"/>
        <v/>
      </c>
      <c r="BH72" s="87" t="str">
        <f t="shared" si="122"/>
        <v/>
      </c>
      <c r="BI72" s="49" t="str">
        <f t="shared" si="123"/>
        <v/>
      </c>
      <c r="BJ72" s="49" t="str">
        <f t="shared" si="124"/>
        <v/>
      </c>
      <c r="BK72" s="89" t="str">
        <f t="shared" si="125"/>
        <v/>
      </c>
      <c r="BL72" s="87" t="str">
        <f t="shared" si="126"/>
        <v/>
      </c>
      <c r="BM72" s="49" t="str">
        <f t="shared" si="127"/>
        <v/>
      </c>
      <c r="BN72" s="49" t="str">
        <f t="shared" si="128"/>
        <v/>
      </c>
      <c r="BO72" s="89" t="str">
        <f t="shared" si="129"/>
        <v/>
      </c>
      <c r="BP72" s="87" t="str">
        <f t="shared" si="130"/>
        <v/>
      </c>
      <c r="BQ72" s="49" t="str">
        <f t="shared" si="131"/>
        <v/>
      </c>
      <c r="BR72" s="49" t="str">
        <f t="shared" si="132"/>
        <v/>
      </c>
      <c r="BS72" s="89" t="str">
        <f t="shared" si="133"/>
        <v/>
      </c>
      <c r="BT72" s="87" t="str">
        <f t="shared" si="134"/>
        <v/>
      </c>
    </row>
    <row r="73" spans="2:72">
      <c r="B73" s="81">
        <f>Weekly!B65</f>
        <v>0</v>
      </c>
      <c r="C73" s="90">
        <f>Weekly!C65</f>
        <v>0</v>
      </c>
      <c r="D73" s="90">
        <f>Weekly!D90</f>
        <v>0</v>
      </c>
      <c r="E73" s="91" t="e">
        <f>VLOOKUP(B73,Team!$B$4:$E$183,4,FALSE)</f>
        <v>#N/A</v>
      </c>
      <c r="F73" s="92" t="str">
        <f>Weekly!P65</f>
        <v/>
      </c>
      <c r="G73" s="92" t="str">
        <f>Weekly!Q65</f>
        <v/>
      </c>
      <c r="H73" s="48" t="str">
        <f t="shared" si="70"/>
        <v/>
      </c>
      <c r="I73" s="48" t="str">
        <f t="shared" si="71"/>
        <v/>
      </c>
      <c r="J73" s="48" t="str">
        <f t="shared" si="72"/>
        <v/>
      </c>
      <c r="K73" s="84" t="str">
        <f t="shared" si="73"/>
        <v/>
      </c>
      <c r="L73" s="82" t="str">
        <f t="shared" si="74"/>
        <v/>
      </c>
      <c r="M73" s="48" t="str">
        <f t="shared" si="75"/>
        <v/>
      </c>
      <c r="N73" s="48" t="str">
        <f t="shared" si="76"/>
        <v/>
      </c>
      <c r="O73" s="84" t="str">
        <f t="shared" si="77"/>
        <v/>
      </c>
      <c r="P73" s="82" t="str">
        <f t="shared" si="78"/>
        <v/>
      </c>
      <c r="Q73" s="48" t="str">
        <f t="shared" si="79"/>
        <v/>
      </c>
      <c r="R73" s="48" t="str">
        <f t="shared" si="80"/>
        <v/>
      </c>
      <c r="S73" s="84" t="str">
        <f t="shared" si="81"/>
        <v/>
      </c>
      <c r="T73" s="82" t="str">
        <f t="shared" si="82"/>
        <v/>
      </c>
      <c r="U73" s="48" t="str">
        <f t="shared" si="83"/>
        <v/>
      </c>
      <c r="V73" s="48" t="str">
        <f t="shared" si="84"/>
        <v/>
      </c>
      <c r="W73" s="84" t="str">
        <f t="shared" si="85"/>
        <v/>
      </c>
      <c r="X73" s="82" t="str">
        <f t="shared" si="86"/>
        <v/>
      </c>
      <c r="Y73" s="48" t="str">
        <f t="shared" si="87"/>
        <v/>
      </c>
      <c r="Z73" s="48" t="str">
        <f t="shared" si="88"/>
        <v/>
      </c>
      <c r="AA73" s="84" t="str">
        <f t="shared" si="89"/>
        <v/>
      </c>
      <c r="AB73" s="82" t="str">
        <f t="shared" si="90"/>
        <v/>
      </c>
      <c r="AC73" s="48" t="str">
        <f t="shared" si="91"/>
        <v/>
      </c>
      <c r="AD73" s="48" t="str">
        <f t="shared" si="92"/>
        <v/>
      </c>
      <c r="AE73" s="84" t="str">
        <f t="shared" si="93"/>
        <v/>
      </c>
      <c r="AF73" s="82" t="str">
        <f t="shared" si="94"/>
        <v/>
      </c>
      <c r="AG73" s="48" t="str">
        <f t="shared" si="95"/>
        <v/>
      </c>
      <c r="AH73" s="48" t="str">
        <f t="shared" si="96"/>
        <v/>
      </c>
      <c r="AI73" s="84" t="str">
        <f t="shared" si="97"/>
        <v/>
      </c>
      <c r="AJ73" s="82" t="str">
        <f t="shared" si="98"/>
        <v/>
      </c>
      <c r="AK73" s="48" t="str">
        <f t="shared" si="99"/>
        <v/>
      </c>
      <c r="AL73" s="48" t="str">
        <f t="shared" si="100"/>
        <v/>
      </c>
      <c r="AM73" s="84" t="str">
        <f t="shared" si="101"/>
        <v/>
      </c>
      <c r="AN73" s="82" t="str">
        <f t="shared" si="102"/>
        <v/>
      </c>
      <c r="AO73" s="48" t="str">
        <f t="shared" si="103"/>
        <v/>
      </c>
      <c r="AP73" s="48" t="str">
        <f t="shared" si="104"/>
        <v/>
      </c>
      <c r="AQ73" s="84" t="str">
        <f t="shared" si="105"/>
        <v/>
      </c>
      <c r="AR73" s="82" t="str">
        <f t="shared" si="106"/>
        <v/>
      </c>
      <c r="AS73" s="48" t="str">
        <f t="shared" si="107"/>
        <v/>
      </c>
      <c r="AT73" s="48" t="str">
        <f t="shared" si="108"/>
        <v/>
      </c>
      <c r="AU73" s="84" t="str">
        <f t="shared" si="109"/>
        <v/>
      </c>
      <c r="AV73" s="82" t="str">
        <f t="shared" si="110"/>
        <v/>
      </c>
      <c r="AW73" s="48" t="str">
        <f t="shared" si="111"/>
        <v/>
      </c>
      <c r="AX73" s="48" t="str">
        <f t="shared" si="112"/>
        <v/>
      </c>
      <c r="AY73" s="84" t="str">
        <f t="shared" si="113"/>
        <v/>
      </c>
      <c r="AZ73" s="82" t="str">
        <f t="shared" si="114"/>
        <v/>
      </c>
      <c r="BA73" s="48" t="str">
        <f t="shared" si="115"/>
        <v/>
      </c>
      <c r="BB73" s="48" t="str">
        <f t="shared" si="116"/>
        <v/>
      </c>
      <c r="BC73" s="84" t="str">
        <f t="shared" si="117"/>
        <v/>
      </c>
      <c r="BD73" s="82" t="str">
        <f t="shared" si="118"/>
        <v/>
      </c>
      <c r="BE73" s="48" t="str">
        <f t="shared" si="119"/>
        <v/>
      </c>
      <c r="BF73" s="48" t="str">
        <f t="shared" si="120"/>
        <v/>
      </c>
      <c r="BG73" s="84" t="str">
        <f t="shared" si="121"/>
        <v/>
      </c>
      <c r="BH73" s="87" t="str">
        <f t="shared" si="122"/>
        <v/>
      </c>
      <c r="BI73" s="49" t="str">
        <f t="shared" si="123"/>
        <v/>
      </c>
      <c r="BJ73" s="49" t="str">
        <f t="shared" si="124"/>
        <v/>
      </c>
      <c r="BK73" s="89" t="str">
        <f t="shared" si="125"/>
        <v/>
      </c>
      <c r="BL73" s="87" t="str">
        <f t="shared" si="126"/>
        <v/>
      </c>
      <c r="BM73" s="49" t="str">
        <f t="shared" si="127"/>
        <v/>
      </c>
      <c r="BN73" s="49" t="str">
        <f t="shared" si="128"/>
        <v/>
      </c>
      <c r="BO73" s="89" t="str">
        <f t="shared" si="129"/>
        <v/>
      </c>
      <c r="BP73" s="87" t="str">
        <f t="shared" si="130"/>
        <v/>
      </c>
      <c r="BQ73" s="49" t="str">
        <f t="shared" si="131"/>
        <v/>
      </c>
      <c r="BR73" s="49" t="str">
        <f t="shared" si="132"/>
        <v/>
      </c>
      <c r="BS73" s="89" t="str">
        <f t="shared" si="133"/>
        <v/>
      </c>
      <c r="BT73" s="87" t="str">
        <f t="shared" si="134"/>
        <v/>
      </c>
    </row>
    <row r="74" spans="2:72">
      <c r="B74" s="81">
        <f>Weekly!B66</f>
        <v>0</v>
      </c>
      <c r="C74" s="90">
        <f>Weekly!C66</f>
        <v>0</v>
      </c>
      <c r="D74" s="90">
        <f>Weekly!D91</f>
        <v>0</v>
      </c>
      <c r="E74" s="91" t="e">
        <f>VLOOKUP(B74,Team!$B$4:$E$183,4,FALSE)</f>
        <v>#N/A</v>
      </c>
      <c r="F74" s="92" t="str">
        <f>Weekly!P66</f>
        <v/>
      </c>
      <c r="G74" s="92" t="str">
        <f>Weekly!Q66</f>
        <v/>
      </c>
      <c r="H74" s="48" t="str">
        <f t="shared" si="70"/>
        <v/>
      </c>
      <c r="I74" s="48" t="str">
        <f t="shared" si="71"/>
        <v/>
      </c>
      <c r="J74" s="48" t="str">
        <f t="shared" si="72"/>
        <v/>
      </c>
      <c r="K74" s="84" t="str">
        <f t="shared" si="73"/>
        <v/>
      </c>
      <c r="L74" s="82" t="str">
        <f t="shared" si="74"/>
        <v/>
      </c>
      <c r="M74" s="48" t="str">
        <f t="shared" si="75"/>
        <v/>
      </c>
      <c r="N74" s="48" t="str">
        <f t="shared" si="76"/>
        <v/>
      </c>
      <c r="O74" s="84" t="str">
        <f t="shared" si="77"/>
        <v/>
      </c>
      <c r="P74" s="82" t="str">
        <f t="shared" si="78"/>
        <v/>
      </c>
      <c r="Q74" s="48" t="str">
        <f t="shared" si="79"/>
        <v/>
      </c>
      <c r="R74" s="48" t="str">
        <f t="shared" si="80"/>
        <v/>
      </c>
      <c r="S74" s="84" t="str">
        <f t="shared" si="81"/>
        <v/>
      </c>
      <c r="T74" s="82" t="str">
        <f t="shared" si="82"/>
        <v/>
      </c>
      <c r="U74" s="48" t="str">
        <f t="shared" si="83"/>
        <v/>
      </c>
      <c r="V74" s="48" t="str">
        <f t="shared" si="84"/>
        <v/>
      </c>
      <c r="W74" s="84" t="str">
        <f t="shared" si="85"/>
        <v/>
      </c>
      <c r="X74" s="82" t="str">
        <f t="shared" si="86"/>
        <v/>
      </c>
      <c r="Y74" s="48" t="str">
        <f t="shared" si="87"/>
        <v/>
      </c>
      <c r="Z74" s="48" t="str">
        <f t="shared" si="88"/>
        <v/>
      </c>
      <c r="AA74" s="84" t="str">
        <f t="shared" si="89"/>
        <v/>
      </c>
      <c r="AB74" s="82" t="str">
        <f t="shared" si="90"/>
        <v/>
      </c>
      <c r="AC74" s="48" t="str">
        <f t="shared" si="91"/>
        <v/>
      </c>
      <c r="AD74" s="48" t="str">
        <f t="shared" si="92"/>
        <v/>
      </c>
      <c r="AE74" s="84" t="str">
        <f t="shared" si="93"/>
        <v/>
      </c>
      <c r="AF74" s="82" t="str">
        <f t="shared" si="94"/>
        <v/>
      </c>
      <c r="AG74" s="48" t="str">
        <f t="shared" si="95"/>
        <v/>
      </c>
      <c r="AH74" s="48" t="str">
        <f t="shared" si="96"/>
        <v/>
      </c>
      <c r="AI74" s="84" t="str">
        <f t="shared" si="97"/>
        <v/>
      </c>
      <c r="AJ74" s="82" t="str">
        <f t="shared" si="98"/>
        <v/>
      </c>
      <c r="AK74" s="48" t="str">
        <f t="shared" si="99"/>
        <v/>
      </c>
      <c r="AL74" s="48" t="str">
        <f t="shared" si="100"/>
        <v/>
      </c>
      <c r="AM74" s="84" t="str">
        <f t="shared" si="101"/>
        <v/>
      </c>
      <c r="AN74" s="82" t="str">
        <f t="shared" si="102"/>
        <v/>
      </c>
      <c r="AO74" s="48" t="str">
        <f t="shared" si="103"/>
        <v/>
      </c>
      <c r="AP74" s="48" t="str">
        <f t="shared" si="104"/>
        <v/>
      </c>
      <c r="AQ74" s="84" t="str">
        <f t="shared" si="105"/>
        <v/>
      </c>
      <c r="AR74" s="82" t="str">
        <f t="shared" si="106"/>
        <v/>
      </c>
      <c r="AS74" s="48" t="str">
        <f t="shared" si="107"/>
        <v/>
      </c>
      <c r="AT74" s="48" t="str">
        <f t="shared" si="108"/>
        <v/>
      </c>
      <c r="AU74" s="84" t="str">
        <f t="shared" si="109"/>
        <v/>
      </c>
      <c r="AV74" s="82" t="str">
        <f t="shared" si="110"/>
        <v/>
      </c>
      <c r="AW74" s="48" t="str">
        <f t="shared" si="111"/>
        <v/>
      </c>
      <c r="AX74" s="48" t="str">
        <f t="shared" si="112"/>
        <v/>
      </c>
      <c r="AY74" s="84" t="str">
        <f t="shared" si="113"/>
        <v/>
      </c>
      <c r="AZ74" s="82" t="str">
        <f t="shared" si="114"/>
        <v/>
      </c>
      <c r="BA74" s="48" t="str">
        <f t="shared" si="115"/>
        <v/>
      </c>
      <c r="BB74" s="48" t="str">
        <f t="shared" si="116"/>
        <v/>
      </c>
      <c r="BC74" s="84" t="str">
        <f t="shared" si="117"/>
        <v/>
      </c>
      <c r="BD74" s="82" t="str">
        <f t="shared" si="118"/>
        <v/>
      </c>
      <c r="BE74" s="48" t="str">
        <f t="shared" si="119"/>
        <v/>
      </c>
      <c r="BF74" s="48" t="str">
        <f t="shared" si="120"/>
        <v/>
      </c>
      <c r="BG74" s="84" t="str">
        <f t="shared" si="121"/>
        <v/>
      </c>
      <c r="BH74" s="87" t="str">
        <f t="shared" si="122"/>
        <v/>
      </c>
      <c r="BI74" s="49" t="str">
        <f t="shared" si="123"/>
        <v/>
      </c>
      <c r="BJ74" s="49" t="str">
        <f t="shared" si="124"/>
        <v/>
      </c>
      <c r="BK74" s="89" t="str">
        <f t="shared" si="125"/>
        <v/>
      </c>
      <c r="BL74" s="87" t="str">
        <f t="shared" si="126"/>
        <v/>
      </c>
      <c r="BM74" s="49" t="str">
        <f t="shared" si="127"/>
        <v/>
      </c>
      <c r="BN74" s="49" t="str">
        <f t="shared" si="128"/>
        <v/>
      </c>
      <c r="BO74" s="89" t="str">
        <f t="shared" si="129"/>
        <v/>
      </c>
      <c r="BP74" s="87" t="str">
        <f t="shared" si="130"/>
        <v/>
      </c>
      <c r="BQ74" s="49" t="str">
        <f t="shared" si="131"/>
        <v/>
      </c>
      <c r="BR74" s="49" t="str">
        <f t="shared" si="132"/>
        <v/>
      </c>
      <c r="BS74" s="89" t="str">
        <f t="shared" si="133"/>
        <v/>
      </c>
      <c r="BT74" s="87" t="str">
        <f t="shared" si="134"/>
        <v/>
      </c>
    </row>
    <row r="75" spans="2:72">
      <c r="B75" s="81">
        <f>Weekly!B67</f>
        <v>0</v>
      </c>
      <c r="C75" s="90">
        <f>Weekly!C67</f>
        <v>0</v>
      </c>
      <c r="D75" s="90">
        <f>Weekly!D92</f>
        <v>0</v>
      </c>
      <c r="E75" s="91" t="e">
        <f>VLOOKUP(B75,Team!$B$4:$E$183,4,FALSE)</f>
        <v>#N/A</v>
      </c>
      <c r="F75" s="92" t="str">
        <f>Weekly!P67</f>
        <v/>
      </c>
      <c r="G75" s="92" t="str">
        <f>Weekly!Q67</f>
        <v/>
      </c>
      <c r="H75" s="48" t="str">
        <f t="shared" si="70"/>
        <v/>
      </c>
      <c r="I75" s="48" t="str">
        <f t="shared" si="71"/>
        <v/>
      </c>
      <c r="J75" s="48" t="str">
        <f t="shared" si="72"/>
        <v/>
      </c>
      <c r="K75" s="84" t="str">
        <f t="shared" si="73"/>
        <v/>
      </c>
      <c r="L75" s="82" t="str">
        <f t="shared" si="74"/>
        <v/>
      </c>
      <c r="M75" s="48" t="str">
        <f t="shared" si="75"/>
        <v/>
      </c>
      <c r="N75" s="48" t="str">
        <f t="shared" si="76"/>
        <v/>
      </c>
      <c r="O75" s="84" t="str">
        <f t="shared" si="77"/>
        <v/>
      </c>
      <c r="P75" s="82" t="str">
        <f t="shared" si="78"/>
        <v/>
      </c>
      <c r="Q75" s="48" t="str">
        <f t="shared" si="79"/>
        <v/>
      </c>
      <c r="R75" s="48" t="str">
        <f t="shared" si="80"/>
        <v/>
      </c>
      <c r="S75" s="84" t="str">
        <f t="shared" si="81"/>
        <v/>
      </c>
      <c r="T75" s="82" t="str">
        <f t="shared" si="82"/>
        <v/>
      </c>
      <c r="U75" s="48" t="str">
        <f t="shared" si="83"/>
        <v/>
      </c>
      <c r="V75" s="48" t="str">
        <f t="shared" si="84"/>
        <v/>
      </c>
      <c r="W75" s="84" t="str">
        <f t="shared" si="85"/>
        <v/>
      </c>
      <c r="X75" s="82" t="str">
        <f t="shared" si="86"/>
        <v/>
      </c>
      <c r="Y75" s="48" t="str">
        <f t="shared" si="87"/>
        <v/>
      </c>
      <c r="Z75" s="48" t="str">
        <f t="shared" si="88"/>
        <v/>
      </c>
      <c r="AA75" s="84" t="str">
        <f t="shared" si="89"/>
        <v/>
      </c>
      <c r="AB75" s="82" t="str">
        <f t="shared" si="90"/>
        <v/>
      </c>
      <c r="AC75" s="48" t="str">
        <f t="shared" si="91"/>
        <v/>
      </c>
      <c r="AD75" s="48" t="str">
        <f t="shared" si="92"/>
        <v/>
      </c>
      <c r="AE75" s="84" t="str">
        <f t="shared" si="93"/>
        <v/>
      </c>
      <c r="AF75" s="82" t="str">
        <f t="shared" si="94"/>
        <v/>
      </c>
      <c r="AG75" s="48" t="str">
        <f t="shared" si="95"/>
        <v/>
      </c>
      <c r="AH75" s="48" t="str">
        <f t="shared" si="96"/>
        <v/>
      </c>
      <c r="AI75" s="84" t="str">
        <f t="shared" si="97"/>
        <v/>
      </c>
      <c r="AJ75" s="82" t="str">
        <f t="shared" si="98"/>
        <v/>
      </c>
      <c r="AK75" s="48" t="str">
        <f t="shared" si="99"/>
        <v/>
      </c>
      <c r="AL75" s="48" t="str">
        <f t="shared" si="100"/>
        <v/>
      </c>
      <c r="AM75" s="84" t="str">
        <f t="shared" si="101"/>
        <v/>
      </c>
      <c r="AN75" s="82" t="str">
        <f t="shared" si="102"/>
        <v/>
      </c>
      <c r="AO75" s="48" t="str">
        <f t="shared" si="103"/>
        <v/>
      </c>
      <c r="AP75" s="48" t="str">
        <f t="shared" si="104"/>
        <v/>
      </c>
      <c r="AQ75" s="84" t="str">
        <f t="shared" si="105"/>
        <v/>
      </c>
      <c r="AR75" s="82" t="str">
        <f t="shared" si="106"/>
        <v/>
      </c>
      <c r="AS75" s="48" t="str">
        <f t="shared" si="107"/>
        <v/>
      </c>
      <c r="AT75" s="48" t="str">
        <f t="shared" si="108"/>
        <v/>
      </c>
      <c r="AU75" s="84" t="str">
        <f t="shared" si="109"/>
        <v/>
      </c>
      <c r="AV75" s="82" t="str">
        <f t="shared" si="110"/>
        <v/>
      </c>
      <c r="AW75" s="48" t="str">
        <f t="shared" si="111"/>
        <v/>
      </c>
      <c r="AX75" s="48" t="str">
        <f t="shared" si="112"/>
        <v/>
      </c>
      <c r="AY75" s="84" t="str">
        <f t="shared" si="113"/>
        <v/>
      </c>
      <c r="AZ75" s="82" t="str">
        <f t="shared" si="114"/>
        <v/>
      </c>
      <c r="BA75" s="48" t="str">
        <f t="shared" si="115"/>
        <v/>
      </c>
      <c r="BB75" s="48" t="str">
        <f t="shared" si="116"/>
        <v/>
      </c>
      <c r="BC75" s="84" t="str">
        <f t="shared" si="117"/>
        <v/>
      </c>
      <c r="BD75" s="82" t="str">
        <f t="shared" si="118"/>
        <v/>
      </c>
      <c r="BE75" s="48" t="str">
        <f t="shared" si="119"/>
        <v/>
      </c>
      <c r="BF75" s="48" t="str">
        <f t="shared" si="120"/>
        <v/>
      </c>
      <c r="BG75" s="84" t="str">
        <f t="shared" si="121"/>
        <v/>
      </c>
      <c r="BH75" s="87" t="str">
        <f t="shared" si="122"/>
        <v/>
      </c>
      <c r="BI75" s="49" t="str">
        <f t="shared" si="123"/>
        <v/>
      </c>
      <c r="BJ75" s="49" t="str">
        <f t="shared" si="124"/>
        <v/>
      </c>
      <c r="BK75" s="89" t="str">
        <f t="shared" si="125"/>
        <v/>
      </c>
      <c r="BL75" s="87" t="str">
        <f t="shared" si="126"/>
        <v/>
      </c>
      <c r="BM75" s="49" t="str">
        <f t="shared" si="127"/>
        <v/>
      </c>
      <c r="BN75" s="49" t="str">
        <f t="shared" si="128"/>
        <v/>
      </c>
      <c r="BO75" s="89" t="str">
        <f t="shared" si="129"/>
        <v/>
      </c>
      <c r="BP75" s="87" t="str">
        <f t="shared" si="130"/>
        <v/>
      </c>
      <c r="BQ75" s="49" t="str">
        <f t="shared" si="131"/>
        <v/>
      </c>
      <c r="BR75" s="49" t="str">
        <f t="shared" si="132"/>
        <v/>
      </c>
      <c r="BS75" s="89" t="str">
        <f t="shared" si="133"/>
        <v/>
      </c>
      <c r="BT75" s="87" t="str">
        <f t="shared" si="134"/>
        <v/>
      </c>
    </row>
    <row r="76" spans="2:72">
      <c r="B76" s="81">
        <f>Weekly!B68</f>
        <v>0</v>
      </c>
      <c r="C76" s="90">
        <f>Weekly!C68</f>
        <v>0</v>
      </c>
      <c r="D76" s="90">
        <f>Weekly!D93</f>
        <v>0</v>
      </c>
      <c r="E76" s="91" t="e">
        <f>VLOOKUP(B76,Team!$B$4:$E$183,4,FALSE)</f>
        <v>#N/A</v>
      </c>
      <c r="F76" s="92" t="str">
        <f>Weekly!P68</f>
        <v/>
      </c>
      <c r="G76" s="92" t="str">
        <f>Weekly!Q68</f>
        <v/>
      </c>
      <c r="H76" s="48" t="str">
        <f t="shared" si="70"/>
        <v/>
      </c>
      <c r="I76" s="48" t="str">
        <f t="shared" si="71"/>
        <v/>
      </c>
      <c r="J76" s="48" t="str">
        <f t="shared" si="72"/>
        <v/>
      </c>
      <c r="K76" s="84" t="str">
        <f t="shared" si="73"/>
        <v/>
      </c>
      <c r="L76" s="82" t="str">
        <f t="shared" si="74"/>
        <v/>
      </c>
      <c r="M76" s="48" t="str">
        <f t="shared" si="75"/>
        <v/>
      </c>
      <c r="N76" s="48" t="str">
        <f t="shared" si="76"/>
        <v/>
      </c>
      <c r="O76" s="84" t="str">
        <f t="shared" si="77"/>
        <v/>
      </c>
      <c r="P76" s="82" t="str">
        <f t="shared" si="78"/>
        <v/>
      </c>
      <c r="Q76" s="48" t="str">
        <f t="shared" si="79"/>
        <v/>
      </c>
      <c r="R76" s="48" t="str">
        <f t="shared" si="80"/>
        <v/>
      </c>
      <c r="S76" s="84" t="str">
        <f t="shared" si="81"/>
        <v/>
      </c>
      <c r="T76" s="82" t="str">
        <f t="shared" si="82"/>
        <v/>
      </c>
      <c r="U76" s="48" t="str">
        <f t="shared" si="83"/>
        <v/>
      </c>
      <c r="V76" s="48" t="str">
        <f t="shared" si="84"/>
        <v/>
      </c>
      <c r="W76" s="84" t="str">
        <f t="shared" si="85"/>
        <v/>
      </c>
      <c r="X76" s="82" t="str">
        <f t="shared" si="86"/>
        <v/>
      </c>
      <c r="Y76" s="48" t="str">
        <f t="shared" si="87"/>
        <v/>
      </c>
      <c r="Z76" s="48" t="str">
        <f t="shared" si="88"/>
        <v/>
      </c>
      <c r="AA76" s="84" t="str">
        <f t="shared" si="89"/>
        <v/>
      </c>
      <c r="AB76" s="82" t="str">
        <f t="shared" si="90"/>
        <v/>
      </c>
      <c r="AC76" s="48" t="str">
        <f t="shared" si="91"/>
        <v/>
      </c>
      <c r="AD76" s="48" t="str">
        <f t="shared" si="92"/>
        <v/>
      </c>
      <c r="AE76" s="84" t="str">
        <f t="shared" si="93"/>
        <v/>
      </c>
      <c r="AF76" s="82" t="str">
        <f t="shared" si="94"/>
        <v/>
      </c>
      <c r="AG76" s="48" t="str">
        <f t="shared" si="95"/>
        <v/>
      </c>
      <c r="AH76" s="48" t="str">
        <f t="shared" si="96"/>
        <v/>
      </c>
      <c r="AI76" s="84" t="str">
        <f t="shared" si="97"/>
        <v/>
      </c>
      <c r="AJ76" s="82" t="str">
        <f t="shared" si="98"/>
        <v/>
      </c>
      <c r="AK76" s="48" t="str">
        <f t="shared" si="99"/>
        <v/>
      </c>
      <c r="AL76" s="48" t="str">
        <f t="shared" si="100"/>
        <v/>
      </c>
      <c r="AM76" s="84" t="str">
        <f t="shared" si="101"/>
        <v/>
      </c>
      <c r="AN76" s="82" t="str">
        <f t="shared" si="102"/>
        <v/>
      </c>
      <c r="AO76" s="48" t="str">
        <f t="shared" si="103"/>
        <v/>
      </c>
      <c r="AP76" s="48" t="str">
        <f t="shared" si="104"/>
        <v/>
      </c>
      <c r="AQ76" s="84" t="str">
        <f t="shared" si="105"/>
        <v/>
      </c>
      <c r="AR76" s="82" t="str">
        <f t="shared" si="106"/>
        <v/>
      </c>
      <c r="AS76" s="48" t="str">
        <f t="shared" si="107"/>
        <v/>
      </c>
      <c r="AT76" s="48" t="str">
        <f t="shared" si="108"/>
        <v/>
      </c>
      <c r="AU76" s="84" t="str">
        <f t="shared" si="109"/>
        <v/>
      </c>
      <c r="AV76" s="82" t="str">
        <f t="shared" si="110"/>
        <v/>
      </c>
      <c r="AW76" s="48" t="str">
        <f t="shared" si="111"/>
        <v/>
      </c>
      <c r="AX76" s="48" t="str">
        <f t="shared" si="112"/>
        <v/>
      </c>
      <c r="AY76" s="84" t="str">
        <f t="shared" si="113"/>
        <v/>
      </c>
      <c r="AZ76" s="82" t="str">
        <f t="shared" si="114"/>
        <v/>
      </c>
      <c r="BA76" s="48" t="str">
        <f t="shared" si="115"/>
        <v/>
      </c>
      <c r="BB76" s="48" t="str">
        <f t="shared" si="116"/>
        <v/>
      </c>
      <c r="BC76" s="84" t="str">
        <f t="shared" si="117"/>
        <v/>
      </c>
      <c r="BD76" s="82" t="str">
        <f t="shared" si="118"/>
        <v/>
      </c>
      <c r="BE76" s="48" t="str">
        <f t="shared" si="119"/>
        <v/>
      </c>
      <c r="BF76" s="48" t="str">
        <f t="shared" si="120"/>
        <v/>
      </c>
      <c r="BG76" s="84" t="str">
        <f t="shared" si="121"/>
        <v/>
      </c>
      <c r="BH76" s="87" t="str">
        <f t="shared" si="122"/>
        <v/>
      </c>
      <c r="BI76" s="49" t="str">
        <f t="shared" si="123"/>
        <v/>
      </c>
      <c r="BJ76" s="49" t="str">
        <f t="shared" si="124"/>
        <v/>
      </c>
      <c r="BK76" s="89" t="str">
        <f t="shared" si="125"/>
        <v/>
      </c>
      <c r="BL76" s="87" t="str">
        <f t="shared" si="126"/>
        <v/>
      </c>
      <c r="BM76" s="49" t="str">
        <f t="shared" si="127"/>
        <v/>
      </c>
      <c r="BN76" s="49" t="str">
        <f t="shared" si="128"/>
        <v/>
      </c>
      <c r="BO76" s="89" t="str">
        <f t="shared" si="129"/>
        <v/>
      </c>
      <c r="BP76" s="87" t="str">
        <f t="shared" si="130"/>
        <v/>
      </c>
      <c r="BQ76" s="49" t="str">
        <f t="shared" si="131"/>
        <v/>
      </c>
      <c r="BR76" s="49" t="str">
        <f t="shared" si="132"/>
        <v/>
      </c>
      <c r="BS76" s="89" t="str">
        <f t="shared" si="133"/>
        <v/>
      </c>
      <c r="BT76" s="87" t="str">
        <f t="shared" si="134"/>
        <v/>
      </c>
    </row>
    <row r="77" spans="2:72">
      <c r="B77" s="81">
        <f>Weekly!B69</f>
        <v>0</v>
      </c>
      <c r="C77" s="90">
        <f>Weekly!C69</f>
        <v>0</v>
      </c>
      <c r="D77" s="90">
        <f>Weekly!D94</f>
        <v>0</v>
      </c>
      <c r="E77" s="91" t="e">
        <f>VLOOKUP(B77,Team!$B$4:$E$183,4,FALSE)</f>
        <v>#N/A</v>
      </c>
      <c r="F77" s="92" t="str">
        <f>Weekly!P69</f>
        <v/>
      </c>
      <c r="G77" s="92" t="str">
        <f>Weekly!Q69</f>
        <v/>
      </c>
      <c r="H77" s="48" t="str">
        <f t="shared" si="70"/>
        <v/>
      </c>
      <c r="I77" s="48" t="str">
        <f t="shared" si="71"/>
        <v/>
      </c>
      <c r="J77" s="48" t="str">
        <f t="shared" si="72"/>
        <v/>
      </c>
      <c r="K77" s="84" t="str">
        <f t="shared" si="73"/>
        <v/>
      </c>
      <c r="L77" s="82" t="str">
        <f t="shared" si="74"/>
        <v/>
      </c>
      <c r="M77" s="48" t="str">
        <f t="shared" si="75"/>
        <v/>
      </c>
      <c r="N77" s="48" t="str">
        <f t="shared" si="76"/>
        <v/>
      </c>
      <c r="O77" s="84" t="str">
        <f t="shared" si="77"/>
        <v/>
      </c>
      <c r="P77" s="82" t="str">
        <f t="shared" si="78"/>
        <v/>
      </c>
      <c r="Q77" s="48" t="str">
        <f t="shared" si="79"/>
        <v/>
      </c>
      <c r="R77" s="48" t="str">
        <f t="shared" si="80"/>
        <v/>
      </c>
      <c r="S77" s="84" t="str">
        <f t="shared" si="81"/>
        <v/>
      </c>
      <c r="T77" s="82" t="str">
        <f t="shared" si="82"/>
        <v/>
      </c>
      <c r="U77" s="48" t="str">
        <f t="shared" si="83"/>
        <v/>
      </c>
      <c r="V77" s="48" t="str">
        <f t="shared" si="84"/>
        <v/>
      </c>
      <c r="W77" s="84" t="str">
        <f t="shared" si="85"/>
        <v/>
      </c>
      <c r="X77" s="82" t="str">
        <f t="shared" si="86"/>
        <v/>
      </c>
      <c r="Y77" s="48" t="str">
        <f t="shared" si="87"/>
        <v/>
      </c>
      <c r="Z77" s="48" t="str">
        <f t="shared" si="88"/>
        <v/>
      </c>
      <c r="AA77" s="84" t="str">
        <f t="shared" si="89"/>
        <v/>
      </c>
      <c r="AB77" s="82" t="str">
        <f t="shared" si="90"/>
        <v/>
      </c>
      <c r="AC77" s="48" t="str">
        <f t="shared" si="91"/>
        <v/>
      </c>
      <c r="AD77" s="48" t="str">
        <f t="shared" si="92"/>
        <v/>
      </c>
      <c r="AE77" s="84" t="str">
        <f t="shared" si="93"/>
        <v/>
      </c>
      <c r="AF77" s="82" t="str">
        <f t="shared" si="94"/>
        <v/>
      </c>
      <c r="AG77" s="48" t="str">
        <f t="shared" si="95"/>
        <v/>
      </c>
      <c r="AH77" s="48" t="str">
        <f t="shared" si="96"/>
        <v/>
      </c>
      <c r="AI77" s="84" t="str">
        <f t="shared" si="97"/>
        <v/>
      </c>
      <c r="AJ77" s="82" t="str">
        <f t="shared" si="98"/>
        <v/>
      </c>
      <c r="AK77" s="48" t="str">
        <f t="shared" si="99"/>
        <v/>
      </c>
      <c r="AL77" s="48" t="str">
        <f t="shared" si="100"/>
        <v/>
      </c>
      <c r="AM77" s="84" t="str">
        <f t="shared" si="101"/>
        <v/>
      </c>
      <c r="AN77" s="82" t="str">
        <f t="shared" si="102"/>
        <v/>
      </c>
      <c r="AO77" s="48" t="str">
        <f t="shared" si="103"/>
        <v/>
      </c>
      <c r="AP77" s="48" t="str">
        <f t="shared" si="104"/>
        <v/>
      </c>
      <c r="AQ77" s="84" t="str">
        <f t="shared" si="105"/>
        <v/>
      </c>
      <c r="AR77" s="82" t="str">
        <f t="shared" si="106"/>
        <v/>
      </c>
      <c r="AS77" s="48" t="str">
        <f t="shared" si="107"/>
        <v/>
      </c>
      <c r="AT77" s="48" t="str">
        <f t="shared" si="108"/>
        <v/>
      </c>
      <c r="AU77" s="84" t="str">
        <f t="shared" si="109"/>
        <v/>
      </c>
      <c r="AV77" s="82" t="str">
        <f t="shared" si="110"/>
        <v/>
      </c>
      <c r="AW77" s="48" t="str">
        <f t="shared" si="111"/>
        <v/>
      </c>
      <c r="AX77" s="48" t="str">
        <f t="shared" si="112"/>
        <v/>
      </c>
      <c r="AY77" s="84" t="str">
        <f t="shared" si="113"/>
        <v/>
      </c>
      <c r="AZ77" s="82" t="str">
        <f t="shared" si="114"/>
        <v/>
      </c>
      <c r="BA77" s="48" t="str">
        <f t="shared" si="115"/>
        <v/>
      </c>
      <c r="BB77" s="48" t="str">
        <f t="shared" si="116"/>
        <v/>
      </c>
      <c r="BC77" s="84" t="str">
        <f t="shared" si="117"/>
        <v/>
      </c>
      <c r="BD77" s="82" t="str">
        <f t="shared" si="118"/>
        <v/>
      </c>
      <c r="BE77" s="48" t="str">
        <f t="shared" si="119"/>
        <v/>
      </c>
      <c r="BF77" s="48" t="str">
        <f t="shared" si="120"/>
        <v/>
      </c>
      <c r="BG77" s="84" t="str">
        <f t="shared" si="121"/>
        <v/>
      </c>
      <c r="BH77" s="87" t="str">
        <f t="shared" si="122"/>
        <v/>
      </c>
      <c r="BI77" s="49" t="str">
        <f t="shared" si="123"/>
        <v/>
      </c>
      <c r="BJ77" s="49" t="str">
        <f t="shared" si="124"/>
        <v/>
      </c>
      <c r="BK77" s="89" t="str">
        <f t="shared" si="125"/>
        <v/>
      </c>
      <c r="BL77" s="87" t="str">
        <f t="shared" si="126"/>
        <v/>
      </c>
      <c r="BM77" s="49" t="str">
        <f t="shared" si="127"/>
        <v/>
      </c>
      <c r="BN77" s="49" t="str">
        <f t="shared" si="128"/>
        <v/>
      </c>
      <c r="BO77" s="89" t="str">
        <f t="shared" si="129"/>
        <v/>
      </c>
      <c r="BP77" s="87" t="str">
        <f t="shared" si="130"/>
        <v/>
      </c>
      <c r="BQ77" s="49" t="str">
        <f t="shared" si="131"/>
        <v/>
      </c>
      <c r="BR77" s="49" t="str">
        <f t="shared" si="132"/>
        <v/>
      </c>
      <c r="BS77" s="89" t="str">
        <f t="shared" si="133"/>
        <v/>
      </c>
      <c r="BT77" s="87" t="str">
        <f t="shared" si="134"/>
        <v/>
      </c>
    </row>
    <row r="78" spans="2:72">
      <c r="B78" s="81">
        <f>Weekly!B70</f>
        <v>0</v>
      </c>
      <c r="C78" s="90">
        <f>Weekly!C70</f>
        <v>0</v>
      </c>
      <c r="D78" s="90">
        <f>Weekly!D95</f>
        <v>0</v>
      </c>
      <c r="E78" s="91" t="e">
        <f>VLOOKUP(B78,Team!$B$4:$E$183,4,FALSE)</f>
        <v>#N/A</v>
      </c>
      <c r="F78" s="92" t="str">
        <f>Weekly!P70</f>
        <v/>
      </c>
      <c r="G78" s="92" t="str">
        <f>Weekly!Q70</f>
        <v/>
      </c>
      <c r="H78" s="48" t="str">
        <f t="shared" si="70"/>
        <v/>
      </c>
      <c r="I78" s="48" t="str">
        <f t="shared" si="71"/>
        <v/>
      </c>
      <c r="J78" s="48" t="str">
        <f t="shared" si="72"/>
        <v/>
      </c>
      <c r="K78" s="84" t="str">
        <f t="shared" si="73"/>
        <v/>
      </c>
      <c r="L78" s="82" t="str">
        <f t="shared" si="74"/>
        <v/>
      </c>
      <c r="M78" s="48" t="str">
        <f t="shared" si="75"/>
        <v/>
      </c>
      <c r="N78" s="48" t="str">
        <f t="shared" si="76"/>
        <v/>
      </c>
      <c r="O78" s="84" t="str">
        <f t="shared" si="77"/>
        <v/>
      </c>
      <c r="P78" s="82" t="str">
        <f t="shared" si="78"/>
        <v/>
      </c>
      <c r="Q78" s="48" t="str">
        <f t="shared" si="79"/>
        <v/>
      </c>
      <c r="R78" s="48" t="str">
        <f t="shared" si="80"/>
        <v/>
      </c>
      <c r="S78" s="84" t="str">
        <f t="shared" si="81"/>
        <v/>
      </c>
      <c r="T78" s="82" t="str">
        <f t="shared" si="82"/>
        <v/>
      </c>
      <c r="U78" s="48" t="str">
        <f t="shared" si="83"/>
        <v/>
      </c>
      <c r="V78" s="48" t="str">
        <f t="shared" si="84"/>
        <v/>
      </c>
      <c r="W78" s="84" t="str">
        <f t="shared" si="85"/>
        <v/>
      </c>
      <c r="X78" s="82" t="str">
        <f t="shared" si="86"/>
        <v/>
      </c>
      <c r="Y78" s="48" t="str">
        <f t="shared" si="87"/>
        <v/>
      </c>
      <c r="Z78" s="48" t="str">
        <f t="shared" si="88"/>
        <v/>
      </c>
      <c r="AA78" s="84" t="str">
        <f t="shared" si="89"/>
        <v/>
      </c>
      <c r="AB78" s="82" t="str">
        <f t="shared" si="90"/>
        <v/>
      </c>
      <c r="AC78" s="48" t="str">
        <f t="shared" si="91"/>
        <v/>
      </c>
      <c r="AD78" s="48" t="str">
        <f t="shared" si="92"/>
        <v/>
      </c>
      <c r="AE78" s="84" t="str">
        <f t="shared" si="93"/>
        <v/>
      </c>
      <c r="AF78" s="82" t="str">
        <f t="shared" si="94"/>
        <v/>
      </c>
      <c r="AG78" s="48" t="str">
        <f t="shared" si="95"/>
        <v/>
      </c>
      <c r="AH78" s="48" t="str">
        <f t="shared" si="96"/>
        <v/>
      </c>
      <c r="AI78" s="84" t="str">
        <f t="shared" si="97"/>
        <v/>
      </c>
      <c r="AJ78" s="82" t="str">
        <f t="shared" si="98"/>
        <v/>
      </c>
      <c r="AK78" s="48" t="str">
        <f t="shared" si="99"/>
        <v/>
      </c>
      <c r="AL78" s="48" t="str">
        <f t="shared" si="100"/>
        <v/>
      </c>
      <c r="AM78" s="84" t="str">
        <f t="shared" si="101"/>
        <v/>
      </c>
      <c r="AN78" s="82" t="str">
        <f t="shared" si="102"/>
        <v/>
      </c>
      <c r="AO78" s="48" t="str">
        <f t="shared" si="103"/>
        <v/>
      </c>
      <c r="AP78" s="48" t="str">
        <f t="shared" si="104"/>
        <v/>
      </c>
      <c r="AQ78" s="84" t="str">
        <f t="shared" si="105"/>
        <v/>
      </c>
      <c r="AR78" s="82" t="str">
        <f t="shared" si="106"/>
        <v/>
      </c>
      <c r="AS78" s="48" t="str">
        <f t="shared" si="107"/>
        <v/>
      </c>
      <c r="AT78" s="48" t="str">
        <f t="shared" si="108"/>
        <v/>
      </c>
      <c r="AU78" s="84" t="str">
        <f t="shared" si="109"/>
        <v/>
      </c>
      <c r="AV78" s="82" t="str">
        <f t="shared" si="110"/>
        <v/>
      </c>
      <c r="AW78" s="48" t="str">
        <f t="shared" si="111"/>
        <v/>
      </c>
      <c r="AX78" s="48" t="str">
        <f t="shared" si="112"/>
        <v/>
      </c>
      <c r="AY78" s="84" t="str">
        <f t="shared" si="113"/>
        <v/>
      </c>
      <c r="AZ78" s="82" t="str">
        <f t="shared" si="114"/>
        <v/>
      </c>
      <c r="BA78" s="48" t="str">
        <f t="shared" si="115"/>
        <v/>
      </c>
      <c r="BB78" s="48" t="str">
        <f t="shared" si="116"/>
        <v/>
      </c>
      <c r="BC78" s="84" t="str">
        <f t="shared" si="117"/>
        <v/>
      </c>
      <c r="BD78" s="82" t="str">
        <f t="shared" si="118"/>
        <v/>
      </c>
      <c r="BE78" s="48" t="str">
        <f t="shared" si="119"/>
        <v/>
      </c>
      <c r="BF78" s="48" t="str">
        <f t="shared" si="120"/>
        <v/>
      </c>
      <c r="BG78" s="84" t="str">
        <f t="shared" si="121"/>
        <v/>
      </c>
      <c r="BH78" s="87" t="str">
        <f t="shared" si="122"/>
        <v/>
      </c>
      <c r="BI78" s="49" t="str">
        <f t="shared" si="123"/>
        <v/>
      </c>
      <c r="BJ78" s="49" t="str">
        <f t="shared" si="124"/>
        <v/>
      </c>
      <c r="BK78" s="89" t="str">
        <f t="shared" si="125"/>
        <v/>
      </c>
      <c r="BL78" s="87" t="str">
        <f t="shared" si="126"/>
        <v/>
      </c>
      <c r="BM78" s="49" t="str">
        <f t="shared" si="127"/>
        <v/>
      </c>
      <c r="BN78" s="49" t="str">
        <f t="shared" si="128"/>
        <v/>
      </c>
      <c r="BO78" s="89" t="str">
        <f t="shared" si="129"/>
        <v/>
      </c>
      <c r="BP78" s="87" t="str">
        <f t="shared" si="130"/>
        <v/>
      </c>
      <c r="BQ78" s="49" t="str">
        <f t="shared" si="131"/>
        <v/>
      </c>
      <c r="BR78" s="49" t="str">
        <f t="shared" si="132"/>
        <v/>
      </c>
      <c r="BS78" s="89" t="str">
        <f t="shared" si="133"/>
        <v/>
      </c>
      <c r="BT78" s="87" t="str">
        <f t="shared" si="134"/>
        <v/>
      </c>
    </row>
    <row r="79" spans="2:72">
      <c r="B79" s="81">
        <f>Weekly!B71</f>
        <v>0</v>
      </c>
      <c r="C79" s="90">
        <f>Weekly!C71</f>
        <v>0</v>
      </c>
      <c r="D79" s="90">
        <f>Weekly!D96</f>
        <v>0</v>
      </c>
      <c r="E79" s="91" t="e">
        <f>VLOOKUP(B79,Team!$B$4:$E$183,4,FALSE)</f>
        <v>#N/A</v>
      </c>
      <c r="F79" s="92" t="str">
        <f>Weekly!P71</f>
        <v/>
      </c>
      <c r="G79" s="92" t="str">
        <f>Weekly!Q71</f>
        <v/>
      </c>
      <c r="H79" s="48" t="str">
        <f t="shared" si="70"/>
        <v/>
      </c>
      <c r="I79" s="48" t="str">
        <f t="shared" si="71"/>
        <v/>
      </c>
      <c r="J79" s="48" t="str">
        <f t="shared" si="72"/>
        <v/>
      </c>
      <c r="K79" s="84" t="str">
        <f t="shared" si="73"/>
        <v/>
      </c>
      <c r="L79" s="82" t="str">
        <f t="shared" si="74"/>
        <v/>
      </c>
      <c r="M79" s="48" t="str">
        <f t="shared" si="75"/>
        <v/>
      </c>
      <c r="N79" s="48" t="str">
        <f t="shared" si="76"/>
        <v/>
      </c>
      <c r="O79" s="84" t="str">
        <f t="shared" si="77"/>
        <v/>
      </c>
      <c r="P79" s="82" t="str">
        <f t="shared" si="78"/>
        <v/>
      </c>
      <c r="Q79" s="48" t="str">
        <f t="shared" si="79"/>
        <v/>
      </c>
      <c r="R79" s="48" t="str">
        <f t="shared" si="80"/>
        <v/>
      </c>
      <c r="S79" s="84" t="str">
        <f t="shared" si="81"/>
        <v/>
      </c>
      <c r="T79" s="82" t="str">
        <f t="shared" si="82"/>
        <v/>
      </c>
      <c r="U79" s="48" t="str">
        <f t="shared" si="83"/>
        <v/>
      </c>
      <c r="V79" s="48" t="str">
        <f t="shared" si="84"/>
        <v/>
      </c>
      <c r="W79" s="84" t="str">
        <f t="shared" si="85"/>
        <v/>
      </c>
      <c r="X79" s="82" t="str">
        <f t="shared" si="86"/>
        <v/>
      </c>
      <c r="Y79" s="48" t="str">
        <f t="shared" si="87"/>
        <v/>
      </c>
      <c r="Z79" s="48" t="str">
        <f t="shared" si="88"/>
        <v/>
      </c>
      <c r="AA79" s="84" t="str">
        <f t="shared" si="89"/>
        <v/>
      </c>
      <c r="AB79" s="82" t="str">
        <f t="shared" si="90"/>
        <v/>
      </c>
      <c r="AC79" s="48" t="str">
        <f t="shared" si="91"/>
        <v/>
      </c>
      <c r="AD79" s="48" t="str">
        <f t="shared" si="92"/>
        <v/>
      </c>
      <c r="AE79" s="84" t="str">
        <f t="shared" si="93"/>
        <v/>
      </c>
      <c r="AF79" s="82" t="str">
        <f t="shared" si="94"/>
        <v/>
      </c>
      <c r="AG79" s="48" t="str">
        <f t="shared" si="95"/>
        <v/>
      </c>
      <c r="AH79" s="48" t="str">
        <f t="shared" si="96"/>
        <v/>
      </c>
      <c r="AI79" s="84" t="str">
        <f t="shared" si="97"/>
        <v/>
      </c>
      <c r="AJ79" s="82" t="str">
        <f t="shared" si="98"/>
        <v/>
      </c>
      <c r="AK79" s="48" t="str">
        <f t="shared" si="99"/>
        <v/>
      </c>
      <c r="AL79" s="48" t="str">
        <f t="shared" si="100"/>
        <v/>
      </c>
      <c r="AM79" s="84" t="str">
        <f t="shared" si="101"/>
        <v/>
      </c>
      <c r="AN79" s="82" t="str">
        <f t="shared" si="102"/>
        <v/>
      </c>
      <c r="AO79" s="48" t="str">
        <f t="shared" si="103"/>
        <v/>
      </c>
      <c r="AP79" s="48" t="str">
        <f t="shared" si="104"/>
        <v/>
      </c>
      <c r="AQ79" s="84" t="str">
        <f t="shared" si="105"/>
        <v/>
      </c>
      <c r="AR79" s="82" t="str">
        <f t="shared" si="106"/>
        <v/>
      </c>
      <c r="AS79" s="48" t="str">
        <f t="shared" si="107"/>
        <v/>
      </c>
      <c r="AT79" s="48" t="str">
        <f t="shared" si="108"/>
        <v/>
      </c>
      <c r="AU79" s="84" t="str">
        <f t="shared" si="109"/>
        <v/>
      </c>
      <c r="AV79" s="82" t="str">
        <f t="shared" si="110"/>
        <v/>
      </c>
      <c r="AW79" s="48" t="str">
        <f t="shared" si="111"/>
        <v/>
      </c>
      <c r="AX79" s="48" t="str">
        <f t="shared" si="112"/>
        <v/>
      </c>
      <c r="AY79" s="84" t="str">
        <f t="shared" si="113"/>
        <v/>
      </c>
      <c r="AZ79" s="82" t="str">
        <f t="shared" si="114"/>
        <v/>
      </c>
      <c r="BA79" s="48" t="str">
        <f t="shared" si="115"/>
        <v/>
      </c>
      <c r="BB79" s="48" t="str">
        <f t="shared" si="116"/>
        <v/>
      </c>
      <c r="BC79" s="84" t="str">
        <f t="shared" si="117"/>
        <v/>
      </c>
      <c r="BD79" s="82" t="str">
        <f t="shared" si="118"/>
        <v/>
      </c>
      <c r="BE79" s="48" t="str">
        <f t="shared" si="119"/>
        <v/>
      </c>
      <c r="BF79" s="48" t="str">
        <f t="shared" si="120"/>
        <v/>
      </c>
      <c r="BG79" s="84" t="str">
        <f t="shared" si="121"/>
        <v/>
      </c>
      <c r="BH79" s="87" t="str">
        <f t="shared" si="122"/>
        <v/>
      </c>
      <c r="BI79" s="49" t="str">
        <f t="shared" si="123"/>
        <v/>
      </c>
      <c r="BJ79" s="49" t="str">
        <f t="shared" si="124"/>
        <v/>
      </c>
      <c r="BK79" s="89" t="str">
        <f t="shared" si="125"/>
        <v/>
      </c>
      <c r="BL79" s="87" t="str">
        <f t="shared" si="126"/>
        <v/>
      </c>
      <c r="BM79" s="49" t="str">
        <f t="shared" si="127"/>
        <v/>
      </c>
      <c r="BN79" s="49" t="str">
        <f t="shared" si="128"/>
        <v/>
      </c>
      <c r="BO79" s="89" t="str">
        <f t="shared" si="129"/>
        <v/>
      </c>
      <c r="BP79" s="87" t="str">
        <f t="shared" si="130"/>
        <v/>
      </c>
      <c r="BQ79" s="49" t="str">
        <f t="shared" si="131"/>
        <v/>
      </c>
      <c r="BR79" s="49" t="str">
        <f t="shared" si="132"/>
        <v/>
      </c>
      <c r="BS79" s="89" t="str">
        <f t="shared" si="133"/>
        <v/>
      </c>
      <c r="BT79" s="87" t="str">
        <f t="shared" si="134"/>
        <v/>
      </c>
    </row>
    <row r="80" spans="2:72">
      <c r="B80" s="81">
        <f>Weekly!B72</f>
        <v>0</v>
      </c>
      <c r="C80" s="90">
        <f>Weekly!C72</f>
        <v>0</v>
      </c>
      <c r="D80" s="90">
        <f>Weekly!D97</f>
        <v>0</v>
      </c>
      <c r="E80" s="91" t="e">
        <f>VLOOKUP(B80,Team!$B$4:$E$183,4,FALSE)</f>
        <v>#N/A</v>
      </c>
      <c r="F80" s="92" t="str">
        <f>Weekly!P72</f>
        <v/>
      </c>
      <c r="G80" s="92" t="str">
        <f>Weekly!Q72</f>
        <v/>
      </c>
      <c r="H80" s="48" t="str">
        <f t="shared" si="70"/>
        <v/>
      </c>
      <c r="I80" s="48" t="str">
        <f t="shared" si="71"/>
        <v/>
      </c>
      <c r="J80" s="48" t="str">
        <f t="shared" si="72"/>
        <v/>
      </c>
      <c r="K80" s="84" t="str">
        <f t="shared" si="73"/>
        <v/>
      </c>
      <c r="L80" s="82" t="str">
        <f t="shared" si="74"/>
        <v/>
      </c>
      <c r="M80" s="48" t="str">
        <f t="shared" si="75"/>
        <v/>
      </c>
      <c r="N80" s="48" t="str">
        <f t="shared" si="76"/>
        <v/>
      </c>
      <c r="O80" s="84" t="str">
        <f t="shared" si="77"/>
        <v/>
      </c>
      <c r="P80" s="82" t="str">
        <f t="shared" si="78"/>
        <v/>
      </c>
      <c r="Q80" s="48" t="str">
        <f t="shared" si="79"/>
        <v/>
      </c>
      <c r="R80" s="48" t="str">
        <f t="shared" si="80"/>
        <v/>
      </c>
      <c r="S80" s="84" t="str">
        <f t="shared" si="81"/>
        <v/>
      </c>
      <c r="T80" s="82" t="str">
        <f t="shared" si="82"/>
        <v/>
      </c>
      <c r="U80" s="48" t="str">
        <f t="shared" si="83"/>
        <v/>
      </c>
      <c r="V80" s="48" t="str">
        <f t="shared" si="84"/>
        <v/>
      </c>
      <c r="W80" s="84" t="str">
        <f t="shared" si="85"/>
        <v/>
      </c>
      <c r="X80" s="82" t="str">
        <f t="shared" si="86"/>
        <v/>
      </c>
      <c r="Y80" s="48" t="str">
        <f t="shared" si="87"/>
        <v/>
      </c>
      <c r="Z80" s="48" t="str">
        <f t="shared" si="88"/>
        <v/>
      </c>
      <c r="AA80" s="84" t="str">
        <f t="shared" si="89"/>
        <v/>
      </c>
      <c r="AB80" s="82" t="str">
        <f t="shared" si="90"/>
        <v/>
      </c>
      <c r="AC80" s="48" t="str">
        <f t="shared" si="91"/>
        <v/>
      </c>
      <c r="AD80" s="48" t="str">
        <f t="shared" si="92"/>
        <v/>
      </c>
      <c r="AE80" s="84" t="str">
        <f t="shared" si="93"/>
        <v/>
      </c>
      <c r="AF80" s="82" t="str">
        <f t="shared" si="94"/>
        <v/>
      </c>
      <c r="AG80" s="48" t="str">
        <f t="shared" si="95"/>
        <v/>
      </c>
      <c r="AH80" s="48" t="str">
        <f t="shared" si="96"/>
        <v/>
      </c>
      <c r="AI80" s="84" t="str">
        <f t="shared" si="97"/>
        <v/>
      </c>
      <c r="AJ80" s="82" t="str">
        <f t="shared" si="98"/>
        <v/>
      </c>
      <c r="AK80" s="48" t="str">
        <f t="shared" si="99"/>
        <v/>
      </c>
      <c r="AL80" s="48" t="str">
        <f t="shared" si="100"/>
        <v/>
      </c>
      <c r="AM80" s="84" t="str">
        <f t="shared" si="101"/>
        <v/>
      </c>
      <c r="AN80" s="82" t="str">
        <f t="shared" si="102"/>
        <v/>
      </c>
      <c r="AO80" s="48" t="str">
        <f t="shared" si="103"/>
        <v/>
      </c>
      <c r="AP80" s="48" t="str">
        <f t="shared" si="104"/>
        <v/>
      </c>
      <c r="AQ80" s="84" t="str">
        <f t="shared" si="105"/>
        <v/>
      </c>
      <c r="AR80" s="82" t="str">
        <f t="shared" si="106"/>
        <v/>
      </c>
      <c r="AS80" s="48" t="str">
        <f t="shared" si="107"/>
        <v/>
      </c>
      <c r="AT80" s="48" t="str">
        <f t="shared" si="108"/>
        <v/>
      </c>
      <c r="AU80" s="84" t="str">
        <f t="shared" si="109"/>
        <v/>
      </c>
      <c r="AV80" s="82" t="str">
        <f t="shared" si="110"/>
        <v/>
      </c>
      <c r="AW80" s="48" t="str">
        <f t="shared" si="111"/>
        <v/>
      </c>
      <c r="AX80" s="48" t="str">
        <f t="shared" si="112"/>
        <v/>
      </c>
      <c r="AY80" s="84" t="str">
        <f t="shared" si="113"/>
        <v/>
      </c>
      <c r="AZ80" s="82" t="str">
        <f t="shared" si="114"/>
        <v/>
      </c>
      <c r="BA80" s="48" t="str">
        <f t="shared" si="115"/>
        <v/>
      </c>
      <c r="BB80" s="48" t="str">
        <f t="shared" si="116"/>
        <v/>
      </c>
      <c r="BC80" s="84" t="str">
        <f t="shared" si="117"/>
        <v/>
      </c>
      <c r="BD80" s="82" t="str">
        <f t="shared" si="118"/>
        <v/>
      </c>
      <c r="BE80" s="48" t="str">
        <f t="shared" si="119"/>
        <v/>
      </c>
      <c r="BF80" s="48" t="str">
        <f t="shared" si="120"/>
        <v/>
      </c>
      <c r="BG80" s="84" t="str">
        <f t="shared" si="121"/>
        <v/>
      </c>
      <c r="BH80" s="87" t="str">
        <f t="shared" si="122"/>
        <v/>
      </c>
      <c r="BI80" s="49" t="str">
        <f t="shared" si="123"/>
        <v/>
      </c>
      <c r="BJ80" s="49" t="str">
        <f t="shared" si="124"/>
        <v/>
      </c>
      <c r="BK80" s="89" t="str">
        <f t="shared" si="125"/>
        <v/>
      </c>
      <c r="BL80" s="87" t="str">
        <f t="shared" si="126"/>
        <v/>
      </c>
      <c r="BM80" s="49" t="str">
        <f t="shared" si="127"/>
        <v/>
      </c>
      <c r="BN80" s="49" t="str">
        <f t="shared" si="128"/>
        <v/>
      </c>
      <c r="BO80" s="89" t="str">
        <f t="shared" si="129"/>
        <v/>
      </c>
      <c r="BP80" s="87" t="str">
        <f t="shared" si="130"/>
        <v/>
      </c>
      <c r="BQ80" s="49" t="str">
        <f t="shared" si="131"/>
        <v/>
      </c>
      <c r="BR80" s="49" t="str">
        <f t="shared" si="132"/>
        <v/>
      </c>
      <c r="BS80" s="89" t="str">
        <f t="shared" si="133"/>
        <v/>
      </c>
      <c r="BT80" s="87" t="str">
        <f t="shared" si="134"/>
        <v/>
      </c>
    </row>
    <row r="81" spans="2:72">
      <c r="B81" s="81">
        <f>Weekly!B73</f>
        <v>0</v>
      </c>
      <c r="C81" s="90">
        <f>Weekly!C73</f>
        <v>0</v>
      </c>
      <c r="D81" s="90">
        <f>Weekly!D98</f>
        <v>0</v>
      </c>
      <c r="E81" s="91" t="e">
        <f>VLOOKUP(B81,Team!$B$4:$E$183,4,FALSE)</f>
        <v>#N/A</v>
      </c>
      <c r="F81" s="92" t="str">
        <f>Weekly!P73</f>
        <v/>
      </c>
      <c r="G81" s="92" t="str">
        <f>Weekly!Q73</f>
        <v/>
      </c>
      <c r="H81" s="48" t="str">
        <f t="shared" ref="H81:H103" si="135">IF(AND($H$12&gt;=$F81,$H$12&lt;$G81),$E81,"")</f>
        <v/>
      </c>
      <c r="I81" s="48" t="str">
        <f t="shared" ref="I81:I103" si="136">IF(AND($I$12&gt;=$F81,$I$12&lt;$G81),$E81,"")</f>
        <v/>
      </c>
      <c r="J81" s="48" t="str">
        <f t="shared" ref="J81:J103" si="137">IF(AND($J$12&gt;=$F81,$J$12&lt;$G81),$E81,"")</f>
        <v/>
      </c>
      <c r="K81" s="84" t="str">
        <f t="shared" ref="K81:K103" si="138">IF(AND($K$12&gt;=$F81,$K$12&lt;$G81),$E81,"")</f>
        <v/>
      </c>
      <c r="L81" s="82" t="str">
        <f t="shared" ref="L81:L103" si="139">IF(AND($L$12&gt;=$F81,$L$12&lt;$G81),$E81,"")</f>
        <v/>
      </c>
      <c r="M81" s="48" t="str">
        <f t="shared" ref="M81:M103" si="140">IF(AND($M$12&gt;=$F81,$M$12&lt;$G81),$E81,"")</f>
        <v/>
      </c>
      <c r="N81" s="48" t="str">
        <f t="shared" ref="N81:N103" si="141">IF(AND($N$12&gt;=$F81,$N$12&lt;$G81),$E81,"")</f>
        <v/>
      </c>
      <c r="O81" s="84" t="str">
        <f t="shared" ref="O81:O103" si="142">IF(AND($O$12&gt;=$F81,$O$12&lt;$G81),$E81,"")</f>
        <v/>
      </c>
      <c r="P81" s="82" t="str">
        <f t="shared" ref="P81:P103" si="143">IF(AND($P$12&gt;=$F81,$P$12&lt;$G81),$E81,"")</f>
        <v/>
      </c>
      <c r="Q81" s="48" t="str">
        <f t="shared" ref="Q81:Q103" si="144">IF(AND($Q$12&gt;=$F81,$Q$12&lt;$G81),$E81,"")</f>
        <v/>
      </c>
      <c r="R81" s="48" t="str">
        <f t="shared" ref="R81:R103" si="145">IF(AND($R$12&gt;=$F81,$R$12&lt;$G81),$E81,"")</f>
        <v/>
      </c>
      <c r="S81" s="84" t="str">
        <f t="shared" ref="S81:S103" si="146">IF(AND($S$12&gt;=$F81,$S$12&lt;$G81),$E81,"")</f>
        <v/>
      </c>
      <c r="T81" s="82" t="str">
        <f t="shared" ref="T81:T103" si="147">IF(AND($T$12&gt;=$F81,$T$12&lt;$G81),$E81,"")</f>
        <v/>
      </c>
      <c r="U81" s="48" t="str">
        <f t="shared" ref="U81:U103" si="148">IF(AND($U$12&gt;=$F81,$U$12&lt;$G81),$E81,"")</f>
        <v/>
      </c>
      <c r="V81" s="48" t="str">
        <f t="shared" ref="V81:V103" si="149">IF(AND($V$12&gt;=$F81,$V$12&lt;$G81),$E81,"")</f>
        <v/>
      </c>
      <c r="W81" s="84" t="str">
        <f t="shared" ref="W81:W103" si="150">IF(AND($W$12&gt;=$F81,$W$12&lt;$G81),$E81,"")</f>
        <v/>
      </c>
      <c r="X81" s="82" t="str">
        <f t="shared" ref="X81:X103" si="151">IF(AND($X$12&gt;=$F81,$X$12&lt;$G81),$E81,"")</f>
        <v/>
      </c>
      <c r="Y81" s="48" t="str">
        <f t="shared" ref="Y81:Y103" si="152">IF(AND($Y$12&gt;=$F81,$Y$12&lt;$G81),$E81,"")</f>
        <v/>
      </c>
      <c r="Z81" s="48" t="str">
        <f t="shared" ref="Z81:Z103" si="153">IF(AND($Z$12&gt;=$F81,$Z$12&lt;$G81),$E81,"")</f>
        <v/>
      </c>
      <c r="AA81" s="84" t="str">
        <f t="shared" ref="AA81:AA103" si="154">IF(AND($AA$12&gt;=$F81,$AA$12&lt;$G81),$E81,"")</f>
        <v/>
      </c>
      <c r="AB81" s="82" t="str">
        <f t="shared" ref="AB81:AB103" si="155">IF(AND($AB$12&gt;=$F81,$AB$12&lt;$G81),$E81,"")</f>
        <v/>
      </c>
      <c r="AC81" s="48" t="str">
        <f t="shared" ref="AC81:AC103" si="156">IF(AND($AC$12&gt;=$F81,$AC$12&lt;$G81),$E81,"")</f>
        <v/>
      </c>
      <c r="AD81" s="48" t="str">
        <f t="shared" ref="AD81:AD103" si="157">IF(AND($AD$12&gt;=$F81,$AD$12&lt;$G81),$E81,"")</f>
        <v/>
      </c>
      <c r="AE81" s="84" t="str">
        <f t="shared" ref="AE81:AE103" si="158">IF(AND($AE$12&gt;=$F81,$AE$12&lt;$G81),$E81,"")</f>
        <v/>
      </c>
      <c r="AF81" s="82" t="str">
        <f t="shared" ref="AF81:AF103" si="159">IF(AND($AF$12&gt;=$F81,$AF$12&lt;$G81),$E81,"")</f>
        <v/>
      </c>
      <c r="AG81" s="48" t="str">
        <f t="shared" ref="AG81:AG103" si="160">IF(AND($AG$12&gt;=$F81,$AG$12&lt;$G81),$E81,"")</f>
        <v/>
      </c>
      <c r="AH81" s="48" t="str">
        <f t="shared" ref="AH81:AH103" si="161">IF(AND($AH$12&gt;=$F81,$AH$12&lt;$G81),$E81,"")</f>
        <v/>
      </c>
      <c r="AI81" s="84" t="str">
        <f t="shared" ref="AI81:AI103" si="162">IF(AND($AI$12&gt;=$F81,$AI$12&lt;$G81),$E81,"")</f>
        <v/>
      </c>
      <c r="AJ81" s="82" t="str">
        <f t="shared" ref="AJ81:AJ103" si="163">IF(AND($AJ$12&gt;=$F81,$AJ$12&lt;$G81),$E81,"")</f>
        <v/>
      </c>
      <c r="AK81" s="48" t="str">
        <f t="shared" ref="AK81:AK103" si="164">IF(AND($AK$12&gt;=$F81,$AK$12&lt;$G81),$E81,"")</f>
        <v/>
      </c>
      <c r="AL81" s="48" t="str">
        <f t="shared" ref="AL81:AL103" si="165">IF(AND($AL$12&gt;=$F81,$AL$12&lt;$G81),$E81,"")</f>
        <v/>
      </c>
      <c r="AM81" s="84" t="str">
        <f t="shared" ref="AM81:AM103" si="166">IF(AND($AM$12&gt;=$F81,$AM$12&lt;$G81),$E81,"")</f>
        <v/>
      </c>
      <c r="AN81" s="82" t="str">
        <f t="shared" ref="AN81:AN103" si="167">IF(AND($AN$12&gt;=$F81,$AN$12&lt;$G81),$E81,"")</f>
        <v/>
      </c>
      <c r="AO81" s="48" t="str">
        <f t="shared" ref="AO81:AO103" si="168">IF(AND($AO$12&gt;=$F81,$AO$12&lt;$G81),$E81,"")</f>
        <v/>
      </c>
      <c r="AP81" s="48" t="str">
        <f t="shared" ref="AP81:AP103" si="169">IF(AND($AP$12&gt;=$F81,$AP$12&lt;$G81),$E81,"")</f>
        <v/>
      </c>
      <c r="AQ81" s="84" t="str">
        <f t="shared" ref="AQ81:AQ103" si="170">IF(AND($AQ$12&gt;=$F81,$AQ$12&lt;$G81),$E81,"")</f>
        <v/>
      </c>
      <c r="AR81" s="82" t="str">
        <f t="shared" ref="AR81:AR103" si="171">IF(AND($AR$12&gt;=$F81,$AR$12&lt;$G81),$E81,"")</f>
        <v/>
      </c>
      <c r="AS81" s="48" t="str">
        <f t="shared" ref="AS81:AS103" si="172">IF(AND($AS$12&gt;=$F81,$AS$12&lt;$G81),$E81,"")</f>
        <v/>
      </c>
      <c r="AT81" s="48" t="str">
        <f t="shared" ref="AT81:AT103" si="173">IF(AND($AT$12&gt;=$F81,$AT$12&lt;$G81),$E81,"")</f>
        <v/>
      </c>
      <c r="AU81" s="84" t="str">
        <f t="shared" ref="AU81:AU103" si="174">IF(AND($AU$12&gt;=$F81,$AU$12&lt;$G81),$E81,"")</f>
        <v/>
      </c>
      <c r="AV81" s="82" t="str">
        <f t="shared" ref="AV81:AV103" si="175">IF(AND($AV$12&gt;=$F81,$AV$12&lt;$G81),$E81,"")</f>
        <v/>
      </c>
      <c r="AW81" s="48" t="str">
        <f t="shared" ref="AW81:AW103" si="176">IF(AND($AW$12&gt;=$F81,$AW$12&lt;$G81),$E81,"")</f>
        <v/>
      </c>
      <c r="AX81" s="48" t="str">
        <f t="shared" ref="AX81:AX103" si="177">IF(AND($AX$12&gt;=$F81,$AX$12&lt;$G81),$E81,"")</f>
        <v/>
      </c>
      <c r="AY81" s="84" t="str">
        <f t="shared" ref="AY81:AY103" si="178">IF(AND($AY$12&gt;=$F81,$AY$12&lt;$G81),$E81,"")</f>
        <v/>
      </c>
      <c r="AZ81" s="82" t="str">
        <f t="shared" ref="AZ81:AZ103" si="179">IF(AND($AZ$12&gt;=$F81,$AZ$12&lt;$G81),$E81,"")</f>
        <v/>
      </c>
      <c r="BA81" s="48" t="str">
        <f t="shared" ref="BA81:BA103" si="180">IF(AND($BA$12&gt;=$F81,$BA$12&lt;$G81),$E81,"")</f>
        <v/>
      </c>
      <c r="BB81" s="48" t="str">
        <f t="shared" ref="BB81:BB103" si="181">IF(AND($BB$12&gt;=$F81,$BB$12&lt;$G81),$E81,"")</f>
        <v/>
      </c>
      <c r="BC81" s="84" t="str">
        <f t="shared" ref="BC81:BC103" si="182">IF(AND($BC$12&gt;=$F81,$BC$12&lt;$G81),$E81,"")</f>
        <v/>
      </c>
      <c r="BD81" s="82" t="str">
        <f t="shared" ref="BD81:BD103" si="183">IF(AND($BD$12&gt;=$F81,$BD$12&lt;$G81),$E81,"")</f>
        <v/>
      </c>
      <c r="BE81" s="48" t="str">
        <f t="shared" ref="BE81:BE103" si="184">IF(AND($BE$12&gt;=$F81,$BE$12&lt;$G81),$E81,"")</f>
        <v/>
      </c>
      <c r="BF81" s="48" t="str">
        <f t="shared" ref="BF81:BF103" si="185">IF(AND($BF$12&gt;=$F81,$BF$12&lt;$G81),$E81,"")</f>
        <v/>
      </c>
      <c r="BG81" s="84" t="str">
        <f t="shared" ref="BG81:BG103" si="186">IF(AND($BG$12&gt;=$F81,$BG$12&lt;$G81),$E81,"")</f>
        <v/>
      </c>
      <c r="BH81" s="87" t="str">
        <f t="shared" ref="BH81:BH103" si="187">IF(AND($BH$12&gt;=$F81,$BH$12&lt;$G81),$E81,"")</f>
        <v/>
      </c>
      <c r="BI81" s="49" t="str">
        <f t="shared" ref="BI81:BI103" si="188">IF(AND($BI$12&gt;=$F81,$BI$12&lt;$G81),$E81,"")</f>
        <v/>
      </c>
      <c r="BJ81" s="49" t="str">
        <f t="shared" ref="BJ81:BJ103" si="189">IF(AND($BJ$12&gt;=$F81,$BJ$12&lt;$G81),$E81,"")</f>
        <v/>
      </c>
      <c r="BK81" s="89" t="str">
        <f t="shared" ref="BK81:BK103" si="190">IF(AND($BK$12&gt;=$F81,$BK$12&lt;$G81),$E81,"")</f>
        <v/>
      </c>
      <c r="BL81" s="87" t="str">
        <f t="shared" ref="BL81:BL103" si="191">IF(AND($BL$12&gt;=$F81,$BL$12&lt;$G81),$E81,"")</f>
        <v/>
      </c>
      <c r="BM81" s="49" t="str">
        <f t="shared" ref="BM81:BM103" si="192">IF(AND($BM$12&gt;=$F81,$BM$12&lt;$G81),$E81,"")</f>
        <v/>
      </c>
      <c r="BN81" s="49" t="str">
        <f t="shared" ref="BN81:BN103" si="193">IF(AND($BN$12&gt;=$F81,$BN$12&lt;$G81),$E81,"")</f>
        <v/>
      </c>
      <c r="BO81" s="89" t="str">
        <f t="shared" ref="BO81:BO103" si="194">IF(AND($BO$12&gt;=$F81,$BO$12&lt;$G81),$E81,"")</f>
        <v/>
      </c>
      <c r="BP81" s="87" t="str">
        <f t="shared" ref="BP81:BP103" si="195">IF(AND($BP$12&gt;=$F81,$BP$12&lt;$G81),$E81,"")</f>
        <v/>
      </c>
      <c r="BQ81" s="49" t="str">
        <f t="shared" ref="BQ81:BQ103" si="196">IF(AND($BQ$12&gt;=$F81,$BQ$12&lt;$G81),$E81,"")</f>
        <v/>
      </c>
      <c r="BR81" s="49" t="str">
        <f t="shared" ref="BR81:BR103" si="197">IF(AND($BR$12&gt;=$F81,$BR$12&lt;$G81),$E81,"")</f>
        <v/>
      </c>
      <c r="BS81" s="89" t="str">
        <f t="shared" ref="BS81:BS103" si="198">IF(AND($BS$12&gt;=$F81,$BS$12&lt;$G81),$E81,"")</f>
        <v/>
      </c>
      <c r="BT81" s="87" t="str">
        <f t="shared" ref="BT81:BT103" si="199">IF(AND($BT$12&gt;=$F81,$BT$12&lt;$G81),$E81,"")</f>
        <v/>
      </c>
    </row>
    <row r="82" spans="2:72">
      <c r="B82" s="81">
        <f>Weekly!B74</f>
        <v>0</v>
      </c>
      <c r="C82" s="90">
        <f>Weekly!C74</f>
        <v>0</v>
      </c>
      <c r="D82" s="90">
        <f>Weekly!D99</f>
        <v>0</v>
      </c>
      <c r="E82" s="91" t="e">
        <f>VLOOKUP(B82,Team!$B$4:$E$183,4,FALSE)</f>
        <v>#N/A</v>
      </c>
      <c r="F82" s="92" t="str">
        <f>Weekly!P74</f>
        <v/>
      </c>
      <c r="G82" s="92" t="str">
        <f>Weekly!Q74</f>
        <v/>
      </c>
      <c r="H82" s="48" t="str">
        <f t="shared" si="135"/>
        <v/>
      </c>
      <c r="I82" s="48" t="str">
        <f t="shared" si="136"/>
        <v/>
      </c>
      <c r="J82" s="48" t="str">
        <f t="shared" si="137"/>
        <v/>
      </c>
      <c r="K82" s="84" t="str">
        <f t="shared" si="138"/>
        <v/>
      </c>
      <c r="L82" s="82" t="str">
        <f t="shared" si="139"/>
        <v/>
      </c>
      <c r="M82" s="48" t="str">
        <f t="shared" si="140"/>
        <v/>
      </c>
      <c r="N82" s="48" t="str">
        <f t="shared" si="141"/>
        <v/>
      </c>
      <c r="O82" s="84" t="str">
        <f t="shared" si="142"/>
        <v/>
      </c>
      <c r="P82" s="82" t="str">
        <f t="shared" si="143"/>
        <v/>
      </c>
      <c r="Q82" s="48" t="str">
        <f t="shared" si="144"/>
        <v/>
      </c>
      <c r="R82" s="48" t="str">
        <f t="shared" si="145"/>
        <v/>
      </c>
      <c r="S82" s="84" t="str">
        <f t="shared" si="146"/>
        <v/>
      </c>
      <c r="T82" s="82" t="str">
        <f t="shared" si="147"/>
        <v/>
      </c>
      <c r="U82" s="48" t="str">
        <f t="shared" si="148"/>
        <v/>
      </c>
      <c r="V82" s="48" t="str">
        <f t="shared" si="149"/>
        <v/>
      </c>
      <c r="W82" s="84" t="str">
        <f t="shared" si="150"/>
        <v/>
      </c>
      <c r="X82" s="82" t="str">
        <f t="shared" si="151"/>
        <v/>
      </c>
      <c r="Y82" s="48" t="str">
        <f t="shared" si="152"/>
        <v/>
      </c>
      <c r="Z82" s="48" t="str">
        <f t="shared" si="153"/>
        <v/>
      </c>
      <c r="AA82" s="84" t="str">
        <f t="shared" si="154"/>
        <v/>
      </c>
      <c r="AB82" s="82" t="str">
        <f t="shared" si="155"/>
        <v/>
      </c>
      <c r="AC82" s="48" t="str">
        <f t="shared" si="156"/>
        <v/>
      </c>
      <c r="AD82" s="48" t="str">
        <f t="shared" si="157"/>
        <v/>
      </c>
      <c r="AE82" s="84" t="str">
        <f t="shared" si="158"/>
        <v/>
      </c>
      <c r="AF82" s="82" t="str">
        <f t="shared" si="159"/>
        <v/>
      </c>
      <c r="AG82" s="48" t="str">
        <f t="shared" si="160"/>
        <v/>
      </c>
      <c r="AH82" s="48" t="str">
        <f t="shared" si="161"/>
        <v/>
      </c>
      <c r="AI82" s="84" t="str">
        <f t="shared" si="162"/>
        <v/>
      </c>
      <c r="AJ82" s="82" t="str">
        <f t="shared" si="163"/>
        <v/>
      </c>
      <c r="AK82" s="48" t="str">
        <f t="shared" si="164"/>
        <v/>
      </c>
      <c r="AL82" s="48" t="str">
        <f t="shared" si="165"/>
        <v/>
      </c>
      <c r="AM82" s="84" t="str">
        <f t="shared" si="166"/>
        <v/>
      </c>
      <c r="AN82" s="82" t="str">
        <f t="shared" si="167"/>
        <v/>
      </c>
      <c r="AO82" s="48" t="str">
        <f t="shared" si="168"/>
        <v/>
      </c>
      <c r="AP82" s="48" t="str">
        <f t="shared" si="169"/>
        <v/>
      </c>
      <c r="AQ82" s="84" t="str">
        <f t="shared" si="170"/>
        <v/>
      </c>
      <c r="AR82" s="82" t="str">
        <f t="shared" si="171"/>
        <v/>
      </c>
      <c r="AS82" s="48" t="str">
        <f t="shared" si="172"/>
        <v/>
      </c>
      <c r="AT82" s="48" t="str">
        <f t="shared" si="173"/>
        <v/>
      </c>
      <c r="AU82" s="84" t="str">
        <f t="shared" si="174"/>
        <v/>
      </c>
      <c r="AV82" s="82" t="str">
        <f t="shared" si="175"/>
        <v/>
      </c>
      <c r="AW82" s="48" t="str">
        <f t="shared" si="176"/>
        <v/>
      </c>
      <c r="AX82" s="48" t="str">
        <f t="shared" si="177"/>
        <v/>
      </c>
      <c r="AY82" s="84" t="str">
        <f t="shared" si="178"/>
        <v/>
      </c>
      <c r="AZ82" s="82" t="str">
        <f t="shared" si="179"/>
        <v/>
      </c>
      <c r="BA82" s="48" t="str">
        <f t="shared" si="180"/>
        <v/>
      </c>
      <c r="BB82" s="48" t="str">
        <f t="shared" si="181"/>
        <v/>
      </c>
      <c r="BC82" s="84" t="str">
        <f t="shared" si="182"/>
        <v/>
      </c>
      <c r="BD82" s="82" t="str">
        <f t="shared" si="183"/>
        <v/>
      </c>
      <c r="BE82" s="48" t="str">
        <f t="shared" si="184"/>
        <v/>
      </c>
      <c r="BF82" s="48" t="str">
        <f t="shared" si="185"/>
        <v/>
      </c>
      <c r="BG82" s="84" t="str">
        <f t="shared" si="186"/>
        <v/>
      </c>
      <c r="BH82" s="87" t="str">
        <f t="shared" si="187"/>
        <v/>
      </c>
      <c r="BI82" s="49" t="str">
        <f t="shared" si="188"/>
        <v/>
      </c>
      <c r="BJ82" s="49" t="str">
        <f t="shared" si="189"/>
        <v/>
      </c>
      <c r="BK82" s="89" t="str">
        <f t="shared" si="190"/>
        <v/>
      </c>
      <c r="BL82" s="87" t="str">
        <f t="shared" si="191"/>
        <v/>
      </c>
      <c r="BM82" s="49" t="str">
        <f t="shared" si="192"/>
        <v/>
      </c>
      <c r="BN82" s="49" t="str">
        <f t="shared" si="193"/>
        <v/>
      </c>
      <c r="BO82" s="89" t="str">
        <f t="shared" si="194"/>
        <v/>
      </c>
      <c r="BP82" s="87" t="str">
        <f t="shared" si="195"/>
        <v/>
      </c>
      <c r="BQ82" s="49" t="str">
        <f t="shared" si="196"/>
        <v/>
      </c>
      <c r="BR82" s="49" t="str">
        <f t="shared" si="197"/>
        <v/>
      </c>
      <c r="BS82" s="89" t="str">
        <f t="shared" si="198"/>
        <v/>
      </c>
      <c r="BT82" s="87" t="str">
        <f t="shared" si="199"/>
        <v/>
      </c>
    </row>
    <row r="83" spans="2:72">
      <c r="B83" s="81">
        <f>Weekly!B75</f>
        <v>0</v>
      </c>
      <c r="C83" s="90">
        <f>Weekly!C75</f>
        <v>0</v>
      </c>
      <c r="D83" s="90">
        <f>Weekly!D100</f>
        <v>0</v>
      </c>
      <c r="E83" s="91" t="e">
        <f>VLOOKUP(B83,Team!$B$4:$E$183,4,FALSE)</f>
        <v>#N/A</v>
      </c>
      <c r="F83" s="92" t="str">
        <f>Weekly!P75</f>
        <v/>
      </c>
      <c r="G83" s="92" t="str">
        <f>Weekly!Q75</f>
        <v/>
      </c>
      <c r="H83" s="48" t="str">
        <f t="shared" si="135"/>
        <v/>
      </c>
      <c r="I83" s="48" t="str">
        <f t="shared" si="136"/>
        <v/>
      </c>
      <c r="J83" s="48" t="str">
        <f t="shared" si="137"/>
        <v/>
      </c>
      <c r="K83" s="84" t="str">
        <f t="shared" si="138"/>
        <v/>
      </c>
      <c r="L83" s="82" t="str">
        <f t="shared" si="139"/>
        <v/>
      </c>
      <c r="M83" s="48" t="str">
        <f t="shared" si="140"/>
        <v/>
      </c>
      <c r="N83" s="48" t="str">
        <f t="shared" si="141"/>
        <v/>
      </c>
      <c r="O83" s="84" t="str">
        <f t="shared" si="142"/>
        <v/>
      </c>
      <c r="P83" s="82" t="str">
        <f t="shared" si="143"/>
        <v/>
      </c>
      <c r="Q83" s="48" t="str">
        <f t="shared" si="144"/>
        <v/>
      </c>
      <c r="R83" s="48" t="str">
        <f t="shared" si="145"/>
        <v/>
      </c>
      <c r="S83" s="84" t="str">
        <f t="shared" si="146"/>
        <v/>
      </c>
      <c r="T83" s="82" t="str">
        <f t="shared" si="147"/>
        <v/>
      </c>
      <c r="U83" s="48" t="str">
        <f t="shared" si="148"/>
        <v/>
      </c>
      <c r="V83" s="48" t="str">
        <f t="shared" si="149"/>
        <v/>
      </c>
      <c r="W83" s="84" t="str">
        <f t="shared" si="150"/>
        <v/>
      </c>
      <c r="X83" s="82" t="str">
        <f t="shared" si="151"/>
        <v/>
      </c>
      <c r="Y83" s="48" t="str">
        <f t="shared" si="152"/>
        <v/>
      </c>
      <c r="Z83" s="48" t="str">
        <f t="shared" si="153"/>
        <v/>
      </c>
      <c r="AA83" s="84" t="str">
        <f t="shared" si="154"/>
        <v/>
      </c>
      <c r="AB83" s="82" t="str">
        <f t="shared" si="155"/>
        <v/>
      </c>
      <c r="AC83" s="48" t="str">
        <f t="shared" si="156"/>
        <v/>
      </c>
      <c r="AD83" s="48" t="str">
        <f t="shared" si="157"/>
        <v/>
      </c>
      <c r="AE83" s="84" t="str">
        <f t="shared" si="158"/>
        <v/>
      </c>
      <c r="AF83" s="82" t="str">
        <f t="shared" si="159"/>
        <v/>
      </c>
      <c r="AG83" s="48" t="str">
        <f t="shared" si="160"/>
        <v/>
      </c>
      <c r="AH83" s="48" t="str">
        <f t="shared" si="161"/>
        <v/>
      </c>
      <c r="AI83" s="84" t="str">
        <f t="shared" si="162"/>
        <v/>
      </c>
      <c r="AJ83" s="82" t="str">
        <f t="shared" si="163"/>
        <v/>
      </c>
      <c r="AK83" s="48" t="str">
        <f t="shared" si="164"/>
        <v/>
      </c>
      <c r="AL83" s="48" t="str">
        <f t="shared" si="165"/>
        <v/>
      </c>
      <c r="AM83" s="84" t="str">
        <f t="shared" si="166"/>
        <v/>
      </c>
      <c r="AN83" s="82" t="str">
        <f t="shared" si="167"/>
        <v/>
      </c>
      <c r="AO83" s="48" t="str">
        <f t="shared" si="168"/>
        <v/>
      </c>
      <c r="AP83" s="48" t="str">
        <f t="shared" si="169"/>
        <v/>
      </c>
      <c r="AQ83" s="84" t="str">
        <f t="shared" si="170"/>
        <v/>
      </c>
      <c r="AR83" s="82" t="str">
        <f t="shared" si="171"/>
        <v/>
      </c>
      <c r="AS83" s="48" t="str">
        <f t="shared" si="172"/>
        <v/>
      </c>
      <c r="AT83" s="48" t="str">
        <f t="shared" si="173"/>
        <v/>
      </c>
      <c r="AU83" s="84" t="str">
        <f t="shared" si="174"/>
        <v/>
      </c>
      <c r="AV83" s="82" t="str">
        <f t="shared" si="175"/>
        <v/>
      </c>
      <c r="AW83" s="48" t="str">
        <f t="shared" si="176"/>
        <v/>
      </c>
      <c r="AX83" s="48" t="str">
        <f t="shared" si="177"/>
        <v/>
      </c>
      <c r="AY83" s="84" t="str">
        <f t="shared" si="178"/>
        <v/>
      </c>
      <c r="AZ83" s="82" t="str">
        <f t="shared" si="179"/>
        <v/>
      </c>
      <c r="BA83" s="48" t="str">
        <f t="shared" si="180"/>
        <v/>
      </c>
      <c r="BB83" s="48" t="str">
        <f t="shared" si="181"/>
        <v/>
      </c>
      <c r="BC83" s="84" t="str">
        <f t="shared" si="182"/>
        <v/>
      </c>
      <c r="BD83" s="82" t="str">
        <f t="shared" si="183"/>
        <v/>
      </c>
      <c r="BE83" s="48" t="str">
        <f t="shared" si="184"/>
        <v/>
      </c>
      <c r="BF83" s="48" t="str">
        <f t="shared" si="185"/>
        <v/>
      </c>
      <c r="BG83" s="84" t="str">
        <f t="shared" si="186"/>
        <v/>
      </c>
      <c r="BH83" s="87" t="str">
        <f t="shared" si="187"/>
        <v/>
      </c>
      <c r="BI83" s="49" t="str">
        <f t="shared" si="188"/>
        <v/>
      </c>
      <c r="BJ83" s="49" t="str">
        <f t="shared" si="189"/>
        <v/>
      </c>
      <c r="BK83" s="89" t="str">
        <f t="shared" si="190"/>
        <v/>
      </c>
      <c r="BL83" s="87" t="str">
        <f t="shared" si="191"/>
        <v/>
      </c>
      <c r="BM83" s="49" t="str">
        <f t="shared" si="192"/>
        <v/>
      </c>
      <c r="BN83" s="49" t="str">
        <f t="shared" si="193"/>
        <v/>
      </c>
      <c r="BO83" s="89" t="str">
        <f t="shared" si="194"/>
        <v/>
      </c>
      <c r="BP83" s="87" t="str">
        <f t="shared" si="195"/>
        <v/>
      </c>
      <c r="BQ83" s="49" t="str">
        <f t="shared" si="196"/>
        <v/>
      </c>
      <c r="BR83" s="49" t="str">
        <f t="shared" si="197"/>
        <v/>
      </c>
      <c r="BS83" s="89" t="str">
        <f t="shared" si="198"/>
        <v/>
      </c>
      <c r="BT83" s="87" t="str">
        <f t="shared" si="199"/>
        <v/>
      </c>
    </row>
    <row r="84" spans="2:72">
      <c r="B84" s="81">
        <f>Weekly!B76</f>
        <v>0</v>
      </c>
      <c r="C84" s="90">
        <f>Weekly!C76</f>
        <v>0</v>
      </c>
      <c r="D84" s="90">
        <f>Weekly!D101</f>
        <v>0</v>
      </c>
      <c r="E84" s="91" t="e">
        <f>VLOOKUP(B84,Team!$B$4:$E$183,4,FALSE)</f>
        <v>#N/A</v>
      </c>
      <c r="F84" s="92" t="str">
        <f>Weekly!P76</f>
        <v/>
      </c>
      <c r="G84" s="92" t="str">
        <f>Weekly!Q76</f>
        <v/>
      </c>
      <c r="H84" s="48" t="str">
        <f t="shared" si="135"/>
        <v/>
      </c>
      <c r="I84" s="48" t="str">
        <f t="shared" si="136"/>
        <v/>
      </c>
      <c r="J84" s="48" t="str">
        <f t="shared" si="137"/>
        <v/>
      </c>
      <c r="K84" s="84" t="str">
        <f t="shared" si="138"/>
        <v/>
      </c>
      <c r="L84" s="82" t="str">
        <f t="shared" si="139"/>
        <v/>
      </c>
      <c r="M84" s="48" t="str">
        <f t="shared" si="140"/>
        <v/>
      </c>
      <c r="N84" s="48" t="str">
        <f t="shared" si="141"/>
        <v/>
      </c>
      <c r="O84" s="84" t="str">
        <f t="shared" si="142"/>
        <v/>
      </c>
      <c r="P84" s="82" t="str">
        <f t="shared" si="143"/>
        <v/>
      </c>
      <c r="Q84" s="48" t="str">
        <f t="shared" si="144"/>
        <v/>
      </c>
      <c r="R84" s="48" t="str">
        <f t="shared" si="145"/>
        <v/>
      </c>
      <c r="S84" s="84" t="str">
        <f t="shared" si="146"/>
        <v/>
      </c>
      <c r="T84" s="82" t="str">
        <f t="shared" si="147"/>
        <v/>
      </c>
      <c r="U84" s="48" t="str">
        <f t="shared" si="148"/>
        <v/>
      </c>
      <c r="V84" s="48" t="str">
        <f t="shared" si="149"/>
        <v/>
      </c>
      <c r="W84" s="84" t="str">
        <f t="shared" si="150"/>
        <v/>
      </c>
      <c r="X84" s="82" t="str">
        <f t="shared" si="151"/>
        <v/>
      </c>
      <c r="Y84" s="48" t="str">
        <f t="shared" si="152"/>
        <v/>
      </c>
      <c r="Z84" s="48" t="str">
        <f t="shared" si="153"/>
        <v/>
      </c>
      <c r="AA84" s="84" t="str">
        <f t="shared" si="154"/>
        <v/>
      </c>
      <c r="AB84" s="82" t="str">
        <f t="shared" si="155"/>
        <v/>
      </c>
      <c r="AC84" s="48" t="str">
        <f t="shared" si="156"/>
        <v/>
      </c>
      <c r="AD84" s="48" t="str">
        <f t="shared" si="157"/>
        <v/>
      </c>
      <c r="AE84" s="84" t="str">
        <f t="shared" si="158"/>
        <v/>
      </c>
      <c r="AF84" s="82" t="str">
        <f t="shared" si="159"/>
        <v/>
      </c>
      <c r="AG84" s="48" t="str">
        <f t="shared" si="160"/>
        <v/>
      </c>
      <c r="AH84" s="48" t="str">
        <f t="shared" si="161"/>
        <v/>
      </c>
      <c r="AI84" s="84" t="str">
        <f t="shared" si="162"/>
        <v/>
      </c>
      <c r="AJ84" s="82" t="str">
        <f t="shared" si="163"/>
        <v/>
      </c>
      <c r="AK84" s="48" t="str">
        <f t="shared" si="164"/>
        <v/>
      </c>
      <c r="AL84" s="48" t="str">
        <f t="shared" si="165"/>
        <v/>
      </c>
      <c r="AM84" s="84" t="str">
        <f t="shared" si="166"/>
        <v/>
      </c>
      <c r="AN84" s="82" t="str">
        <f t="shared" si="167"/>
        <v/>
      </c>
      <c r="AO84" s="48" t="str">
        <f t="shared" si="168"/>
        <v/>
      </c>
      <c r="AP84" s="48" t="str">
        <f t="shared" si="169"/>
        <v/>
      </c>
      <c r="AQ84" s="84" t="str">
        <f t="shared" si="170"/>
        <v/>
      </c>
      <c r="AR84" s="82" t="str">
        <f t="shared" si="171"/>
        <v/>
      </c>
      <c r="AS84" s="48" t="str">
        <f t="shared" si="172"/>
        <v/>
      </c>
      <c r="AT84" s="48" t="str">
        <f t="shared" si="173"/>
        <v/>
      </c>
      <c r="AU84" s="84" t="str">
        <f t="shared" si="174"/>
        <v/>
      </c>
      <c r="AV84" s="82" t="str">
        <f t="shared" si="175"/>
        <v/>
      </c>
      <c r="AW84" s="48" t="str">
        <f t="shared" si="176"/>
        <v/>
      </c>
      <c r="AX84" s="48" t="str">
        <f t="shared" si="177"/>
        <v/>
      </c>
      <c r="AY84" s="84" t="str">
        <f t="shared" si="178"/>
        <v/>
      </c>
      <c r="AZ84" s="82" t="str">
        <f t="shared" si="179"/>
        <v/>
      </c>
      <c r="BA84" s="48" t="str">
        <f t="shared" si="180"/>
        <v/>
      </c>
      <c r="BB84" s="48" t="str">
        <f t="shared" si="181"/>
        <v/>
      </c>
      <c r="BC84" s="84" t="str">
        <f t="shared" si="182"/>
        <v/>
      </c>
      <c r="BD84" s="82" t="str">
        <f t="shared" si="183"/>
        <v/>
      </c>
      <c r="BE84" s="48" t="str">
        <f t="shared" si="184"/>
        <v/>
      </c>
      <c r="BF84" s="48" t="str">
        <f t="shared" si="185"/>
        <v/>
      </c>
      <c r="BG84" s="84" t="str">
        <f t="shared" si="186"/>
        <v/>
      </c>
      <c r="BH84" s="87" t="str">
        <f t="shared" si="187"/>
        <v/>
      </c>
      <c r="BI84" s="49" t="str">
        <f t="shared" si="188"/>
        <v/>
      </c>
      <c r="BJ84" s="49" t="str">
        <f t="shared" si="189"/>
        <v/>
      </c>
      <c r="BK84" s="89" t="str">
        <f t="shared" si="190"/>
        <v/>
      </c>
      <c r="BL84" s="87" t="str">
        <f t="shared" si="191"/>
        <v/>
      </c>
      <c r="BM84" s="49" t="str">
        <f t="shared" si="192"/>
        <v/>
      </c>
      <c r="BN84" s="49" t="str">
        <f t="shared" si="193"/>
        <v/>
      </c>
      <c r="BO84" s="89" t="str">
        <f t="shared" si="194"/>
        <v/>
      </c>
      <c r="BP84" s="87" t="str">
        <f t="shared" si="195"/>
        <v/>
      </c>
      <c r="BQ84" s="49" t="str">
        <f t="shared" si="196"/>
        <v/>
      </c>
      <c r="BR84" s="49" t="str">
        <f t="shared" si="197"/>
        <v/>
      </c>
      <c r="BS84" s="89" t="str">
        <f t="shared" si="198"/>
        <v/>
      </c>
      <c r="BT84" s="87" t="str">
        <f t="shared" si="199"/>
        <v/>
      </c>
    </row>
    <row r="85" spans="2:72">
      <c r="B85" s="81">
        <f>Weekly!B77</f>
        <v>0</v>
      </c>
      <c r="C85" s="90">
        <f>Weekly!C77</f>
        <v>0</v>
      </c>
      <c r="D85" s="90">
        <f>Weekly!D102</f>
        <v>0</v>
      </c>
      <c r="E85" s="91" t="e">
        <f>VLOOKUP(B85,Team!$B$4:$E$183,4,FALSE)</f>
        <v>#N/A</v>
      </c>
      <c r="F85" s="92" t="str">
        <f>Weekly!P77</f>
        <v/>
      </c>
      <c r="G85" s="92" t="str">
        <f>Weekly!Q77</f>
        <v/>
      </c>
      <c r="H85" s="48" t="str">
        <f t="shared" si="135"/>
        <v/>
      </c>
      <c r="I85" s="48" t="str">
        <f t="shared" si="136"/>
        <v/>
      </c>
      <c r="J85" s="48" t="str">
        <f t="shared" si="137"/>
        <v/>
      </c>
      <c r="K85" s="84" t="str">
        <f t="shared" si="138"/>
        <v/>
      </c>
      <c r="L85" s="82" t="str">
        <f t="shared" si="139"/>
        <v/>
      </c>
      <c r="M85" s="48" t="str">
        <f t="shared" si="140"/>
        <v/>
      </c>
      <c r="N85" s="48" t="str">
        <f t="shared" si="141"/>
        <v/>
      </c>
      <c r="O85" s="84" t="str">
        <f t="shared" si="142"/>
        <v/>
      </c>
      <c r="P85" s="82" t="str">
        <f t="shared" si="143"/>
        <v/>
      </c>
      <c r="Q85" s="48" t="str">
        <f t="shared" si="144"/>
        <v/>
      </c>
      <c r="R85" s="48" t="str">
        <f t="shared" si="145"/>
        <v/>
      </c>
      <c r="S85" s="84" t="str">
        <f t="shared" si="146"/>
        <v/>
      </c>
      <c r="T85" s="82" t="str">
        <f t="shared" si="147"/>
        <v/>
      </c>
      <c r="U85" s="48" t="str">
        <f t="shared" si="148"/>
        <v/>
      </c>
      <c r="V85" s="48" t="str">
        <f t="shared" si="149"/>
        <v/>
      </c>
      <c r="W85" s="84" t="str">
        <f t="shared" si="150"/>
        <v/>
      </c>
      <c r="X85" s="82" t="str">
        <f t="shared" si="151"/>
        <v/>
      </c>
      <c r="Y85" s="48" t="str">
        <f t="shared" si="152"/>
        <v/>
      </c>
      <c r="Z85" s="48" t="str">
        <f t="shared" si="153"/>
        <v/>
      </c>
      <c r="AA85" s="84" t="str">
        <f t="shared" si="154"/>
        <v/>
      </c>
      <c r="AB85" s="82" t="str">
        <f t="shared" si="155"/>
        <v/>
      </c>
      <c r="AC85" s="48" t="str">
        <f t="shared" si="156"/>
        <v/>
      </c>
      <c r="AD85" s="48" t="str">
        <f t="shared" si="157"/>
        <v/>
      </c>
      <c r="AE85" s="84" t="str">
        <f t="shared" si="158"/>
        <v/>
      </c>
      <c r="AF85" s="82" t="str">
        <f t="shared" si="159"/>
        <v/>
      </c>
      <c r="AG85" s="48" t="str">
        <f t="shared" si="160"/>
        <v/>
      </c>
      <c r="AH85" s="48" t="str">
        <f t="shared" si="161"/>
        <v/>
      </c>
      <c r="AI85" s="84" t="str">
        <f t="shared" si="162"/>
        <v/>
      </c>
      <c r="AJ85" s="82" t="str">
        <f t="shared" si="163"/>
        <v/>
      </c>
      <c r="AK85" s="48" t="str">
        <f t="shared" si="164"/>
        <v/>
      </c>
      <c r="AL85" s="48" t="str">
        <f t="shared" si="165"/>
        <v/>
      </c>
      <c r="AM85" s="84" t="str">
        <f t="shared" si="166"/>
        <v/>
      </c>
      <c r="AN85" s="82" t="str">
        <f t="shared" si="167"/>
        <v/>
      </c>
      <c r="AO85" s="48" t="str">
        <f t="shared" si="168"/>
        <v/>
      </c>
      <c r="AP85" s="48" t="str">
        <f t="shared" si="169"/>
        <v/>
      </c>
      <c r="AQ85" s="84" t="str">
        <f t="shared" si="170"/>
        <v/>
      </c>
      <c r="AR85" s="82" t="str">
        <f t="shared" si="171"/>
        <v/>
      </c>
      <c r="AS85" s="48" t="str">
        <f t="shared" si="172"/>
        <v/>
      </c>
      <c r="AT85" s="48" t="str">
        <f t="shared" si="173"/>
        <v/>
      </c>
      <c r="AU85" s="84" t="str">
        <f t="shared" si="174"/>
        <v/>
      </c>
      <c r="AV85" s="82" t="str">
        <f t="shared" si="175"/>
        <v/>
      </c>
      <c r="AW85" s="48" t="str">
        <f t="shared" si="176"/>
        <v/>
      </c>
      <c r="AX85" s="48" t="str">
        <f t="shared" si="177"/>
        <v/>
      </c>
      <c r="AY85" s="84" t="str">
        <f t="shared" si="178"/>
        <v/>
      </c>
      <c r="AZ85" s="82" t="str">
        <f t="shared" si="179"/>
        <v/>
      </c>
      <c r="BA85" s="48" t="str">
        <f t="shared" si="180"/>
        <v/>
      </c>
      <c r="BB85" s="48" t="str">
        <f t="shared" si="181"/>
        <v/>
      </c>
      <c r="BC85" s="84" t="str">
        <f t="shared" si="182"/>
        <v/>
      </c>
      <c r="BD85" s="82" t="str">
        <f t="shared" si="183"/>
        <v/>
      </c>
      <c r="BE85" s="48" t="str">
        <f t="shared" si="184"/>
        <v/>
      </c>
      <c r="BF85" s="48" t="str">
        <f t="shared" si="185"/>
        <v/>
      </c>
      <c r="BG85" s="84" t="str">
        <f t="shared" si="186"/>
        <v/>
      </c>
      <c r="BH85" s="87" t="str">
        <f t="shared" si="187"/>
        <v/>
      </c>
      <c r="BI85" s="49" t="str">
        <f t="shared" si="188"/>
        <v/>
      </c>
      <c r="BJ85" s="49" t="str">
        <f t="shared" si="189"/>
        <v/>
      </c>
      <c r="BK85" s="89" t="str">
        <f t="shared" si="190"/>
        <v/>
      </c>
      <c r="BL85" s="87" t="str">
        <f t="shared" si="191"/>
        <v/>
      </c>
      <c r="BM85" s="49" t="str">
        <f t="shared" si="192"/>
        <v/>
      </c>
      <c r="BN85" s="49" t="str">
        <f t="shared" si="193"/>
        <v/>
      </c>
      <c r="BO85" s="89" t="str">
        <f t="shared" si="194"/>
        <v/>
      </c>
      <c r="BP85" s="87" t="str">
        <f t="shared" si="195"/>
        <v/>
      </c>
      <c r="BQ85" s="49" t="str">
        <f t="shared" si="196"/>
        <v/>
      </c>
      <c r="BR85" s="49" t="str">
        <f t="shared" si="197"/>
        <v/>
      </c>
      <c r="BS85" s="89" t="str">
        <f t="shared" si="198"/>
        <v/>
      </c>
      <c r="BT85" s="87" t="str">
        <f t="shared" si="199"/>
        <v/>
      </c>
    </row>
    <row r="86" spans="2:72">
      <c r="B86" s="81">
        <f>Weekly!B78</f>
        <v>0</v>
      </c>
      <c r="C86" s="90">
        <f>Weekly!C78</f>
        <v>0</v>
      </c>
      <c r="D86" s="90">
        <f>Weekly!D103</f>
        <v>0</v>
      </c>
      <c r="E86" s="91" t="e">
        <f>VLOOKUP(B86,Team!$B$4:$E$183,4,FALSE)</f>
        <v>#N/A</v>
      </c>
      <c r="F86" s="92" t="str">
        <f>Weekly!P78</f>
        <v/>
      </c>
      <c r="G86" s="92" t="str">
        <f>Weekly!Q78</f>
        <v/>
      </c>
      <c r="H86" s="48" t="str">
        <f t="shared" si="135"/>
        <v/>
      </c>
      <c r="I86" s="48" t="str">
        <f t="shared" si="136"/>
        <v/>
      </c>
      <c r="J86" s="48" t="str">
        <f t="shared" si="137"/>
        <v/>
      </c>
      <c r="K86" s="84" t="str">
        <f t="shared" si="138"/>
        <v/>
      </c>
      <c r="L86" s="82" t="str">
        <f t="shared" si="139"/>
        <v/>
      </c>
      <c r="M86" s="48" t="str">
        <f t="shared" si="140"/>
        <v/>
      </c>
      <c r="N86" s="48" t="str">
        <f t="shared" si="141"/>
        <v/>
      </c>
      <c r="O86" s="84" t="str">
        <f t="shared" si="142"/>
        <v/>
      </c>
      <c r="P86" s="82" t="str">
        <f t="shared" si="143"/>
        <v/>
      </c>
      <c r="Q86" s="48" t="str">
        <f t="shared" si="144"/>
        <v/>
      </c>
      <c r="R86" s="48" t="str">
        <f t="shared" si="145"/>
        <v/>
      </c>
      <c r="S86" s="84" t="str">
        <f t="shared" si="146"/>
        <v/>
      </c>
      <c r="T86" s="82" t="str">
        <f t="shared" si="147"/>
        <v/>
      </c>
      <c r="U86" s="48" t="str">
        <f t="shared" si="148"/>
        <v/>
      </c>
      <c r="V86" s="48" t="str">
        <f t="shared" si="149"/>
        <v/>
      </c>
      <c r="W86" s="84" t="str">
        <f t="shared" si="150"/>
        <v/>
      </c>
      <c r="X86" s="82" t="str">
        <f t="shared" si="151"/>
        <v/>
      </c>
      <c r="Y86" s="48" t="str">
        <f t="shared" si="152"/>
        <v/>
      </c>
      <c r="Z86" s="48" t="str">
        <f t="shared" si="153"/>
        <v/>
      </c>
      <c r="AA86" s="84" t="str">
        <f t="shared" si="154"/>
        <v/>
      </c>
      <c r="AB86" s="82" t="str">
        <f t="shared" si="155"/>
        <v/>
      </c>
      <c r="AC86" s="48" t="str">
        <f t="shared" si="156"/>
        <v/>
      </c>
      <c r="AD86" s="48" t="str">
        <f t="shared" si="157"/>
        <v/>
      </c>
      <c r="AE86" s="84" t="str">
        <f t="shared" si="158"/>
        <v/>
      </c>
      <c r="AF86" s="82" t="str">
        <f t="shared" si="159"/>
        <v/>
      </c>
      <c r="AG86" s="48" t="str">
        <f t="shared" si="160"/>
        <v/>
      </c>
      <c r="AH86" s="48" t="str">
        <f t="shared" si="161"/>
        <v/>
      </c>
      <c r="AI86" s="84" t="str">
        <f t="shared" si="162"/>
        <v/>
      </c>
      <c r="AJ86" s="82" t="str">
        <f t="shared" si="163"/>
        <v/>
      </c>
      <c r="AK86" s="48" t="str">
        <f t="shared" si="164"/>
        <v/>
      </c>
      <c r="AL86" s="48" t="str">
        <f t="shared" si="165"/>
        <v/>
      </c>
      <c r="AM86" s="84" t="str">
        <f t="shared" si="166"/>
        <v/>
      </c>
      <c r="AN86" s="82" t="str">
        <f t="shared" si="167"/>
        <v/>
      </c>
      <c r="AO86" s="48" t="str">
        <f t="shared" si="168"/>
        <v/>
      </c>
      <c r="AP86" s="48" t="str">
        <f t="shared" si="169"/>
        <v/>
      </c>
      <c r="AQ86" s="84" t="str">
        <f t="shared" si="170"/>
        <v/>
      </c>
      <c r="AR86" s="82" t="str">
        <f t="shared" si="171"/>
        <v/>
      </c>
      <c r="AS86" s="48" t="str">
        <f t="shared" si="172"/>
        <v/>
      </c>
      <c r="AT86" s="48" t="str">
        <f t="shared" si="173"/>
        <v/>
      </c>
      <c r="AU86" s="84" t="str">
        <f t="shared" si="174"/>
        <v/>
      </c>
      <c r="AV86" s="82" t="str">
        <f t="shared" si="175"/>
        <v/>
      </c>
      <c r="AW86" s="48" t="str">
        <f t="shared" si="176"/>
        <v/>
      </c>
      <c r="AX86" s="48" t="str">
        <f t="shared" si="177"/>
        <v/>
      </c>
      <c r="AY86" s="84" t="str">
        <f t="shared" si="178"/>
        <v/>
      </c>
      <c r="AZ86" s="82" t="str">
        <f t="shared" si="179"/>
        <v/>
      </c>
      <c r="BA86" s="48" t="str">
        <f t="shared" si="180"/>
        <v/>
      </c>
      <c r="BB86" s="48" t="str">
        <f t="shared" si="181"/>
        <v/>
      </c>
      <c r="BC86" s="84" t="str">
        <f t="shared" si="182"/>
        <v/>
      </c>
      <c r="BD86" s="82" t="str">
        <f t="shared" si="183"/>
        <v/>
      </c>
      <c r="BE86" s="48" t="str">
        <f t="shared" si="184"/>
        <v/>
      </c>
      <c r="BF86" s="48" t="str">
        <f t="shared" si="185"/>
        <v/>
      </c>
      <c r="BG86" s="84" t="str">
        <f t="shared" si="186"/>
        <v/>
      </c>
      <c r="BH86" s="87" t="str">
        <f t="shared" si="187"/>
        <v/>
      </c>
      <c r="BI86" s="49" t="str">
        <f t="shared" si="188"/>
        <v/>
      </c>
      <c r="BJ86" s="49" t="str">
        <f t="shared" si="189"/>
        <v/>
      </c>
      <c r="BK86" s="89" t="str">
        <f t="shared" si="190"/>
        <v/>
      </c>
      <c r="BL86" s="87" t="str">
        <f t="shared" si="191"/>
        <v/>
      </c>
      <c r="BM86" s="49" t="str">
        <f t="shared" si="192"/>
        <v/>
      </c>
      <c r="BN86" s="49" t="str">
        <f t="shared" si="193"/>
        <v/>
      </c>
      <c r="BO86" s="89" t="str">
        <f t="shared" si="194"/>
        <v/>
      </c>
      <c r="BP86" s="87" t="str">
        <f t="shared" si="195"/>
        <v/>
      </c>
      <c r="BQ86" s="49" t="str">
        <f t="shared" si="196"/>
        <v/>
      </c>
      <c r="BR86" s="49" t="str">
        <f t="shared" si="197"/>
        <v/>
      </c>
      <c r="BS86" s="89" t="str">
        <f t="shared" si="198"/>
        <v/>
      </c>
      <c r="BT86" s="87" t="str">
        <f t="shared" si="199"/>
        <v/>
      </c>
    </row>
    <row r="87" spans="2:72">
      <c r="B87" s="81">
        <f>Weekly!B79</f>
        <v>0</v>
      </c>
      <c r="C87" s="90">
        <f>Weekly!C79</f>
        <v>0</v>
      </c>
      <c r="D87" s="90">
        <f>Weekly!D104</f>
        <v>0</v>
      </c>
      <c r="E87" s="91" t="e">
        <f>VLOOKUP(B87,Team!$B$4:$E$183,4,FALSE)</f>
        <v>#N/A</v>
      </c>
      <c r="F87" s="92" t="str">
        <f>Weekly!P79</f>
        <v/>
      </c>
      <c r="G87" s="92" t="str">
        <f>Weekly!Q79</f>
        <v/>
      </c>
      <c r="H87" s="48" t="str">
        <f t="shared" si="135"/>
        <v/>
      </c>
      <c r="I87" s="48" t="str">
        <f t="shared" si="136"/>
        <v/>
      </c>
      <c r="J87" s="48" t="str">
        <f t="shared" si="137"/>
        <v/>
      </c>
      <c r="K87" s="84" t="str">
        <f t="shared" si="138"/>
        <v/>
      </c>
      <c r="L87" s="82" t="str">
        <f t="shared" si="139"/>
        <v/>
      </c>
      <c r="M87" s="48" t="str">
        <f t="shared" si="140"/>
        <v/>
      </c>
      <c r="N87" s="48" t="str">
        <f t="shared" si="141"/>
        <v/>
      </c>
      <c r="O87" s="84" t="str">
        <f t="shared" si="142"/>
        <v/>
      </c>
      <c r="P87" s="82" t="str">
        <f t="shared" si="143"/>
        <v/>
      </c>
      <c r="Q87" s="48" t="str">
        <f t="shared" si="144"/>
        <v/>
      </c>
      <c r="R87" s="48" t="str">
        <f t="shared" si="145"/>
        <v/>
      </c>
      <c r="S87" s="84" t="str">
        <f t="shared" si="146"/>
        <v/>
      </c>
      <c r="T87" s="82" t="str">
        <f t="shared" si="147"/>
        <v/>
      </c>
      <c r="U87" s="48" t="str">
        <f t="shared" si="148"/>
        <v/>
      </c>
      <c r="V87" s="48" t="str">
        <f t="shared" si="149"/>
        <v/>
      </c>
      <c r="W87" s="84" t="str">
        <f t="shared" si="150"/>
        <v/>
      </c>
      <c r="X87" s="82" t="str">
        <f t="shared" si="151"/>
        <v/>
      </c>
      <c r="Y87" s="48" t="str">
        <f t="shared" si="152"/>
        <v/>
      </c>
      <c r="Z87" s="48" t="str">
        <f t="shared" si="153"/>
        <v/>
      </c>
      <c r="AA87" s="84" t="str">
        <f t="shared" si="154"/>
        <v/>
      </c>
      <c r="AB87" s="82" t="str">
        <f t="shared" si="155"/>
        <v/>
      </c>
      <c r="AC87" s="48" t="str">
        <f t="shared" si="156"/>
        <v/>
      </c>
      <c r="AD87" s="48" t="str">
        <f t="shared" si="157"/>
        <v/>
      </c>
      <c r="AE87" s="84" t="str">
        <f t="shared" si="158"/>
        <v/>
      </c>
      <c r="AF87" s="82" t="str">
        <f t="shared" si="159"/>
        <v/>
      </c>
      <c r="AG87" s="48" t="str">
        <f t="shared" si="160"/>
        <v/>
      </c>
      <c r="AH87" s="48" t="str">
        <f t="shared" si="161"/>
        <v/>
      </c>
      <c r="AI87" s="84" t="str">
        <f t="shared" si="162"/>
        <v/>
      </c>
      <c r="AJ87" s="82" t="str">
        <f t="shared" si="163"/>
        <v/>
      </c>
      <c r="AK87" s="48" t="str">
        <f t="shared" si="164"/>
        <v/>
      </c>
      <c r="AL87" s="48" t="str">
        <f t="shared" si="165"/>
        <v/>
      </c>
      <c r="AM87" s="84" t="str">
        <f t="shared" si="166"/>
        <v/>
      </c>
      <c r="AN87" s="82" t="str">
        <f t="shared" si="167"/>
        <v/>
      </c>
      <c r="AO87" s="48" t="str">
        <f t="shared" si="168"/>
        <v/>
      </c>
      <c r="AP87" s="48" t="str">
        <f t="shared" si="169"/>
        <v/>
      </c>
      <c r="AQ87" s="84" t="str">
        <f t="shared" si="170"/>
        <v/>
      </c>
      <c r="AR87" s="82" t="str">
        <f t="shared" si="171"/>
        <v/>
      </c>
      <c r="AS87" s="48" t="str">
        <f t="shared" si="172"/>
        <v/>
      </c>
      <c r="AT87" s="48" t="str">
        <f t="shared" si="173"/>
        <v/>
      </c>
      <c r="AU87" s="84" t="str">
        <f t="shared" si="174"/>
        <v/>
      </c>
      <c r="AV87" s="82" t="str">
        <f t="shared" si="175"/>
        <v/>
      </c>
      <c r="AW87" s="48" t="str">
        <f t="shared" si="176"/>
        <v/>
      </c>
      <c r="AX87" s="48" t="str">
        <f t="shared" si="177"/>
        <v/>
      </c>
      <c r="AY87" s="84" t="str">
        <f t="shared" si="178"/>
        <v/>
      </c>
      <c r="AZ87" s="82" t="str">
        <f t="shared" si="179"/>
        <v/>
      </c>
      <c r="BA87" s="48" t="str">
        <f t="shared" si="180"/>
        <v/>
      </c>
      <c r="BB87" s="48" t="str">
        <f t="shared" si="181"/>
        <v/>
      </c>
      <c r="BC87" s="84" t="str">
        <f t="shared" si="182"/>
        <v/>
      </c>
      <c r="BD87" s="82" t="str">
        <f t="shared" si="183"/>
        <v/>
      </c>
      <c r="BE87" s="48" t="str">
        <f t="shared" si="184"/>
        <v/>
      </c>
      <c r="BF87" s="48" t="str">
        <f t="shared" si="185"/>
        <v/>
      </c>
      <c r="BG87" s="84" t="str">
        <f t="shared" si="186"/>
        <v/>
      </c>
      <c r="BH87" s="87" t="str">
        <f t="shared" si="187"/>
        <v/>
      </c>
      <c r="BI87" s="49" t="str">
        <f t="shared" si="188"/>
        <v/>
      </c>
      <c r="BJ87" s="49" t="str">
        <f t="shared" si="189"/>
        <v/>
      </c>
      <c r="BK87" s="89" t="str">
        <f t="shared" si="190"/>
        <v/>
      </c>
      <c r="BL87" s="87" t="str">
        <f t="shared" si="191"/>
        <v/>
      </c>
      <c r="BM87" s="49" t="str">
        <f t="shared" si="192"/>
        <v/>
      </c>
      <c r="BN87" s="49" t="str">
        <f t="shared" si="193"/>
        <v/>
      </c>
      <c r="BO87" s="89" t="str">
        <f t="shared" si="194"/>
        <v/>
      </c>
      <c r="BP87" s="87" t="str">
        <f t="shared" si="195"/>
        <v/>
      </c>
      <c r="BQ87" s="49" t="str">
        <f t="shared" si="196"/>
        <v/>
      </c>
      <c r="BR87" s="49" t="str">
        <f t="shared" si="197"/>
        <v/>
      </c>
      <c r="BS87" s="89" t="str">
        <f t="shared" si="198"/>
        <v/>
      </c>
      <c r="BT87" s="87" t="str">
        <f t="shared" si="199"/>
        <v/>
      </c>
    </row>
    <row r="88" spans="2:72">
      <c r="B88" s="81">
        <f>Weekly!B80</f>
        <v>0</v>
      </c>
      <c r="C88" s="90">
        <f>Weekly!C80</f>
        <v>0</v>
      </c>
      <c r="D88" s="90">
        <f>Weekly!D105</f>
        <v>0</v>
      </c>
      <c r="E88" s="91" t="e">
        <f>VLOOKUP(B88,Team!$B$4:$E$183,4,FALSE)</f>
        <v>#N/A</v>
      </c>
      <c r="F88" s="92" t="str">
        <f>Weekly!P80</f>
        <v/>
      </c>
      <c r="G88" s="92" t="str">
        <f>Weekly!Q80</f>
        <v/>
      </c>
      <c r="H88" s="48" t="str">
        <f t="shared" si="135"/>
        <v/>
      </c>
      <c r="I88" s="48" t="str">
        <f t="shared" si="136"/>
        <v/>
      </c>
      <c r="J88" s="48" t="str">
        <f t="shared" si="137"/>
        <v/>
      </c>
      <c r="K88" s="84" t="str">
        <f t="shared" si="138"/>
        <v/>
      </c>
      <c r="L88" s="82" t="str">
        <f t="shared" si="139"/>
        <v/>
      </c>
      <c r="M88" s="48" t="str">
        <f t="shared" si="140"/>
        <v/>
      </c>
      <c r="N88" s="48" t="str">
        <f t="shared" si="141"/>
        <v/>
      </c>
      <c r="O88" s="84" t="str">
        <f t="shared" si="142"/>
        <v/>
      </c>
      <c r="P88" s="82" t="str">
        <f t="shared" si="143"/>
        <v/>
      </c>
      <c r="Q88" s="48" t="str">
        <f t="shared" si="144"/>
        <v/>
      </c>
      <c r="R88" s="48" t="str">
        <f t="shared" si="145"/>
        <v/>
      </c>
      <c r="S88" s="84" t="str">
        <f t="shared" si="146"/>
        <v/>
      </c>
      <c r="T88" s="82" t="str">
        <f t="shared" si="147"/>
        <v/>
      </c>
      <c r="U88" s="48" t="str">
        <f t="shared" si="148"/>
        <v/>
      </c>
      <c r="V88" s="48" t="str">
        <f t="shared" si="149"/>
        <v/>
      </c>
      <c r="W88" s="84" t="str">
        <f t="shared" si="150"/>
        <v/>
      </c>
      <c r="X88" s="82" t="str">
        <f t="shared" si="151"/>
        <v/>
      </c>
      <c r="Y88" s="48" t="str">
        <f t="shared" si="152"/>
        <v/>
      </c>
      <c r="Z88" s="48" t="str">
        <f t="shared" si="153"/>
        <v/>
      </c>
      <c r="AA88" s="84" t="str">
        <f t="shared" si="154"/>
        <v/>
      </c>
      <c r="AB88" s="82" t="str">
        <f t="shared" si="155"/>
        <v/>
      </c>
      <c r="AC88" s="48" t="str">
        <f t="shared" si="156"/>
        <v/>
      </c>
      <c r="AD88" s="48" t="str">
        <f t="shared" si="157"/>
        <v/>
      </c>
      <c r="AE88" s="84" t="str">
        <f t="shared" si="158"/>
        <v/>
      </c>
      <c r="AF88" s="82" t="str">
        <f t="shared" si="159"/>
        <v/>
      </c>
      <c r="AG88" s="48" t="str">
        <f t="shared" si="160"/>
        <v/>
      </c>
      <c r="AH88" s="48" t="str">
        <f t="shared" si="161"/>
        <v/>
      </c>
      <c r="AI88" s="84" t="str">
        <f t="shared" si="162"/>
        <v/>
      </c>
      <c r="AJ88" s="82" t="str">
        <f t="shared" si="163"/>
        <v/>
      </c>
      <c r="AK88" s="48" t="str">
        <f t="shared" si="164"/>
        <v/>
      </c>
      <c r="AL88" s="48" t="str">
        <f t="shared" si="165"/>
        <v/>
      </c>
      <c r="AM88" s="84" t="str">
        <f t="shared" si="166"/>
        <v/>
      </c>
      <c r="AN88" s="82" t="str">
        <f t="shared" si="167"/>
        <v/>
      </c>
      <c r="AO88" s="48" t="str">
        <f t="shared" si="168"/>
        <v/>
      </c>
      <c r="AP88" s="48" t="str">
        <f t="shared" si="169"/>
        <v/>
      </c>
      <c r="AQ88" s="84" t="str">
        <f t="shared" si="170"/>
        <v/>
      </c>
      <c r="AR88" s="82" t="str">
        <f t="shared" si="171"/>
        <v/>
      </c>
      <c r="AS88" s="48" t="str">
        <f t="shared" si="172"/>
        <v/>
      </c>
      <c r="AT88" s="48" t="str">
        <f t="shared" si="173"/>
        <v/>
      </c>
      <c r="AU88" s="84" t="str">
        <f t="shared" si="174"/>
        <v/>
      </c>
      <c r="AV88" s="82" t="str">
        <f t="shared" si="175"/>
        <v/>
      </c>
      <c r="AW88" s="48" t="str">
        <f t="shared" si="176"/>
        <v/>
      </c>
      <c r="AX88" s="48" t="str">
        <f t="shared" si="177"/>
        <v/>
      </c>
      <c r="AY88" s="84" t="str">
        <f t="shared" si="178"/>
        <v/>
      </c>
      <c r="AZ88" s="82" t="str">
        <f t="shared" si="179"/>
        <v/>
      </c>
      <c r="BA88" s="48" t="str">
        <f t="shared" si="180"/>
        <v/>
      </c>
      <c r="BB88" s="48" t="str">
        <f t="shared" si="181"/>
        <v/>
      </c>
      <c r="BC88" s="84" t="str">
        <f t="shared" si="182"/>
        <v/>
      </c>
      <c r="BD88" s="82" t="str">
        <f t="shared" si="183"/>
        <v/>
      </c>
      <c r="BE88" s="48" t="str">
        <f t="shared" si="184"/>
        <v/>
      </c>
      <c r="BF88" s="48" t="str">
        <f t="shared" si="185"/>
        <v/>
      </c>
      <c r="BG88" s="84" t="str">
        <f t="shared" si="186"/>
        <v/>
      </c>
      <c r="BH88" s="87" t="str">
        <f t="shared" si="187"/>
        <v/>
      </c>
      <c r="BI88" s="49" t="str">
        <f t="shared" si="188"/>
        <v/>
      </c>
      <c r="BJ88" s="49" t="str">
        <f t="shared" si="189"/>
        <v/>
      </c>
      <c r="BK88" s="89" t="str">
        <f t="shared" si="190"/>
        <v/>
      </c>
      <c r="BL88" s="87" t="str">
        <f t="shared" si="191"/>
        <v/>
      </c>
      <c r="BM88" s="49" t="str">
        <f t="shared" si="192"/>
        <v/>
      </c>
      <c r="BN88" s="49" t="str">
        <f t="shared" si="193"/>
        <v/>
      </c>
      <c r="BO88" s="89" t="str">
        <f t="shared" si="194"/>
        <v/>
      </c>
      <c r="BP88" s="87" t="str">
        <f t="shared" si="195"/>
        <v/>
      </c>
      <c r="BQ88" s="49" t="str">
        <f t="shared" si="196"/>
        <v/>
      </c>
      <c r="BR88" s="49" t="str">
        <f t="shared" si="197"/>
        <v/>
      </c>
      <c r="BS88" s="89" t="str">
        <f t="shared" si="198"/>
        <v/>
      </c>
      <c r="BT88" s="87" t="str">
        <f t="shared" si="199"/>
        <v/>
      </c>
    </row>
    <row r="89" spans="2:72">
      <c r="B89" s="81">
        <f>Weekly!B81</f>
        <v>0</v>
      </c>
      <c r="C89" s="90">
        <f>Weekly!C81</f>
        <v>0</v>
      </c>
      <c r="D89" s="90">
        <f>Weekly!D106</f>
        <v>0</v>
      </c>
      <c r="E89" s="91" t="e">
        <f>VLOOKUP(B89,Team!$B$4:$E$183,4,FALSE)</f>
        <v>#N/A</v>
      </c>
      <c r="F89" s="92" t="str">
        <f>Weekly!P81</f>
        <v/>
      </c>
      <c r="G89" s="92" t="str">
        <f>Weekly!Q81</f>
        <v/>
      </c>
      <c r="H89" s="48" t="str">
        <f t="shared" si="135"/>
        <v/>
      </c>
      <c r="I89" s="48" t="str">
        <f t="shared" si="136"/>
        <v/>
      </c>
      <c r="J89" s="48" t="str">
        <f t="shared" si="137"/>
        <v/>
      </c>
      <c r="K89" s="84" t="str">
        <f t="shared" si="138"/>
        <v/>
      </c>
      <c r="L89" s="82" t="str">
        <f t="shared" si="139"/>
        <v/>
      </c>
      <c r="M89" s="48" t="str">
        <f t="shared" si="140"/>
        <v/>
      </c>
      <c r="N89" s="48" t="str">
        <f t="shared" si="141"/>
        <v/>
      </c>
      <c r="O89" s="84" t="str">
        <f t="shared" si="142"/>
        <v/>
      </c>
      <c r="P89" s="82" t="str">
        <f t="shared" si="143"/>
        <v/>
      </c>
      <c r="Q89" s="48" t="str">
        <f t="shared" si="144"/>
        <v/>
      </c>
      <c r="R89" s="48" t="str">
        <f t="shared" si="145"/>
        <v/>
      </c>
      <c r="S89" s="84" t="str">
        <f t="shared" si="146"/>
        <v/>
      </c>
      <c r="T89" s="82" t="str">
        <f t="shared" si="147"/>
        <v/>
      </c>
      <c r="U89" s="48" t="str">
        <f t="shared" si="148"/>
        <v/>
      </c>
      <c r="V89" s="48" t="str">
        <f t="shared" si="149"/>
        <v/>
      </c>
      <c r="W89" s="84" t="str">
        <f t="shared" si="150"/>
        <v/>
      </c>
      <c r="X89" s="82" t="str">
        <f t="shared" si="151"/>
        <v/>
      </c>
      <c r="Y89" s="48" t="str">
        <f t="shared" si="152"/>
        <v/>
      </c>
      <c r="Z89" s="48" t="str">
        <f t="shared" si="153"/>
        <v/>
      </c>
      <c r="AA89" s="84" t="str">
        <f t="shared" si="154"/>
        <v/>
      </c>
      <c r="AB89" s="82" t="str">
        <f t="shared" si="155"/>
        <v/>
      </c>
      <c r="AC89" s="48" t="str">
        <f t="shared" si="156"/>
        <v/>
      </c>
      <c r="AD89" s="48" t="str">
        <f t="shared" si="157"/>
        <v/>
      </c>
      <c r="AE89" s="84" t="str">
        <f t="shared" si="158"/>
        <v/>
      </c>
      <c r="AF89" s="82" t="str">
        <f t="shared" si="159"/>
        <v/>
      </c>
      <c r="AG89" s="48" t="str">
        <f t="shared" si="160"/>
        <v/>
      </c>
      <c r="AH89" s="48" t="str">
        <f t="shared" si="161"/>
        <v/>
      </c>
      <c r="AI89" s="84" t="str">
        <f t="shared" si="162"/>
        <v/>
      </c>
      <c r="AJ89" s="82" t="str">
        <f t="shared" si="163"/>
        <v/>
      </c>
      <c r="AK89" s="48" t="str">
        <f t="shared" si="164"/>
        <v/>
      </c>
      <c r="AL89" s="48" t="str">
        <f t="shared" si="165"/>
        <v/>
      </c>
      <c r="AM89" s="84" t="str">
        <f t="shared" si="166"/>
        <v/>
      </c>
      <c r="AN89" s="82" t="str">
        <f t="shared" si="167"/>
        <v/>
      </c>
      <c r="AO89" s="48" t="str">
        <f t="shared" si="168"/>
        <v/>
      </c>
      <c r="AP89" s="48" t="str">
        <f t="shared" si="169"/>
        <v/>
      </c>
      <c r="AQ89" s="84" t="str">
        <f t="shared" si="170"/>
        <v/>
      </c>
      <c r="AR89" s="82" t="str">
        <f t="shared" si="171"/>
        <v/>
      </c>
      <c r="AS89" s="48" t="str">
        <f t="shared" si="172"/>
        <v/>
      </c>
      <c r="AT89" s="48" t="str">
        <f t="shared" si="173"/>
        <v/>
      </c>
      <c r="AU89" s="84" t="str">
        <f t="shared" si="174"/>
        <v/>
      </c>
      <c r="AV89" s="82" t="str">
        <f t="shared" si="175"/>
        <v/>
      </c>
      <c r="AW89" s="48" t="str">
        <f t="shared" si="176"/>
        <v/>
      </c>
      <c r="AX89" s="48" t="str">
        <f t="shared" si="177"/>
        <v/>
      </c>
      <c r="AY89" s="84" t="str">
        <f t="shared" si="178"/>
        <v/>
      </c>
      <c r="AZ89" s="82" t="str">
        <f t="shared" si="179"/>
        <v/>
      </c>
      <c r="BA89" s="48" t="str">
        <f t="shared" si="180"/>
        <v/>
      </c>
      <c r="BB89" s="48" t="str">
        <f t="shared" si="181"/>
        <v/>
      </c>
      <c r="BC89" s="84" t="str">
        <f t="shared" si="182"/>
        <v/>
      </c>
      <c r="BD89" s="82" t="str">
        <f t="shared" si="183"/>
        <v/>
      </c>
      <c r="BE89" s="48" t="str">
        <f t="shared" si="184"/>
        <v/>
      </c>
      <c r="BF89" s="48" t="str">
        <f t="shared" si="185"/>
        <v/>
      </c>
      <c r="BG89" s="84" t="str">
        <f t="shared" si="186"/>
        <v/>
      </c>
      <c r="BH89" s="87" t="str">
        <f t="shared" si="187"/>
        <v/>
      </c>
      <c r="BI89" s="49" t="str">
        <f t="shared" si="188"/>
        <v/>
      </c>
      <c r="BJ89" s="49" t="str">
        <f t="shared" si="189"/>
        <v/>
      </c>
      <c r="BK89" s="89" t="str">
        <f t="shared" si="190"/>
        <v/>
      </c>
      <c r="BL89" s="87" t="str">
        <f t="shared" si="191"/>
        <v/>
      </c>
      <c r="BM89" s="49" t="str">
        <f t="shared" si="192"/>
        <v/>
      </c>
      <c r="BN89" s="49" t="str">
        <f t="shared" si="193"/>
        <v/>
      </c>
      <c r="BO89" s="89" t="str">
        <f t="shared" si="194"/>
        <v/>
      </c>
      <c r="BP89" s="87" t="str">
        <f t="shared" si="195"/>
        <v/>
      </c>
      <c r="BQ89" s="49" t="str">
        <f t="shared" si="196"/>
        <v/>
      </c>
      <c r="BR89" s="49" t="str">
        <f t="shared" si="197"/>
        <v/>
      </c>
      <c r="BS89" s="89" t="str">
        <f t="shared" si="198"/>
        <v/>
      </c>
      <c r="BT89" s="87" t="str">
        <f t="shared" si="199"/>
        <v/>
      </c>
    </row>
    <row r="90" spans="2:72">
      <c r="B90" s="81">
        <f>Weekly!B82</f>
        <v>0</v>
      </c>
      <c r="C90" s="90">
        <f>Weekly!C82</f>
        <v>0</v>
      </c>
      <c r="D90" s="90">
        <f>Weekly!D107</f>
        <v>0</v>
      </c>
      <c r="E90" s="91" t="e">
        <f>VLOOKUP(B90,Team!$B$4:$E$183,4,FALSE)</f>
        <v>#N/A</v>
      </c>
      <c r="F90" s="92" t="str">
        <f>Weekly!P82</f>
        <v/>
      </c>
      <c r="G90" s="92" t="str">
        <f>Weekly!Q82</f>
        <v/>
      </c>
      <c r="H90" s="48" t="str">
        <f t="shared" si="135"/>
        <v/>
      </c>
      <c r="I90" s="48" t="str">
        <f t="shared" si="136"/>
        <v/>
      </c>
      <c r="J90" s="48" t="str">
        <f t="shared" si="137"/>
        <v/>
      </c>
      <c r="K90" s="84" t="str">
        <f t="shared" si="138"/>
        <v/>
      </c>
      <c r="L90" s="82" t="str">
        <f t="shared" si="139"/>
        <v/>
      </c>
      <c r="M90" s="48" t="str">
        <f t="shared" si="140"/>
        <v/>
      </c>
      <c r="N90" s="48" t="str">
        <f t="shared" si="141"/>
        <v/>
      </c>
      <c r="O90" s="84" t="str">
        <f t="shared" si="142"/>
        <v/>
      </c>
      <c r="P90" s="82" t="str">
        <f t="shared" si="143"/>
        <v/>
      </c>
      <c r="Q90" s="48" t="str">
        <f t="shared" si="144"/>
        <v/>
      </c>
      <c r="R90" s="48" t="str">
        <f t="shared" si="145"/>
        <v/>
      </c>
      <c r="S90" s="84" t="str">
        <f t="shared" si="146"/>
        <v/>
      </c>
      <c r="T90" s="82" t="str">
        <f t="shared" si="147"/>
        <v/>
      </c>
      <c r="U90" s="48" t="str">
        <f t="shared" si="148"/>
        <v/>
      </c>
      <c r="V90" s="48" t="str">
        <f t="shared" si="149"/>
        <v/>
      </c>
      <c r="W90" s="84" t="str">
        <f t="shared" si="150"/>
        <v/>
      </c>
      <c r="X90" s="82" t="str">
        <f t="shared" si="151"/>
        <v/>
      </c>
      <c r="Y90" s="48" t="str">
        <f t="shared" si="152"/>
        <v/>
      </c>
      <c r="Z90" s="48" t="str">
        <f t="shared" si="153"/>
        <v/>
      </c>
      <c r="AA90" s="84" t="str">
        <f t="shared" si="154"/>
        <v/>
      </c>
      <c r="AB90" s="82" t="str">
        <f t="shared" si="155"/>
        <v/>
      </c>
      <c r="AC90" s="48" t="str">
        <f t="shared" si="156"/>
        <v/>
      </c>
      <c r="AD90" s="48" t="str">
        <f t="shared" si="157"/>
        <v/>
      </c>
      <c r="AE90" s="84" t="str">
        <f t="shared" si="158"/>
        <v/>
      </c>
      <c r="AF90" s="82" t="str">
        <f t="shared" si="159"/>
        <v/>
      </c>
      <c r="AG90" s="48" t="str">
        <f t="shared" si="160"/>
        <v/>
      </c>
      <c r="AH90" s="48" t="str">
        <f t="shared" si="161"/>
        <v/>
      </c>
      <c r="AI90" s="84" t="str">
        <f t="shared" si="162"/>
        <v/>
      </c>
      <c r="AJ90" s="82" t="str">
        <f t="shared" si="163"/>
        <v/>
      </c>
      <c r="AK90" s="48" t="str">
        <f t="shared" si="164"/>
        <v/>
      </c>
      <c r="AL90" s="48" t="str">
        <f t="shared" si="165"/>
        <v/>
      </c>
      <c r="AM90" s="84" t="str">
        <f t="shared" si="166"/>
        <v/>
      </c>
      <c r="AN90" s="82" t="str">
        <f t="shared" si="167"/>
        <v/>
      </c>
      <c r="AO90" s="48" t="str">
        <f t="shared" si="168"/>
        <v/>
      </c>
      <c r="AP90" s="48" t="str">
        <f t="shared" si="169"/>
        <v/>
      </c>
      <c r="AQ90" s="84" t="str">
        <f t="shared" si="170"/>
        <v/>
      </c>
      <c r="AR90" s="82" t="str">
        <f t="shared" si="171"/>
        <v/>
      </c>
      <c r="AS90" s="48" t="str">
        <f t="shared" si="172"/>
        <v/>
      </c>
      <c r="AT90" s="48" t="str">
        <f t="shared" si="173"/>
        <v/>
      </c>
      <c r="AU90" s="84" t="str">
        <f t="shared" si="174"/>
        <v/>
      </c>
      <c r="AV90" s="82" t="str">
        <f t="shared" si="175"/>
        <v/>
      </c>
      <c r="AW90" s="48" t="str">
        <f t="shared" si="176"/>
        <v/>
      </c>
      <c r="AX90" s="48" t="str">
        <f t="shared" si="177"/>
        <v/>
      </c>
      <c r="AY90" s="84" t="str">
        <f t="shared" si="178"/>
        <v/>
      </c>
      <c r="AZ90" s="82" t="str">
        <f t="shared" si="179"/>
        <v/>
      </c>
      <c r="BA90" s="48" t="str">
        <f t="shared" si="180"/>
        <v/>
      </c>
      <c r="BB90" s="48" t="str">
        <f t="shared" si="181"/>
        <v/>
      </c>
      <c r="BC90" s="84" t="str">
        <f t="shared" si="182"/>
        <v/>
      </c>
      <c r="BD90" s="82" t="str">
        <f t="shared" si="183"/>
        <v/>
      </c>
      <c r="BE90" s="48" t="str">
        <f t="shared" si="184"/>
        <v/>
      </c>
      <c r="BF90" s="48" t="str">
        <f t="shared" si="185"/>
        <v/>
      </c>
      <c r="BG90" s="84" t="str">
        <f t="shared" si="186"/>
        <v/>
      </c>
      <c r="BH90" s="87" t="str">
        <f t="shared" si="187"/>
        <v/>
      </c>
      <c r="BI90" s="49" t="str">
        <f t="shared" si="188"/>
        <v/>
      </c>
      <c r="BJ90" s="49" t="str">
        <f t="shared" si="189"/>
        <v/>
      </c>
      <c r="BK90" s="89" t="str">
        <f t="shared" si="190"/>
        <v/>
      </c>
      <c r="BL90" s="87" t="str">
        <f t="shared" si="191"/>
        <v/>
      </c>
      <c r="BM90" s="49" t="str">
        <f t="shared" si="192"/>
        <v/>
      </c>
      <c r="BN90" s="49" t="str">
        <f t="shared" si="193"/>
        <v/>
      </c>
      <c r="BO90" s="89" t="str">
        <f t="shared" si="194"/>
        <v/>
      </c>
      <c r="BP90" s="87" t="str">
        <f t="shared" si="195"/>
        <v/>
      </c>
      <c r="BQ90" s="49" t="str">
        <f t="shared" si="196"/>
        <v/>
      </c>
      <c r="BR90" s="49" t="str">
        <f t="shared" si="197"/>
        <v/>
      </c>
      <c r="BS90" s="89" t="str">
        <f t="shared" si="198"/>
        <v/>
      </c>
      <c r="BT90" s="87" t="str">
        <f t="shared" si="199"/>
        <v/>
      </c>
    </row>
    <row r="91" spans="2:72">
      <c r="B91" s="81">
        <f>Weekly!B83</f>
        <v>0</v>
      </c>
      <c r="C91" s="90">
        <f>Weekly!C83</f>
        <v>0</v>
      </c>
      <c r="D91" s="90">
        <f>Weekly!D108</f>
        <v>0</v>
      </c>
      <c r="E91" s="91" t="e">
        <f>VLOOKUP(B91,Team!$B$4:$E$183,4,FALSE)</f>
        <v>#N/A</v>
      </c>
      <c r="F91" s="92" t="str">
        <f>Weekly!P83</f>
        <v/>
      </c>
      <c r="G91" s="92" t="str">
        <f>Weekly!Q83</f>
        <v/>
      </c>
      <c r="H91" s="48" t="str">
        <f t="shared" si="135"/>
        <v/>
      </c>
      <c r="I91" s="48" t="str">
        <f t="shared" si="136"/>
        <v/>
      </c>
      <c r="J91" s="48" t="str">
        <f t="shared" si="137"/>
        <v/>
      </c>
      <c r="K91" s="84" t="str">
        <f t="shared" si="138"/>
        <v/>
      </c>
      <c r="L91" s="82" t="str">
        <f t="shared" si="139"/>
        <v/>
      </c>
      <c r="M91" s="48" t="str">
        <f t="shared" si="140"/>
        <v/>
      </c>
      <c r="N91" s="48" t="str">
        <f t="shared" si="141"/>
        <v/>
      </c>
      <c r="O91" s="84" t="str">
        <f t="shared" si="142"/>
        <v/>
      </c>
      <c r="P91" s="82" t="str">
        <f t="shared" si="143"/>
        <v/>
      </c>
      <c r="Q91" s="48" t="str">
        <f t="shared" si="144"/>
        <v/>
      </c>
      <c r="R91" s="48" t="str">
        <f t="shared" si="145"/>
        <v/>
      </c>
      <c r="S91" s="84" t="str">
        <f t="shared" si="146"/>
        <v/>
      </c>
      <c r="T91" s="82" t="str">
        <f t="shared" si="147"/>
        <v/>
      </c>
      <c r="U91" s="48" t="str">
        <f t="shared" si="148"/>
        <v/>
      </c>
      <c r="V91" s="48" t="str">
        <f t="shared" si="149"/>
        <v/>
      </c>
      <c r="W91" s="84" t="str">
        <f t="shared" si="150"/>
        <v/>
      </c>
      <c r="X91" s="82" t="str">
        <f t="shared" si="151"/>
        <v/>
      </c>
      <c r="Y91" s="48" t="str">
        <f t="shared" si="152"/>
        <v/>
      </c>
      <c r="Z91" s="48" t="str">
        <f t="shared" si="153"/>
        <v/>
      </c>
      <c r="AA91" s="84" t="str">
        <f t="shared" si="154"/>
        <v/>
      </c>
      <c r="AB91" s="82" t="str">
        <f t="shared" si="155"/>
        <v/>
      </c>
      <c r="AC91" s="48" t="str">
        <f t="shared" si="156"/>
        <v/>
      </c>
      <c r="AD91" s="48" t="str">
        <f t="shared" si="157"/>
        <v/>
      </c>
      <c r="AE91" s="84" t="str">
        <f t="shared" si="158"/>
        <v/>
      </c>
      <c r="AF91" s="82" t="str">
        <f t="shared" si="159"/>
        <v/>
      </c>
      <c r="AG91" s="48" t="str">
        <f t="shared" si="160"/>
        <v/>
      </c>
      <c r="AH91" s="48" t="str">
        <f t="shared" si="161"/>
        <v/>
      </c>
      <c r="AI91" s="84" t="str">
        <f t="shared" si="162"/>
        <v/>
      </c>
      <c r="AJ91" s="82" t="str">
        <f t="shared" si="163"/>
        <v/>
      </c>
      <c r="AK91" s="48" t="str">
        <f t="shared" si="164"/>
        <v/>
      </c>
      <c r="AL91" s="48" t="str">
        <f t="shared" si="165"/>
        <v/>
      </c>
      <c r="AM91" s="84" t="str">
        <f t="shared" si="166"/>
        <v/>
      </c>
      <c r="AN91" s="82" t="str">
        <f t="shared" si="167"/>
        <v/>
      </c>
      <c r="AO91" s="48" t="str">
        <f t="shared" si="168"/>
        <v/>
      </c>
      <c r="AP91" s="48" t="str">
        <f t="shared" si="169"/>
        <v/>
      </c>
      <c r="AQ91" s="84" t="str">
        <f t="shared" si="170"/>
        <v/>
      </c>
      <c r="AR91" s="82" t="str">
        <f t="shared" si="171"/>
        <v/>
      </c>
      <c r="AS91" s="48" t="str">
        <f t="shared" si="172"/>
        <v/>
      </c>
      <c r="AT91" s="48" t="str">
        <f t="shared" si="173"/>
        <v/>
      </c>
      <c r="AU91" s="84" t="str">
        <f t="shared" si="174"/>
        <v/>
      </c>
      <c r="AV91" s="82" t="str">
        <f t="shared" si="175"/>
        <v/>
      </c>
      <c r="AW91" s="48" t="str">
        <f t="shared" si="176"/>
        <v/>
      </c>
      <c r="AX91" s="48" t="str">
        <f t="shared" si="177"/>
        <v/>
      </c>
      <c r="AY91" s="84" t="str">
        <f t="shared" si="178"/>
        <v/>
      </c>
      <c r="AZ91" s="82" t="str">
        <f t="shared" si="179"/>
        <v/>
      </c>
      <c r="BA91" s="48" t="str">
        <f t="shared" si="180"/>
        <v/>
      </c>
      <c r="BB91" s="48" t="str">
        <f t="shared" si="181"/>
        <v/>
      </c>
      <c r="BC91" s="84" t="str">
        <f t="shared" si="182"/>
        <v/>
      </c>
      <c r="BD91" s="82" t="str">
        <f t="shared" si="183"/>
        <v/>
      </c>
      <c r="BE91" s="48" t="str">
        <f t="shared" si="184"/>
        <v/>
      </c>
      <c r="BF91" s="48" t="str">
        <f t="shared" si="185"/>
        <v/>
      </c>
      <c r="BG91" s="84" t="str">
        <f t="shared" si="186"/>
        <v/>
      </c>
      <c r="BH91" s="87" t="str">
        <f t="shared" si="187"/>
        <v/>
      </c>
      <c r="BI91" s="49" t="str">
        <f t="shared" si="188"/>
        <v/>
      </c>
      <c r="BJ91" s="49" t="str">
        <f t="shared" si="189"/>
        <v/>
      </c>
      <c r="BK91" s="89" t="str">
        <f t="shared" si="190"/>
        <v/>
      </c>
      <c r="BL91" s="87" t="str">
        <f t="shared" si="191"/>
        <v/>
      </c>
      <c r="BM91" s="49" t="str">
        <f t="shared" si="192"/>
        <v/>
      </c>
      <c r="BN91" s="49" t="str">
        <f t="shared" si="193"/>
        <v/>
      </c>
      <c r="BO91" s="89" t="str">
        <f t="shared" si="194"/>
        <v/>
      </c>
      <c r="BP91" s="87" t="str">
        <f t="shared" si="195"/>
        <v/>
      </c>
      <c r="BQ91" s="49" t="str">
        <f t="shared" si="196"/>
        <v/>
      </c>
      <c r="BR91" s="49" t="str">
        <f t="shared" si="197"/>
        <v/>
      </c>
      <c r="BS91" s="89" t="str">
        <f t="shared" si="198"/>
        <v/>
      </c>
      <c r="BT91" s="87" t="str">
        <f t="shared" si="199"/>
        <v/>
      </c>
    </row>
    <row r="92" spans="2:72">
      <c r="B92" s="81">
        <f>Weekly!B84</f>
        <v>0</v>
      </c>
      <c r="C92" s="90">
        <f>Weekly!C84</f>
        <v>0</v>
      </c>
      <c r="D92" s="90">
        <f>Weekly!D109</f>
        <v>0</v>
      </c>
      <c r="E92" s="91" t="e">
        <f>VLOOKUP(B92,Team!$B$4:$E$183,4,FALSE)</f>
        <v>#N/A</v>
      </c>
      <c r="F92" s="92" t="str">
        <f>Weekly!P84</f>
        <v/>
      </c>
      <c r="G92" s="92" t="str">
        <f>Weekly!Q84</f>
        <v/>
      </c>
      <c r="H92" s="48" t="str">
        <f t="shared" si="135"/>
        <v/>
      </c>
      <c r="I92" s="48" t="str">
        <f t="shared" si="136"/>
        <v/>
      </c>
      <c r="J92" s="48" t="str">
        <f t="shared" si="137"/>
        <v/>
      </c>
      <c r="K92" s="84" t="str">
        <f t="shared" si="138"/>
        <v/>
      </c>
      <c r="L92" s="82" t="str">
        <f t="shared" si="139"/>
        <v/>
      </c>
      <c r="M92" s="48" t="str">
        <f t="shared" si="140"/>
        <v/>
      </c>
      <c r="N92" s="48" t="str">
        <f t="shared" si="141"/>
        <v/>
      </c>
      <c r="O92" s="84" t="str">
        <f t="shared" si="142"/>
        <v/>
      </c>
      <c r="P92" s="82" t="str">
        <f t="shared" si="143"/>
        <v/>
      </c>
      <c r="Q92" s="48" t="str">
        <f t="shared" si="144"/>
        <v/>
      </c>
      <c r="R92" s="48" t="str">
        <f t="shared" si="145"/>
        <v/>
      </c>
      <c r="S92" s="84" t="str">
        <f t="shared" si="146"/>
        <v/>
      </c>
      <c r="T92" s="82" t="str">
        <f t="shared" si="147"/>
        <v/>
      </c>
      <c r="U92" s="48" t="str">
        <f t="shared" si="148"/>
        <v/>
      </c>
      <c r="V92" s="48" t="str">
        <f t="shared" si="149"/>
        <v/>
      </c>
      <c r="W92" s="84" t="str">
        <f t="shared" si="150"/>
        <v/>
      </c>
      <c r="X92" s="82" t="str">
        <f t="shared" si="151"/>
        <v/>
      </c>
      <c r="Y92" s="48" t="str">
        <f t="shared" si="152"/>
        <v/>
      </c>
      <c r="Z92" s="48" t="str">
        <f t="shared" si="153"/>
        <v/>
      </c>
      <c r="AA92" s="84" t="str">
        <f t="shared" si="154"/>
        <v/>
      </c>
      <c r="AB92" s="82" t="str">
        <f t="shared" si="155"/>
        <v/>
      </c>
      <c r="AC92" s="48" t="str">
        <f t="shared" si="156"/>
        <v/>
      </c>
      <c r="AD92" s="48" t="str">
        <f t="shared" si="157"/>
        <v/>
      </c>
      <c r="AE92" s="84" t="str">
        <f t="shared" si="158"/>
        <v/>
      </c>
      <c r="AF92" s="82" t="str">
        <f t="shared" si="159"/>
        <v/>
      </c>
      <c r="AG92" s="48" t="str">
        <f t="shared" si="160"/>
        <v/>
      </c>
      <c r="AH92" s="48" t="str">
        <f t="shared" si="161"/>
        <v/>
      </c>
      <c r="AI92" s="84" t="str">
        <f t="shared" si="162"/>
        <v/>
      </c>
      <c r="AJ92" s="82" t="str">
        <f t="shared" si="163"/>
        <v/>
      </c>
      <c r="AK92" s="48" t="str">
        <f t="shared" si="164"/>
        <v/>
      </c>
      <c r="AL92" s="48" t="str">
        <f t="shared" si="165"/>
        <v/>
      </c>
      <c r="AM92" s="84" t="str">
        <f t="shared" si="166"/>
        <v/>
      </c>
      <c r="AN92" s="82" t="str">
        <f t="shared" si="167"/>
        <v/>
      </c>
      <c r="AO92" s="48" t="str">
        <f t="shared" si="168"/>
        <v/>
      </c>
      <c r="AP92" s="48" t="str">
        <f t="shared" si="169"/>
        <v/>
      </c>
      <c r="AQ92" s="84" t="str">
        <f t="shared" si="170"/>
        <v/>
      </c>
      <c r="AR92" s="82" t="str">
        <f t="shared" si="171"/>
        <v/>
      </c>
      <c r="AS92" s="48" t="str">
        <f t="shared" si="172"/>
        <v/>
      </c>
      <c r="AT92" s="48" t="str">
        <f t="shared" si="173"/>
        <v/>
      </c>
      <c r="AU92" s="84" t="str">
        <f t="shared" si="174"/>
        <v/>
      </c>
      <c r="AV92" s="82" t="str">
        <f t="shared" si="175"/>
        <v/>
      </c>
      <c r="AW92" s="48" t="str">
        <f t="shared" si="176"/>
        <v/>
      </c>
      <c r="AX92" s="48" t="str">
        <f t="shared" si="177"/>
        <v/>
      </c>
      <c r="AY92" s="84" t="str">
        <f t="shared" si="178"/>
        <v/>
      </c>
      <c r="AZ92" s="82" t="str">
        <f t="shared" si="179"/>
        <v/>
      </c>
      <c r="BA92" s="48" t="str">
        <f t="shared" si="180"/>
        <v/>
      </c>
      <c r="BB92" s="48" t="str">
        <f t="shared" si="181"/>
        <v/>
      </c>
      <c r="BC92" s="84" t="str">
        <f t="shared" si="182"/>
        <v/>
      </c>
      <c r="BD92" s="82" t="str">
        <f t="shared" si="183"/>
        <v/>
      </c>
      <c r="BE92" s="48" t="str">
        <f t="shared" si="184"/>
        <v/>
      </c>
      <c r="BF92" s="48" t="str">
        <f t="shared" si="185"/>
        <v/>
      </c>
      <c r="BG92" s="84" t="str">
        <f t="shared" si="186"/>
        <v/>
      </c>
      <c r="BH92" s="87" t="str">
        <f t="shared" si="187"/>
        <v/>
      </c>
      <c r="BI92" s="49" t="str">
        <f t="shared" si="188"/>
        <v/>
      </c>
      <c r="BJ92" s="49" t="str">
        <f t="shared" si="189"/>
        <v/>
      </c>
      <c r="BK92" s="89" t="str">
        <f t="shared" si="190"/>
        <v/>
      </c>
      <c r="BL92" s="87" t="str">
        <f t="shared" si="191"/>
        <v/>
      </c>
      <c r="BM92" s="49" t="str">
        <f t="shared" si="192"/>
        <v/>
      </c>
      <c r="BN92" s="49" t="str">
        <f t="shared" si="193"/>
        <v/>
      </c>
      <c r="BO92" s="89" t="str">
        <f t="shared" si="194"/>
        <v/>
      </c>
      <c r="BP92" s="87" t="str">
        <f t="shared" si="195"/>
        <v/>
      </c>
      <c r="BQ92" s="49" t="str">
        <f t="shared" si="196"/>
        <v/>
      </c>
      <c r="BR92" s="49" t="str">
        <f t="shared" si="197"/>
        <v/>
      </c>
      <c r="BS92" s="89" t="str">
        <f t="shared" si="198"/>
        <v/>
      </c>
      <c r="BT92" s="87" t="str">
        <f t="shared" si="199"/>
        <v/>
      </c>
    </row>
    <row r="93" spans="2:72">
      <c r="B93" s="81">
        <f>Weekly!B85</f>
        <v>0</v>
      </c>
      <c r="C93" s="90">
        <f>Weekly!C85</f>
        <v>0</v>
      </c>
      <c r="D93" s="90">
        <f>Weekly!D110</f>
        <v>0</v>
      </c>
      <c r="E93" s="91" t="e">
        <f>VLOOKUP(B93,Team!$B$4:$E$183,4,FALSE)</f>
        <v>#N/A</v>
      </c>
      <c r="F93" s="92" t="str">
        <f>Weekly!P85</f>
        <v/>
      </c>
      <c r="G93" s="92" t="str">
        <f>Weekly!Q85</f>
        <v/>
      </c>
      <c r="H93" s="48" t="str">
        <f t="shared" si="135"/>
        <v/>
      </c>
      <c r="I93" s="48" t="str">
        <f t="shared" si="136"/>
        <v/>
      </c>
      <c r="J93" s="48" t="str">
        <f t="shared" si="137"/>
        <v/>
      </c>
      <c r="K93" s="84" t="str">
        <f t="shared" si="138"/>
        <v/>
      </c>
      <c r="L93" s="82" t="str">
        <f t="shared" si="139"/>
        <v/>
      </c>
      <c r="M93" s="48" t="str">
        <f t="shared" si="140"/>
        <v/>
      </c>
      <c r="N93" s="48" t="str">
        <f t="shared" si="141"/>
        <v/>
      </c>
      <c r="O93" s="84" t="str">
        <f t="shared" si="142"/>
        <v/>
      </c>
      <c r="P93" s="82" t="str">
        <f t="shared" si="143"/>
        <v/>
      </c>
      <c r="Q93" s="48" t="str">
        <f t="shared" si="144"/>
        <v/>
      </c>
      <c r="R93" s="48" t="str">
        <f t="shared" si="145"/>
        <v/>
      </c>
      <c r="S93" s="84" t="str">
        <f t="shared" si="146"/>
        <v/>
      </c>
      <c r="T93" s="82" t="str">
        <f t="shared" si="147"/>
        <v/>
      </c>
      <c r="U93" s="48" t="str">
        <f t="shared" si="148"/>
        <v/>
      </c>
      <c r="V93" s="48" t="str">
        <f t="shared" si="149"/>
        <v/>
      </c>
      <c r="W93" s="84" t="str">
        <f t="shared" si="150"/>
        <v/>
      </c>
      <c r="X93" s="82" t="str">
        <f t="shared" si="151"/>
        <v/>
      </c>
      <c r="Y93" s="48" t="str">
        <f t="shared" si="152"/>
        <v/>
      </c>
      <c r="Z93" s="48" t="str">
        <f t="shared" si="153"/>
        <v/>
      </c>
      <c r="AA93" s="84" t="str">
        <f t="shared" si="154"/>
        <v/>
      </c>
      <c r="AB93" s="82" t="str">
        <f t="shared" si="155"/>
        <v/>
      </c>
      <c r="AC93" s="48" t="str">
        <f t="shared" si="156"/>
        <v/>
      </c>
      <c r="AD93" s="48" t="str">
        <f t="shared" si="157"/>
        <v/>
      </c>
      <c r="AE93" s="84" t="str">
        <f t="shared" si="158"/>
        <v/>
      </c>
      <c r="AF93" s="82" t="str">
        <f t="shared" si="159"/>
        <v/>
      </c>
      <c r="AG93" s="48" t="str">
        <f t="shared" si="160"/>
        <v/>
      </c>
      <c r="AH93" s="48" t="str">
        <f t="shared" si="161"/>
        <v/>
      </c>
      <c r="AI93" s="84" t="str">
        <f t="shared" si="162"/>
        <v/>
      </c>
      <c r="AJ93" s="82" t="str">
        <f t="shared" si="163"/>
        <v/>
      </c>
      <c r="AK93" s="48" t="str">
        <f t="shared" si="164"/>
        <v/>
      </c>
      <c r="AL93" s="48" t="str">
        <f t="shared" si="165"/>
        <v/>
      </c>
      <c r="AM93" s="84" t="str">
        <f t="shared" si="166"/>
        <v/>
      </c>
      <c r="AN93" s="82" t="str">
        <f t="shared" si="167"/>
        <v/>
      </c>
      <c r="AO93" s="48" t="str">
        <f t="shared" si="168"/>
        <v/>
      </c>
      <c r="AP93" s="48" t="str">
        <f t="shared" si="169"/>
        <v/>
      </c>
      <c r="AQ93" s="84" t="str">
        <f t="shared" si="170"/>
        <v/>
      </c>
      <c r="AR93" s="82" t="str">
        <f t="shared" si="171"/>
        <v/>
      </c>
      <c r="AS93" s="48" t="str">
        <f t="shared" si="172"/>
        <v/>
      </c>
      <c r="AT93" s="48" t="str">
        <f t="shared" si="173"/>
        <v/>
      </c>
      <c r="AU93" s="84" t="str">
        <f t="shared" si="174"/>
        <v/>
      </c>
      <c r="AV93" s="82" t="str">
        <f t="shared" si="175"/>
        <v/>
      </c>
      <c r="AW93" s="48" t="str">
        <f t="shared" si="176"/>
        <v/>
      </c>
      <c r="AX93" s="48" t="str">
        <f t="shared" si="177"/>
        <v/>
      </c>
      <c r="AY93" s="84" t="str">
        <f t="shared" si="178"/>
        <v/>
      </c>
      <c r="AZ93" s="82" t="str">
        <f t="shared" si="179"/>
        <v/>
      </c>
      <c r="BA93" s="48" t="str">
        <f t="shared" si="180"/>
        <v/>
      </c>
      <c r="BB93" s="48" t="str">
        <f t="shared" si="181"/>
        <v/>
      </c>
      <c r="BC93" s="84" t="str">
        <f t="shared" si="182"/>
        <v/>
      </c>
      <c r="BD93" s="82" t="str">
        <f t="shared" si="183"/>
        <v/>
      </c>
      <c r="BE93" s="48" t="str">
        <f t="shared" si="184"/>
        <v/>
      </c>
      <c r="BF93" s="48" t="str">
        <f t="shared" si="185"/>
        <v/>
      </c>
      <c r="BG93" s="84" t="str">
        <f t="shared" si="186"/>
        <v/>
      </c>
      <c r="BH93" s="87" t="str">
        <f t="shared" si="187"/>
        <v/>
      </c>
      <c r="BI93" s="49" t="str">
        <f t="shared" si="188"/>
        <v/>
      </c>
      <c r="BJ93" s="49" t="str">
        <f t="shared" si="189"/>
        <v/>
      </c>
      <c r="BK93" s="89" t="str">
        <f t="shared" si="190"/>
        <v/>
      </c>
      <c r="BL93" s="87" t="str">
        <f t="shared" si="191"/>
        <v/>
      </c>
      <c r="BM93" s="49" t="str">
        <f t="shared" si="192"/>
        <v/>
      </c>
      <c r="BN93" s="49" t="str">
        <f t="shared" si="193"/>
        <v/>
      </c>
      <c r="BO93" s="89" t="str">
        <f t="shared" si="194"/>
        <v/>
      </c>
      <c r="BP93" s="87" t="str">
        <f t="shared" si="195"/>
        <v/>
      </c>
      <c r="BQ93" s="49" t="str">
        <f t="shared" si="196"/>
        <v/>
      </c>
      <c r="BR93" s="49" t="str">
        <f t="shared" si="197"/>
        <v/>
      </c>
      <c r="BS93" s="89" t="str">
        <f t="shared" si="198"/>
        <v/>
      </c>
      <c r="BT93" s="87" t="str">
        <f t="shared" si="199"/>
        <v/>
      </c>
    </row>
    <row r="94" spans="2:72">
      <c r="B94" s="81">
        <f>Weekly!B86</f>
        <v>0</v>
      </c>
      <c r="C94" s="90">
        <f>Weekly!C86</f>
        <v>0</v>
      </c>
      <c r="D94" s="90">
        <f>Weekly!D111</f>
        <v>0</v>
      </c>
      <c r="E94" s="91" t="e">
        <f>VLOOKUP(B94,Team!$B$4:$E$183,4,FALSE)</f>
        <v>#N/A</v>
      </c>
      <c r="F94" s="92" t="str">
        <f>Weekly!P86</f>
        <v/>
      </c>
      <c r="G94" s="92" t="str">
        <f>Weekly!Q86</f>
        <v/>
      </c>
      <c r="H94" s="48" t="str">
        <f t="shared" si="135"/>
        <v/>
      </c>
      <c r="I94" s="48" t="str">
        <f t="shared" si="136"/>
        <v/>
      </c>
      <c r="J94" s="48" t="str">
        <f t="shared" si="137"/>
        <v/>
      </c>
      <c r="K94" s="84" t="str">
        <f t="shared" si="138"/>
        <v/>
      </c>
      <c r="L94" s="82" t="str">
        <f t="shared" si="139"/>
        <v/>
      </c>
      <c r="M94" s="48" t="str">
        <f t="shared" si="140"/>
        <v/>
      </c>
      <c r="N94" s="48" t="str">
        <f t="shared" si="141"/>
        <v/>
      </c>
      <c r="O94" s="84" t="str">
        <f t="shared" si="142"/>
        <v/>
      </c>
      <c r="P94" s="82" t="str">
        <f t="shared" si="143"/>
        <v/>
      </c>
      <c r="Q94" s="48" t="str">
        <f t="shared" si="144"/>
        <v/>
      </c>
      <c r="R94" s="48" t="str">
        <f t="shared" si="145"/>
        <v/>
      </c>
      <c r="S94" s="84" t="str">
        <f t="shared" si="146"/>
        <v/>
      </c>
      <c r="T94" s="82" t="str">
        <f t="shared" si="147"/>
        <v/>
      </c>
      <c r="U94" s="48" t="str">
        <f t="shared" si="148"/>
        <v/>
      </c>
      <c r="V94" s="48" t="str">
        <f t="shared" si="149"/>
        <v/>
      </c>
      <c r="W94" s="84" t="str">
        <f t="shared" si="150"/>
        <v/>
      </c>
      <c r="X94" s="82" t="str">
        <f t="shared" si="151"/>
        <v/>
      </c>
      <c r="Y94" s="48" t="str">
        <f t="shared" si="152"/>
        <v/>
      </c>
      <c r="Z94" s="48" t="str">
        <f t="shared" si="153"/>
        <v/>
      </c>
      <c r="AA94" s="84" t="str">
        <f t="shared" si="154"/>
        <v/>
      </c>
      <c r="AB94" s="82" t="str">
        <f t="shared" si="155"/>
        <v/>
      </c>
      <c r="AC94" s="48" t="str">
        <f t="shared" si="156"/>
        <v/>
      </c>
      <c r="AD94" s="48" t="str">
        <f t="shared" si="157"/>
        <v/>
      </c>
      <c r="AE94" s="84" t="str">
        <f t="shared" si="158"/>
        <v/>
      </c>
      <c r="AF94" s="82" t="str">
        <f t="shared" si="159"/>
        <v/>
      </c>
      <c r="AG94" s="48" t="str">
        <f t="shared" si="160"/>
        <v/>
      </c>
      <c r="AH94" s="48" t="str">
        <f t="shared" si="161"/>
        <v/>
      </c>
      <c r="AI94" s="84" t="str">
        <f t="shared" si="162"/>
        <v/>
      </c>
      <c r="AJ94" s="82" t="str">
        <f t="shared" si="163"/>
        <v/>
      </c>
      <c r="AK94" s="48" t="str">
        <f t="shared" si="164"/>
        <v/>
      </c>
      <c r="AL94" s="48" t="str">
        <f t="shared" si="165"/>
        <v/>
      </c>
      <c r="AM94" s="84" t="str">
        <f t="shared" si="166"/>
        <v/>
      </c>
      <c r="AN94" s="82" t="str">
        <f t="shared" si="167"/>
        <v/>
      </c>
      <c r="AO94" s="48" t="str">
        <f t="shared" si="168"/>
        <v/>
      </c>
      <c r="AP94" s="48" t="str">
        <f t="shared" si="169"/>
        <v/>
      </c>
      <c r="AQ94" s="84" t="str">
        <f t="shared" si="170"/>
        <v/>
      </c>
      <c r="AR94" s="82" t="str">
        <f t="shared" si="171"/>
        <v/>
      </c>
      <c r="AS94" s="48" t="str">
        <f t="shared" si="172"/>
        <v/>
      </c>
      <c r="AT94" s="48" t="str">
        <f t="shared" si="173"/>
        <v/>
      </c>
      <c r="AU94" s="84" t="str">
        <f t="shared" si="174"/>
        <v/>
      </c>
      <c r="AV94" s="82" t="str">
        <f t="shared" si="175"/>
        <v/>
      </c>
      <c r="AW94" s="48" t="str">
        <f t="shared" si="176"/>
        <v/>
      </c>
      <c r="AX94" s="48" t="str">
        <f t="shared" si="177"/>
        <v/>
      </c>
      <c r="AY94" s="84" t="str">
        <f t="shared" si="178"/>
        <v/>
      </c>
      <c r="AZ94" s="82" t="str">
        <f t="shared" si="179"/>
        <v/>
      </c>
      <c r="BA94" s="48" t="str">
        <f t="shared" si="180"/>
        <v/>
      </c>
      <c r="BB94" s="48" t="str">
        <f t="shared" si="181"/>
        <v/>
      </c>
      <c r="BC94" s="84" t="str">
        <f t="shared" si="182"/>
        <v/>
      </c>
      <c r="BD94" s="82" t="str">
        <f t="shared" si="183"/>
        <v/>
      </c>
      <c r="BE94" s="48" t="str">
        <f t="shared" si="184"/>
        <v/>
      </c>
      <c r="BF94" s="48" t="str">
        <f t="shared" si="185"/>
        <v/>
      </c>
      <c r="BG94" s="84" t="str">
        <f t="shared" si="186"/>
        <v/>
      </c>
      <c r="BH94" s="87" t="str">
        <f t="shared" si="187"/>
        <v/>
      </c>
      <c r="BI94" s="49" t="str">
        <f t="shared" si="188"/>
        <v/>
      </c>
      <c r="BJ94" s="49" t="str">
        <f t="shared" si="189"/>
        <v/>
      </c>
      <c r="BK94" s="89" t="str">
        <f t="shared" si="190"/>
        <v/>
      </c>
      <c r="BL94" s="87" t="str">
        <f t="shared" si="191"/>
        <v/>
      </c>
      <c r="BM94" s="49" t="str">
        <f t="shared" si="192"/>
        <v/>
      </c>
      <c r="BN94" s="49" t="str">
        <f t="shared" si="193"/>
        <v/>
      </c>
      <c r="BO94" s="89" t="str">
        <f t="shared" si="194"/>
        <v/>
      </c>
      <c r="BP94" s="87" t="str">
        <f t="shared" si="195"/>
        <v/>
      </c>
      <c r="BQ94" s="49" t="str">
        <f t="shared" si="196"/>
        <v/>
      </c>
      <c r="BR94" s="49" t="str">
        <f t="shared" si="197"/>
        <v/>
      </c>
      <c r="BS94" s="89" t="str">
        <f t="shared" si="198"/>
        <v/>
      </c>
      <c r="BT94" s="87" t="str">
        <f t="shared" si="199"/>
        <v/>
      </c>
    </row>
    <row r="95" spans="2:72">
      <c r="B95" s="81">
        <f>Weekly!B87</f>
        <v>0</v>
      </c>
      <c r="C95" s="90">
        <f>Weekly!C87</f>
        <v>0</v>
      </c>
      <c r="D95" s="90">
        <f>Weekly!D112</f>
        <v>0</v>
      </c>
      <c r="E95" s="91" t="e">
        <f>VLOOKUP(B95,Team!$B$4:$E$183,4,FALSE)</f>
        <v>#N/A</v>
      </c>
      <c r="F95" s="92" t="str">
        <f>Weekly!P87</f>
        <v/>
      </c>
      <c r="G95" s="92" t="str">
        <f>Weekly!Q87</f>
        <v/>
      </c>
      <c r="H95" s="48" t="str">
        <f t="shared" si="135"/>
        <v/>
      </c>
      <c r="I95" s="48" t="str">
        <f t="shared" si="136"/>
        <v/>
      </c>
      <c r="J95" s="48" t="str">
        <f t="shared" si="137"/>
        <v/>
      </c>
      <c r="K95" s="84" t="str">
        <f t="shared" si="138"/>
        <v/>
      </c>
      <c r="L95" s="82" t="str">
        <f t="shared" si="139"/>
        <v/>
      </c>
      <c r="M95" s="48" t="str">
        <f t="shared" si="140"/>
        <v/>
      </c>
      <c r="N95" s="48" t="str">
        <f t="shared" si="141"/>
        <v/>
      </c>
      <c r="O95" s="84" t="str">
        <f t="shared" si="142"/>
        <v/>
      </c>
      <c r="P95" s="82" t="str">
        <f t="shared" si="143"/>
        <v/>
      </c>
      <c r="Q95" s="48" t="str">
        <f t="shared" si="144"/>
        <v/>
      </c>
      <c r="R95" s="48" t="str">
        <f t="shared" si="145"/>
        <v/>
      </c>
      <c r="S95" s="84" t="str">
        <f t="shared" si="146"/>
        <v/>
      </c>
      <c r="T95" s="82" t="str">
        <f t="shared" si="147"/>
        <v/>
      </c>
      <c r="U95" s="48" t="str">
        <f t="shared" si="148"/>
        <v/>
      </c>
      <c r="V95" s="48" t="str">
        <f t="shared" si="149"/>
        <v/>
      </c>
      <c r="W95" s="84" t="str">
        <f t="shared" si="150"/>
        <v/>
      </c>
      <c r="X95" s="82" t="str">
        <f t="shared" si="151"/>
        <v/>
      </c>
      <c r="Y95" s="48" t="str">
        <f t="shared" si="152"/>
        <v/>
      </c>
      <c r="Z95" s="48" t="str">
        <f t="shared" si="153"/>
        <v/>
      </c>
      <c r="AA95" s="84" t="str">
        <f t="shared" si="154"/>
        <v/>
      </c>
      <c r="AB95" s="82" t="str">
        <f t="shared" si="155"/>
        <v/>
      </c>
      <c r="AC95" s="48" t="str">
        <f t="shared" si="156"/>
        <v/>
      </c>
      <c r="AD95" s="48" t="str">
        <f t="shared" si="157"/>
        <v/>
      </c>
      <c r="AE95" s="84" t="str">
        <f t="shared" si="158"/>
        <v/>
      </c>
      <c r="AF95" s="82" t="str">
        <f t="shared" si="159"/>
        <v/>
      </c>
      <c r="AG95" s="48" t="str">
        <f t="shared" si="160"/>
        <v/>
      </c>
      <c r="AH95" s="48" t="str">
        <f t="shared" si="161"/>
        <v/>
      </c>
      <c r="AI95" s="84" t="str">
        <f t="shared" si="162"/>
        <v/>
      </c>
      <c r="AJ95" s="82" t="str">
        <f t="shared" si="163"/>
        <v/>
      </c>
      <c r="AK95" s="48" t="str">
        <f t="shared" si="164"/>
        <v/>
      </c>
      <c r="AL95" s="48" t="str">
        <f t="shared" si="165"/>
        <v/>
      </c>
      <c r="AM95" s="84" t="str">
        <f t="shared" si="166"/>
        <v/>
      </c>
      <c r="AN95" s="82" t="str">
        <f t="shared" si="167"/>
        <v/>
      </c>
      <c r="AO95" s="48" t="str">
        <f t="shared" si="168"/>
        <v/>
      </c>
      <c r="AP95" s="48" t="str">
        <f t="shared" si="169"/>
        <v/>
      </c>
      <c r="AQ95" s="84" t="str">
        <f t="shared" si="170"/>
        <v/>
      </c>
      <c r="AR95" s="82" t="str">
        <f t="shared" si="171"/>
        <v/>
      </c>
      <c r="AS95" s="48" t="str">
        <f t="shared" si="172"/>
        <v/>
      </c>
      <c r="AT95" s="48" t="str">
        <f t="shared" si="173"/>
        <v/>
      </c>
      <c r="AU95" s="84" t="str">
        <f t="shared" si="174"/>
        <v/>
      </c>
      <c r="AV95" s="82" t="str">
        <f t="shared" si="175"/>
        <v/>
      </c>
      <c r="AW95" s="48" t="str">
        <f t="shared" si="176"/>
        <v/>
      </c>
      <c r="AX95" s="48" t="str">
        <f t="shared" si="177"/>
        <v/>
      </c>
      <c r="AY95" s="84" t="str">
        <f t="shared" si="178"/>
        <v/>
      </c>
      <c r="AZ95" s="82" t="str">
        <f t="shared" si="179"/>
        <v/>
      </c>
      <c r="BA95" s="48" t="str">
        <f t="shared" si="180"/>
        <v/>
      </c>
      <c r="BB95" s="48" t="str">
        <f t="shared" si="181"/>
        <v/>
      </c>
      <c r="BC95" s="84" t="str">
        <f t="shared" si="182"/>
        <v/>
      </c>
      <c r="BD95" s="82" t="str">
        <f t="shared" si="183"/>
        <v/>
      </c>
      <c r="BE95" s="48" t="str">
        <f t="shared" si="184"/>
        <v/>
      </c>
      <c r="BF95" s="48" t="str">
        <f t="shared" si="185"/>
        <v/>
      </c>
      <c r="BG95" s="84" t="str">
        <f t="shared" si="186"/>
        <v/>
      </c>
      <c r="BH95" s="87" t="str">
        <f t="shared" si="187"/>
        <v/>
      </c>
      <c r="BI95" s="49" t="str">
        <f t="shared" si="188"/>
        <v/>
      </c>
      <c r="BJ95" s="49" t="str">
        <f t="shared" si="189"/>
        <v/>
      </c>
      <c r="BK95" s="89" t="str">
        <f t="shared" si="190"/>
        <v/>
      </c>
      <c r="BL95" s="87" t="str">
        <f t="shared" si="191"/>
        <v/>
      </c>
      <c r="BM95" s="49" t="str">
        <f t="shared" si="192"/>
        <v/>
      </c>
      <c r="BN95" s="49" t="str">
        <f t="shared" si="193"/>
        <v/>
      </c>
      <c r="BO95" s="89" t="str">
        <f t="shared" si="194"/>
        <v/>
      </c>
      <c r="BP95" s="87" t="str">
        <f t="shared" si="195"/>
        <v/>
      </c>
      <c r="BQ95" s="49" t="str">
        <f t="shared" si="196"/>
        <v/>
      </c>
      <c r="BR95" s="49" t="str">
        <f t="shared" si="197"/>
        <v/>
      </c>
      <c r="BS95" s="89" t="str">
        <f t="shared" si="198"/>
        <v/>
      </c>
      <c r="BT95" s="87" t="str">
        <f t="shared" si="199"/>
        <v/>
      </c>
    </row>
    <row r="96" spans="2:72">
      <c r="B96" s="81">
        <f>Weekly!B88</f>
        <v>0</v>
      </c>
      <c r="C96" s="90">
        <f>Weekly!C88</f>
        <v>0</v>
      </c>
      <c r="D96" s="90">
        <f>Weekly!D113</f>
        <v>0</v>
      </c>
      <c r="E96" s="91" t="e">
        <f>VLOOKUP(B96,Team!$B$4:$E$183,4,FALSE)</f>
        <v>#N/A</v>
      </c>
      <c r="F96" s="92" t="str">
        <f>Weekly!P88</f>
        <v/>
      </c>
      <c r="G96" s="92" t="str">
        <f>Weekly!Q88</f>
        <v/>
      </c>
      <c r="H96" s="48" t="str">
        <f t="shared" si="135"/>
        <v/>
      </c>
      <c r="I96" s="48" t="str">
        <f t="shared" si="136"/>
        <v/>
      </c>
      <c r="J96" s="48" t="str">
        <f t="shared" si="137"/>
        <v/>
      </c>
      <c r="K96" s="84" t="str">
        <f t="shared" si="138"/>
        <v/>
      </c>
      <c r="L96" s="82" t="str">
        <f t="shared" si="139"/>
        <v/>
      </c>
      <c r="M96" s="48" t="str">
        <f t="shared" si="140"/>
        <v/>
      </c>
      <c r="N96" s="48" t="str">
        <f t="shared" si="141"/>
        <v/>
      </c>
      <c r="O96" s="84" t="str">
        <f t="shared" si="142"/>
        <v/>
      </c>
      <c r="P96" s="82" t="str">
        <f t="shared" si="143"/>
        <v/>
      </c>
      <c r="Q96" s="48" t="str">
        <f t="shared" si="144"/>
        <v/>
      </c>
      <c r="R96" s="48" t="str">
        <f t="shared" si="145"/>
        <v/>
      </c>
      <c r="S96" s="84" t="str">
        <f t="shared" si="146"/>
        <v/>
      </c>
      <c r="T96" s="82" t="str">
        <f t="shared" si="147"/>
        <v/>
      </c>
      <c r="U96" s="48" t="str">
        <f t="shared" si="148"/>
        <v/>
      </c>
      <c r="V96" s="48" t="str">
        <f t="shared" si="149"/>
        <v/>
      </c>
      <c r="W96" s="84" t="str">
        <f t="shared" si="150"/>
        <v/>
      </c>
      <c r="X96" s="82" t="str">
        <f t="shared" si="151"/>
        <v/>
      </c>
      <c r="Y96" s="48" t="str">
        <f t="shared" si="152"/>
        <v/>
      </c>
      <c r="Z96" s="48" t="str">
        <f t="shared" si="153"/>
        <v/>
      </c>
      <c r="AA96" s="84" t="str">
        <f t="shared" si="154"/>
        <v/>
      </c>
      <c r="AB96" s="82" t="str">
        <f t="shared" si="155"/>
        <v/>
      </c>
      <c r="AC96" s="48" t="str">
        <f t="shared" si="156"/>
        <v/>
      </c>
      <c r="AD96" s="48" t="str">
        <f t="shared" si="157"/>
        <v/>
      </c>
      <c r="AE96" s="84" t="str">
        <f t="shared" si="158"/>
        <v/>
      </c>
      <c r="AF96" s="82" t="str">
        <f t="shared" si="159"/>
        <v/>
      </c>
      <c r="AG96" s="48" t="str">
        <f t="shared" si="160"/>
        <v/>
      </c>
      <c r="AH96" s="48" t="str">
        <f t="shared" si="161"/>
        <v/>
      </c>
      <c r="AI96" s="84" t="str">
        <f t="shared" si="162"/>
        <v/>
      </c>
      <c r="AJ96" s="82" t="str">
        <f t="shared" si="163"/>
        <v/>
      </c>
      <c r="AK96" s="48" t="str">
        <f t="shared" si="164"/>
        <v/>
      </c>
      <c r="AL96" s="48" t="str">
        <f t="shared" si="165"/>
        <v/>
      </c>
      <c r="AM96" s="84" t="str">
        <f t="shared" si="166"/>
        <v/>
      </c>
      <c r="AN96" s="82" t="str">
        <f t="shared" si="167"/>
        <v/>
      </c>
      <c r="AO96" s="48" t="str">
        <f t="shared" si="168"/>
        <v/>
      </c>
      <c r="AP96" s="48" t="str">
        <f t="shared" si="169"/>
        <v/>
      </c>
      <c r="AQ96" s="84" t="str">
        <f t="shared" si="170"/>
        <v/>
      </c>
      <c r="AR96" s="82" t="str">
        <f t="shared" si="171"/>
        <v/>
      </c>
      <c r="AS96" s="48" t="str">
        <f t="shared" si="172"/>
        <v/>
      </c>
      <c r="AT96" s="48" t="str">
        <f t="shared" si="173"/>
        <v/>
      </c>
      <c r="AU96" s="84" t="str">
        <f t="shared" si="174"/>
        <v/>
      </c>
      <c r="AV96" s="82" t="str">
        <f t="shared" si="175"/>
        <v/>
      </c>
      <c r="AW96" s="48" t="str">
        <f t="shared" si="176"/>
        <v/>
      </c>
      <c r="AX96" s="48" t="str">
        <f t="shared" si="177"/>
        <v/>
      </c>
      <c r="AY96" s="84" t="str">
        <f t="shared" si="178"/>
        <v/>
      </c>
      <c r="AZ96" s="82" t="str">
        <f t="shared" si="179"/>
        <v/>
      </c>
      <c r="BA96" s="48" t="str">
        <f t="shared" si="180"/>
        <v/>
      </c>
      <c r="BB96" s="48" t="str">
        <f t="shared" si="181"/>
        <v/>
      </c>
      <c r="BC96" s="84" t="str">
        <f t="shared" si="182"/>
        <v/>
      </c>
      <c r="BD96" s="82" t="str">
        <f t="shared" si="183"/>
        <v/>
      </c>
      <c r="BE96" s="48" t="str">
        <f t="shared" si="184"/>
        <v/>
      </c>
      <c r="BF96" s="48" t="str">
        <f t="shared" si="185"/>
        <v/>
      </c>
      <c r="BG96" s="84" t="str">
        <f t="shared" si="186"/>
        <v/>
      </c>
      <c r="BH96" s="87" t="str">
        <f t="shared" si="187"/>
        <v/>
      </c>
      <c r="BI96" s="49" t="str">
        <f t="shared" si="188"/>
        <v/>
      </c>
      <c r="BJ96" s="49" t="str">
        <f t="shared" si="189"/>
        <v/>
      </c>
      <c r="BK96" s="89" t="str">
        <f t="shared" si="190"/>
        <v/>
      </c>
      <c r="BL96" s="87" t="str">
        <f t="shared" si="191"/>
        <v/>
      </c>
      <c r="BM96" s="49" t="str">
        <f t="shared" si="192"/>
        <v/>
      </c>
      <c r="BN96" s="49" t="str">
        <f t="shared" si="193"/>
        <v/>
      </c>
      <c r="BO96" s="89" t="str">
        <f t="shared" si="194"/>
        <v/>
      </c>
      <c r="BP96" s="87" t="str">
        <f t="shared" si="195"/>
        <v/>
      </c>
      <c r="BQ96" s="49" t="str">
        <f t="shared" si="196"/>
        <v/>
      </c>
      <c r="BR96" s="49" t="str">
        <f t="shared" si="197"/>
        <v/>
      </c>
      <c r="BS96" s="89" t="str">
        <f t="shared" si="198"/>
        <v/>
      </c>
      <c r="BT96" s="87" t="str">
        <f t="shared" si="199"/>
        <v/>
      </c>
    </row>
    <row r="97" spans="2:72">
      <c r="B97" s="81">
        <f>Weekly!B89</f>
        <v>0</v>
      </c>
      <c r="C97" s="90">
        <f>Weekly!C89</f>
        <v>0</v>
      </c>
      <c r="D97" s="90">
        <f>Weekly!D114</f>
        <v>0</v>
      </c>
      <c r="E97" s="91" t="e">
        <f>VLOOKUP(B97,Team!$B$4:$E$183,4,FALSE)</f>
        <v>#N/A</v>
      </c>
      <c r="F97" s="92" t="str">
        <f>Weekly!P89</f>
        <v/>
      </c>
      <c r="G97" s="92" t="str">
        <f>Weekly!Q89</f>
        <v/>
      </c>
      <c r="H97" s="48" t="str">
        <f t="shared" si="135"/>
        <v/>
      </c>
      <c r="I97" s="48" t="str">
        <f t="shared" si="136"/>
        <v/>
      </c>
      <c r="J97" s="48" t="str">
        <f t="shared" si="137"/>
        <v/>
      </c>
      <c r="K97" s="84" t="str">
        <f t="shared" si="138"/>
        <v/>
      </c>
      <c r="L97" s="82" t="str">
        <f t="shared" si="139"/>
        <v/>
      </c>
      <c r="M97" s="48" t="str">
        <f t="shared" si="140"/>
        <v/>
      </c>
      <c r="N97" s="48" t="str">
        <f t="shared" si="141"/>
        <v/>
      </c>
      <c r="O97" s="84" t="str">
        <f t="shared" si="142"/>
        <v/>
      </c>
      <c r="P97" s="82" t="str">
        <f t="shared" si="143"/>
        <v/>
      </c>
      <c r="Q97" s="48" t="str">
        <f t="shared" si="144"/>
        <v/>
      </c>
      <c r="R97" s="48" t="str">
        <f t="shared" si="145"/>
        <v/>
      </c>
      <c r="S97" s="84" t="str">
        <f t="shared" si="146"/>
        <v/>
      </c>
      <c r="T97" s="82" t="str">
        <f t="shared" si="147"/>
        <v/>
      </c>
      <c r="U97" s="48" t="str">
        <f t="shared" si="148"/>
        <v/>
      </c>
      <c r="V97" s="48" t="str">
        <f t="shared" si="149"/>
        <v/>
      </c>
      <c r="W97" s="84" t="str">
        <f t="shared" si="150"/>
        <v/>
      </c>
      <c r="X97" s="82" t="str">
        <f t="shared" si="151"/>
        <v/>
      </c>
      <c r="Y97" s="48" t="str">
        <f t="shared" si="152"/>
        <v/>
      </c>
      <c r="Z97" s="48" t="str">
        <f t="shared" si="153"/>
        <v/>
      </c>
      <c r="AA97" s="84" t="str">
        <f t="shared" si="154"/>
        <v/>
      </c>
      <c r="AB97" s="82" t="str">
        <f t="shared" si="155"/>
        <v/>
      </c>
      <c r="AC97" s="48" t="str">
        <f t="shared" si="156"/>
        <v/>
      </c>
      <c r="AD97" s="48" t="str">
        <f t="shared" si="157"/>
        <v/>
      </c>
      <c r="AE97" s="84" t="str">
        <f t="shared" si="158"/>
        <v/>
      </c>
      <c r="AF97" s="82" t="str">
        <f t="shared" si="159"/>
        <v/>
      </c>
      <c r="AG97" s="48" t="str">
        <f t="shared" si="160"/>
        <v/>
      </c>
      <c r="AH97" s="48" t="str">
        <f t="shared" si="161"/>
        <v/>
      </c>
      <c r="AI97" s="84" t="str">
        <f t="shared" si="162"/>
        <v/>
      </c>
      <c r="AJ97" s="82" t="str">
        <f t="shared" si="163"/>
        <v/>
      </c>
      <c r="AK97" s="48" t="str">
        <f t="shared" si="164"/>
        <v/>
      </c>
      <c r="AL97" s="48" t="str">
        <f t="shared" si="165"/>
        <v/>
      </c>
      <c r="AM97" s="84" t="str">
        <f t="shared" si="166"/>
        <v/>
      </c>
      <c r="AN97" s="82" t="str">
        <f t="shared" si="167"/>
        <v/>
      </c>
      <c r="AO97" s="48" t="str">
        <f t="shared" si="168"/>
        <v/>
      </c>
      <c r="AP97" s="48" t="str">
        <f t="shared" si="169"/>
        <v/>
      </c>
      <c r="AQ97" s="84" t="str">
        <f t="shared" si="170"/>
        <v/>
      </c>
      <c r="AR97" s="82" t="str">
        <f t="shared" si="171"/>
        <v/>
      </c>
      <c r="AS97" s="48" t="str">
        <f t="shared" si="172"/>
        <v/>
      </c>
      <c r="AT97" s="48" t="str">
        <f t="shared" si="173"/>
        <v/>
      </c>
      <c r="AU97" s="84" t="str">
        <f t="shared" si="174"/>
        <v/>
      </c>
      <c r="AV97" s="82" t="str">
        <f t="shared" si="175"/>
        <v/>
      </c>
      <c r="AW97" s="48" t="str">
        <f t="shared" si="176"/>
        <v/>
      </c>
      <c r="AX97" s="48" t="str">
        <f t="shared" si="177"/>
        <v/>
      </c>
      <c r="AY97" s="84" t="str">
        <f t="shared" si="178"/>
        <v/>
      </c>
      <c r="AZ97" s="82" t="str">
        <f t="shared" si="179"/>
        <v/>
      </c>
      <c r="BA97" s="48" t="str">
        <f t="shared" si="180"/>
        <v/>
      </c>
      <c r="BB97" s="48" t="str">
        <f t="shared" si="181"/>
        <v/>
      </c>
      <c r="BC97" s="84" t="str">
        <f t="shared" si="182"/>
        <v/>
      </c>
      <c r="BD97" s="82" t="str">
        <f t="shared" si="183"/>
        <v/>
      </c>
      <c r="BE97" s="48" t="str">
        <f t="shared" si="184"/>
        <v/>
      </c>
      <c r="BF97" s="48" t="str">
        <f t="shared" si="185"/>
        <v/>
      </c>
      <c r="BG97" s="84" t="str">
        <f t="shared" si="186"/>
        <v/>
      </c>
      <c r="BH97" s="87" t="str">
        <f t="shared" si="187"/>
        <v/>
      </c>
      <c r="BI97" s="49" t="str">
        <f t="shared" si="188"/>
        <v/>
      </c>
      <c r="BJ97" s="49" t="str">
        <f t="shared" si="189"/>
        <v/>
      </c>
      <c r="BK97" s="89" t="str">
        <f t="shared" si="190"/>
        <v/>
      </c>
      <c r="BL97" s="87" t="str">
        <f t="shared" si="191"/>
        <v/>
      </c>
      <c r="BM97" s="49" t="str">
        <f t="shared" si="192"/>
        <v/>
      </c>
      <c r="BN97" s="49" t="str">
        <f t="shared" si="193"/>
        <v/>
      </c>
      <c r="BO97" s="89" t="str">
        <f t="shared" si="194"/>
        <v/>
      </c>
      <c r="BP97" s="87" t="str">
        <f t="shared" si="195"/>
        <v/>
      </c>
      <c r="BQ97" s="49" t="str">
        <f t="shared" si="196"/>
        <v/>
      </c>
      <c r="BR97" s="49" t="str">
        <f t="shared" si="197"/>
        <v/>
      </c>
      <c r="BS97" s="89" t="str">
        <f t="shared" si="198"/>
        <v/>
      </c>
      <c r="BT97" s="87" t="str">
        <f t="shared" si="199"/>
        <v/>
      </c>
    </row>
    <row r="98" spans="2:72">
      <c r="B98" s="81">
        <f>Weekly!B90</f>
        <v>0</v>
      </c>
      <c r="C98" s="90">
        <f>Weekly!C90</f>
        <v>0</v>
      </c>
      <c r="D98" s="90">
        <f>Weekly!D115</f>
        <v>0</v>
      </c>
      <c r="E98" s="91" t="e">
        <f>VLOOKUP(B98,Team!$B$4:$E$183,4,FALSE)</f>
        <v>#N/A</v>
      </c>
      <c r="F98" s="92" t="str">
        <f>Weekly!P90</f>
        <v/>
      </c>
      <c r="G98" s="92" t="str">
        <f>Weekly!Q90</f>
        <v/>
      </c>
      <c r="H98" s="48" t="str">
        <f t="shared" si="135"/>
        <v/>
      </c>
      <c r="I98" s="48" t="str">
        <f t="shared" si="136"/>
        <v/>
      </c>
      <c r="J98" s="48" t="str">
        <f t="shared" si="137"/>
        <v/>
      </c>
      <c r="K98" s="84" t="str">
        <f t="shared" si="138"/>
        <v/>
      </c>
      <c r="L98" s="82" t="str">
        <f t="shared" si="139"/>
        <v/>
      </c>
      <c r="M98" s="48" t="str">
        <f t="shared" si="140"/>
        <v/>
      </c>
      <c r="N98" s="48" t="str">
        <f t="shared" si="141"/>
        <v/>
      </c>
      <c r="O98" s="84" t="str">
        <f t="shared" si="142"/>
        <v/>
      </c>
      <c r="P98" s="82" t="str">
        <f t="shared" si="143"/>
        <v/>
      </c>
      <c r="Q98" s="48" t="str">
        <f t="shared" si="144"/>
        <v/>
      </c>
      <c r="R98" s="48" t="str">
        <f t="shared" si="145"/>
        <v/>
      </c>
      <c r="S98" s="84" t="str">
        <f t="shared" si="146"/>
        <v/>
      </c>
      <c r="T98" s="82" t="str">
        <f t="shared" si="147"/>
        <v/>
      </c>
      <c r="U98" s="48" t="str">
        <f t="shared" si="148"/>
        <v/>
      </c>
      <c r="V98" s="48" t="str">
        <f t="shared" si="149"/>
        <v/>
      </c>
      <c r="W98" s="84" t="str">
        <f t="shared" si="150"/>
        <v/>
      </c>
      <c r="X98" s="82" t="str">
        <f t="shared" si="151"/>
        <v/>
      </c>
      <c r="Y98" s="48" t="str">
        <f t="shared" si="152"/>
        <v/>
      </c>
      <c r="Z98" s="48" t="str">
        <f t="shared" si="153"/>
        <v/>
      </c>
      <c r="AA98" s="84" t="str">
        <f t="shared" si="154"/>
        <v/>
      </c>
      <c r="AB98" s="82" t="str">
        <f t="shared" si="155"/>
        <v/>
      </c>
      <c r="AC98" s="48" t="str">
        <f t="shared" si="156"/>
        <v/>
      </c>
      <c r="AD98" s="48" t="str">
        <f t="shared" si="157"/>
        <v/>
      </c>
      <c r="AE98" s="84" t="str">
        <f t="shared" si="158"/>
        <v/>
      </c>
      <c r="AF98" s="82" t="str">
        <f t="shared" si="159"/>
        <v/>
      </c>
      <c r="AG98" s="48" t="str">
        <f t="shared" si="160"/>
        <v/>
      </c>
      <c r="AH98" s="48" t="str">
        <f t="shared" si="161"/>
        <v/>
      </c>
      <c r="AI98" s="84" t="str">
        <f t="shared" si="162"/>
        <v/>
      </c>
      <c r="AJ98" s="82" t="str">
        <f t="shared" si="163"/>
        <v/>
      </c>
      <c r="AK98" s="48" t="str">
        <f t="shared" si="164"/>
        <v/>
      </c>
      <c r="AL98" s="48" t="str">
        <f t="shared" si="165"/>
        <v/>
      </c>
      <c r="AM98" s="84" t="str">
        <f t="shared" si="166"/>
        <v/>
      </c>
      <c r="AN98" s="82" t="str">
        <f t="shared" si="167"/>
        <v/>
      </c>
      <c r="AO98" s="48" t="str">
        <f t="shared" si="168"/>
        <v/>
      </c>
      <c r="AP98" s="48" t="str">
        <f t="shared" si="169"/>
        <v/>
      </c>
      <c r="AQ98" s="84" t="str">
        <f t="shared" si="170"/>
        <v/>
      </c>
      <c r="AR98" s="82" t="str">
        <f t="shared" si="171"/>
        <v/>
      </c>
      <c r="AS98" s="48" t="str">
        <f t="shared" si="172"/>
        <v/>
      </c>
      <c r="AT98" s="48" t="str">
        <f t="shared" si="173"/>
        <v/>
      </c>
      <c r="AU98" s="84" t="str">
        <f t="shared" si="174"/>
        <v/>
      </c>
      <c r="AV98" s="82" t="str">
        <f t="shared" si="175"/>
        <v/>
      </c>
      <c r="AW98" s="48" t="str">
        <f t="shared" si="176"/>
        <v/>
      </c>
      <c r="AX98" s="48" t="str">
        <f t="shared" si="177"/>
        <v/>
      </c>
      <c r="AY98" s="84" t="str">
        <f t="shared" si="178"/>
        <v/>
      </c>
      <c r="AZ98" s="82" t="str">
        <f t="shared" si="179"/>
        <v/>
      </c>
      <c r="BA98" s="48" t="str">
        <f t="shared" si="180"/>
        <v/>
      </c>
      <c r="BB98" s="48" t="str">
        <f t="shared" si="181"/>
        <v/>
      </c>
      <c r="BC98" s="84" t="str">
        <f t="shared" si="182"/>
        <v/>
      </c>
      <c r="BD98" s="82" t="str">
        <f t="shared" si="183"/>
        <v/>
      </c>
      <c r="BE98" s="48" t="str">
        <f t="shared" si="184"/>
        <v/>
      </c>
      <c r="BF98" s="48" t="str">
        <f t="shared" si="185"/>
        <v/>
      </c>
      <c r="BG98" s="84" t="str">
        <f t="shared" si="186"/>
        <v/>
      </c>
      <c r="BH98" s="87" t="str">
        <f t="shared" si="187"/>
        <v/>
      </c>
      <c r="BI98" s="49" t="str">
        <f t="shared" si="188"/>
        <v/>
      </c>
      <c r="BJ98" s="49" t="str">
        <f t="shared" si="189"/>
        <v/>
      </c>
      <c r="BK98" s="89" t="str">
        <f t="shared" si="190"/>
        <v/>
      </c>
      <c r="BL98" s="87" t="str">
        <f t="shared" si="191"/>
        <v/>
      </c>
      <c r="BM98" s="49" t="str">
        <f t="shared" si="192"/>
        <v/>
      </c>
      <c r="BN98" s="49" t="str">
        <f t="shared" si="193"/>
        <v/>
      </c>
      <c r="BO98" s="89" t="str">
        <f t="shared" si="194"/>
        <v/>
      </c>
      <c r="BP98" s="87" t="str">
        <f t="shared" si="195"/>
        <v/>
      </c>
      <c r="BQ98" s="49" t="str">
        <f t="shared" si="196"/>
        <v/>
      </c>
      <c r="BR98" s="49" t="str">
        <f t="shared" si="197"/>
        <v/>
      </c>
      <c r="BS98" s="89" t="str">
        <f t="shared" si="198"/>
        <v/>
      </c>
      <c r="BT98" s="87" t="str">
        <f t="shared" si="199"/>
        <v/>
      </c>
    </row>
    <row r="99" spans="2:72">
      <c r="B99" s="81">
        <f>Weekly!B91</f>
        <v>0</v>
      </c>
      <c r="C99" s="90">
        <f>Weekly!C91</f>
        <v>0</v>
      </c>
      <c r="D99" s="90">
        <f>Weekly!D116</f>
        <v>0</v>
      </c>
      <c r="E99" s="91" t="e">
        <f>VLOOKUP(B99,Team!$B$4:$E$183,4,FALSE)</f>
        <v>#N/A</v>
      </c>
      <c r="F99" s="92" t="str">
        <f>Weekly!P91</f>
        <v/>
      </c>
      <c r="G99" s="92" t="str">
        <f>Weekly!Q91</f>
        <v/>
      </c>
      <c r="H99" s="48" t="str">
        <f t="shared" si="135"/>
        <v/>
      </c>
      <c r="I99" s="48" t="str">
        <f t="shared" si="136"/>
        <v/>
      </c>
      <c r="J99" s="48" t="str">
        <f t="shared" si="137"/>
        <v/>
      </c>
      <c r="K99" s="84" t="str">
        <f t="shared" si="138"/>
        <v/>
      </c>
      <c r="L99" s="82" t="str">
        <f t="shared" si="139"/>
        <v/>
      </c>
      <c r="M99" s="48" t="str">
        <f t="shared" si="140"/>
        <v/>
      </c>
      <c r="N99" s="48" t="str">
        <f t="shared" si="141"/>
        <v/>
      </c>
      <c r="O99" s="84" t="str">
        <f t="shared" si="142"/>
        <v/>
      </c>
      <c r="P99" s="82" t="str">
        <f t="shared" si="143"/>
        <v/>
      </c>
      <c r="Q99" s="48" t="str">
        <f t="shared" si="144"/>
        <v/>
      </c>
      <c r="R99" s="48" t="str">
        <f t="shared" si="145"/>
        <v/>
      </c>
      <c r="S99" s="84" t="str">
        <f t="shared" si="146"/>
        <v/>
      </c>
      <c r="T99" s="82" t="str">
        <f t="shared" si="147"/>
        <v/>
      </c>
      <c r="U99" s="48" t="str">
        <f t="shared" si="148"/>
        <v/>
      </c>
      <c r="V99" s="48" t="str">
        <f t="shared" si="149"/>
        <v/>
      </c>
      <c r="W99" s="84" t="str">
        <f t="shared" si="150"/>
        <v/>
      </c>
      <c r="X99" s="82" t="str">
        <f t="shared" si="151"/>
        <v/>
      </c>
      <c r="Y99" s="48" t="str">
        <f t="shared" si="152"/>
        <v/>
      </c>
      <c r="Z99" s="48" t="str">
        <f t="shared" si="153"/>
        <v/>
      </c>
      <c r="AA99" s="84" t="str">
        <f t="shared" si="154"/>
        <v/>
      </c>
      <c r="AB99" s="82" t="str">
        <f t="shared" si="155"/>
        <v/>
      </c>
      <c r="AC99" s="48" t="str">
        <f t="shared" si="156"/>
        <v/>
      </c>
      <c r="AD99" s="48" t="str">
        <f t="shared" si="157"/>
        <v/>
      </c>
      <c r="AE99" s="84" t="str">
        <f t="shared" si="158"/>
        <v/>
      </c>
      <c r="AF99" s="82" t="str">
        <f t="shared" si="159"/>
        <v/>
      </c>
      <c r="AG99" s="48" t="str">
        <f t="shared" si="160"/>
        <v/>
      </c>
      <c r="AH99" s="48" t="str">
        <f t="shared" si="161"/>
        <v/>
      </c>
      <c r="AI99" s="84" t="str">
        <f t="shared" si="162"/>
        <v/>
      </c>
      <c r="AJ99" s="82" t="str">
        <f t="shared" si="163"/>
        <v/>
      </c>
      <c r="AK99" s="48" t="str">
        <f t="shared" si="164"/>
        <v/>
      </c>
      <c r="AL99" s="48" t="str">
        <f t="shared" si="165"/>
        <v/>
      </c>
      <c r="AM99" s="84" t="str">
        <f t="shared" si="166"/>
        <v/>
      </c>
      <c r="AN99" s="82" t="str">
        <f t="shared" si="167"/>
        <v/>
      </c>
      <c r="AO99" s="48" t="str">
        <f t="shared" si="168"/>
        <v/>
      </c>
      <c r="AP99" s="48" t="str">
        <f t="shared" si="169"/>
        <v/>
      </c>
      <c r="AQ99" s="84" t="str">
        <f t="shared" si="170"/>
        <v/>
      </c>
      <c r="AR99" s="82" t="str">
        <f t="shared" si="171"/>
        <v/>
      </c>
      <c r="AS99" s="48" t="str">
        <f t="shared" si="172"/>
        <v/>
      </c>
      <c r="AT99" s="48" t="str">
        <f t="shared" si="173"/>
        <v/>
      </c>
      <c r="AU99" s="84" t="str">
        <f t="shared" si="174"/>
        <v/>
      </c>
      <c r="AV99" s="82" t="str">
        <f t="shared" si="175"/>
        <v/>
      </c>
      <c r="AW99" s="48" t="str">
        <f t="shared" si="176"/>
        <v/>
      </c>
      <c r="AX99" s="48" t="str">
        <f t="shared" si="177"/>
        <v/>
      </c>
      <c r="AY99" s="84" t="str">
        <f t="shared" si="178"/>
        <v/>
      </c>
      <c r="AZ99" s="82" t="str">
        <f t="shared" si="179"/>
        <v/>
      </c>
      <c r="BA99" s="48" t="str">
        <f t="shared" si="180"/>
        <v/>
      </c>
      <c r="BB99" s="48" t="str">
        <f t="shared" si="181"/>
        <v/>
      </c>
      <c r="BC99" s="84" t="str">
        <f t="shared" si="182"/>
        <v/>
      </c>
      <c r="BD99" s="82" t="str">
        <f t="shared" si="183"/>
        <v/>
      </c>
      <c r="BE99" s="48" t="str">
        <f t="shared" si="184"/>
        <v/>
      </c>
      <c r="BF99" s="48" t="str">
        <f t="shared" si="185"/>
        <v/>
      </c>
      <c r="BG99" s="84" t="str">
        <f t="shared" si="186"/>
        <v/>
      </c>
      <c r="BH99" s="87" t="str">
        <f t="shared" si="187"/>
        <v/>
      </c>
      <c r="BI99" s="49" t="str">
        <f t="shared" si="188"/>
        <v/>
      </c>
      <c r="BJ99" s="49" t="str">
        <f t="shared" si="189"/>
        <v/>
      </c>
      <c r="BK99" s="89" t="str">
        <f t="shared" si="190"/>
        <v/>
      </c>
      <c r="BL99" s="87" t="str">
        <f t="shared" si="191"/>
        <v/>
      </c>
      <c r="BM99" s="49" t="str">
        <f t="shared" si="192"/>
        <v/>
      </c>
      <c r="BN99" s="49" t="str">
        <f t="shared" si="193"/>
        <v/>
      </c>
      <c r="BO99" s="89" t="str">
        <f t="shared" si="194"/>
        <v/>
      </c>
      <c r="BP99" s="87" t="str">
        <f t="shared" si="195"/>
        <v/>
      </c>
      <c r="BQ99" s="49" t="str">
        <f t="shared" si="196"/>
        <v/>
      </c>
      <c r="BR99" s="49" t="str">
        <f t="shared" si="197"/>
        <v/>
      </c>
      <c r="BS99" s="89" t="str">
        <f t="shared" si="198"/>
        <v/>
      </c>
      <c r="BT99" s="87" t="str">
        <f t="shared" si="199"/>
        <v/>
      </c>
    </row>
    <row r="100" spans="2:72">
      <c r="B100" s="81">
        <f>Weekly!B92</f>
        <v>0</v>
      </c>
      <c r="C100" s="90">
        <f>Weekly!C92</f>
        <v>0</v>
      </c>
      <c r="D100" s="90">
        <f>Weekly!D117</f>
        <v>0</v>
      </c>
      <c r="E100" s="91" t="e">
        <f>VLOOKUP(B100,Team!$B$4:$E$183,4,FALSE)</f>
        <v>#N/A</v>
      </c>
      <c r="F100" s="92" t="str">
        <f>Weekly!P92</f>
        <v/>
      </c>
      <c r="G100" s="92" t="str">
        <f>Weekly!Q92</f>
        <v/>
      </c>
      <c r="H100" s="48" t="str">
        <f t="shared" si="135"/>
        <v/>
      </c>
      <c r="I100" s="48" t="str">
        <f t="shared" si="136"/>
        <v/>
      </c>
      <c r="J100" s="48" t="str">
        <f t="shared" si="137"/>
        <v/>
      </c>
      <c r="K100" s="84" t="str">
        <f t="shared" si="138"/>
        <v/>
      </c>
      <c r="L100" s="82" t="str">
        <f t="shared" si="139"/>
        <v/>
      </c>
      <c r="M100" s="48" t="str">
        <f t="shared" si="140"/>
        <v/>
      </c>
      <c r="N100" s="48" t="str">
        <f t="shared" si="141"/>
        <v/>
      </c>
      <c r="O100" s="84" t="str">
        <f t="shared" si="142"/>
        <v/>
      </c>
      <c r="P100" s="82" t="str">
        <f t="shared" si="143"/>
        <v/>
      </c>
      <c r="Q100" s="48" t="str">
        <f t="shared" si="144"/>
        <v/>
      </c>
      <c r="R100" s="48" t="str">
        <f t="shared" si="145"/>
        <v/>
      </c>
      <c r="S100" s="84" t="str">
        <f t="shared" si="146"/>
        <v/>
      </c>
      <c r="T100" s="82" t="str">
        <f t="shared" si="147"/>
        <v/>
      </c>
      <c r="U100" s="48" t="str">
        <f t="shared" si="148"/>
        <v/>
      </c>
      <c r="V100" s="48" t="str">
        <f t="shared" si="149"/>
        <v/>
      </c>
      <c r="W100" s="84" t="str">
        <f t="shared" si="150"/>
        <v/>
      </c>
      <c r="X100" s="82" t="str">
        <f t="shared" si="151"/>
        <v/>
      </c>
      <c r="Y100" s="48" t="str">
        <f t="shared" si="152"/>
        <v/>
      </c>
      <c r="Z100" s="48" t="str">
        <f t="shared" si="153"/>
        <v/>
      </c>
      <c r="AA100" s="84" t="str">
        <f t="shared" si="154"/>
        <v/>
      </c>
      <c r="AB100" s="82" t="str">
        <f t="shared" si="155"/>
        <v/>
      </c>
      <c r="AC100" s="48" t="str">
        <f t="shared" si="156"/>
        <v/>
      </c>
      <c r="AD100" s="48" t="str">
        <f t="shared" si="157"/>
        <v/>
      </c>
      <c r="AE100" s="84" t="str">
        <f t="shared" si="158"/>
        <v/>
      </c>
      <c r="AF100" s="82" t="str">
        <f t="shared" si="159"/>
        <v/>
      </c>
      <c r="AG100" s="48" t="str">
        <f t="shared" si="160"/>
        <v/>
      </c>
      <c r="AH100" s="48" t="str">
        <f t="shared" si="161"/>
        <v/>
      </c>
      <c r="AI100" s="84" t="str">
        <f t="shared" si="162"/>
        <v/>
      </c>
      <c r="AJ100" s="82" t="str">
        <f t="shared" si="163"/>
        <v/>
      </c>
      <c r="AK100" s="48" t="str">
        <f t="shared" si="164"/>
        <v/>
      </c>
      <c r="AL100" s="48" t="str">
        <f t="shared" si="165"/>
        <v/>
      </c>
      <c r="AM100" s="84" t="str">
        <f t="shared" si="166"/>
        <v/>
      </c>
      <c r="AN100" s="82" t="str">
        <f t="shared" si="167"/>
        <v/>
      </c>
      <c r="AO100" s="48" t="str">
        <f t="shared" si="168"/>
        <v/>
      </c>
      <c r="AP100" s="48" t="str">
        <f t="shared" si="169"/>
        <v/>
      </c>
      <c r="AQ100" s="84" t="str">
        <f t="shared" si="170"/>
        <v/>
      </c>
      <c r="AR100" s="82" t="str">
        <f t="shared" si="171"/>
        <v/>
      </c>
      <c r="AS100" s="48" t="str">
        <f t="shared" si="172"/>
        <v/>
      </c>
      <c r="AT100" s="48" t="str">
        <f t="shared" si="173"/>
        <v/>
      </c>
      <c r="AU100" s="84" t="str">
        <f t="shared" si="174"/>
        <v/>
      </c>
      <c r="AV100" s="82" t="str">
        <f t="shared" si="175"/>
        <v/>
      </c>
      <c r="AW100" s="48" t="str">
        <f t="shared" si="176"/>
        <v/>
      </c>
      <c r="AX100" s="48" t="str">
        <f t="shared" si="177"/>
        <v/>
      </c>
      <c r="AY100" s="84" t="str">
        <f t="shared" si="178"/>
        <v/>
      </c>
      <c r="AZ100" s="82" t="str">
        <f t="shared" si="179"/>
        <v/>
      </c>
      <c r="BA100" s="48" t="str">
        <f t="shared" si="180"/>
        <v/>
      </c>
      <c r="BB100" s="48" t="str">
        <f t="shared" si="181"/>
        <v/>
      </c>
      <c r="BC100" s="84" t="str">
        <f t="shared" si="182"/>
        <v/>
      </c>
      <c r="BD100" s="82" t="str">
        <f t="shared" si="183"/>
        <v/>
      </c>
      <c r="BE100" s="48" t="str">
        <f t="shared" si="184"/>
        <v/>
      </c>
      <c r="BF100" s="48" t="str">
        <f t="shared" si="185"/>
        <v/>
      </c>
      <c r="BG100" s="84" t="str">
        <f t="shared" si="186"/>
        <v/>
      </c>
      <c r="BH100" s="87" t="str">
        <f t="shared" si="187"/>
        <v/>
      </c>
      <c r="BI100" s="49" t="str">
        <f t="shared" si="188"/>
        <v/>
      </c>
      <c r="BJ100" s="49" t="str">
        <f t="shared" si="189"/>
        <v/>
      </c>
      <c r="BK100" s="89" t="str">
        <f t="shared" si="190"/>
        <v/>
      </c>
      <c r="BL100" s="87" t="str">
        <f t="shared" si="191"/>
        <v/>
      </c>
      <c r="BM100" s="49" t="str">
        <f t="shared" si="192"/>
        <v/>
      </c>
      <c r="BN100" s="49" t="str">
        <f t="shared" si="193"/>
        <v/>
      </c>
      <c r="BO100" s="89" t="str">
        <f t="shared" si="194"/>
        <v/>
      </c>
      <c r="BP100" s="87" t="str">
        <f t="shared" si="195"/>
        <v/>
      </c>
      <c r="BQ100" s="49" t="str">
        <f t="shared" si="196"/>
        <v/>
      </c>
      <c r="BR100" s="49" t="str">
        <f t="shared" si="197"/>
        <v/>
      </c>
      <c r="BS100" s="89" t="str">
        <f t="shared" si="198"/>
        <v/>
      </c>
      <c r="BT100" s="87" t="str">
        <f t="shared" si="199"/>
        <v/>
      </c>
    </row>
    <row r="101" spans="2:72">
      <c r="B101" s="81">
        <f>Weekly!B93</f>
        <v>0</v>
      </c>
      <c r="C101" s="90">
        <f>Weekly!C93</f>
        <v>0</v>
      </c>
      <c r="D101" s="90">
        <f>Weekly!D118</f>
        <v>0</v>
      </c>
      <c r="E101" s="91" t="e">
        <f>VLOOKUP(B101,Team!$B$4:$E$183,4,FALSE)</f>
        <v>#N/A</v>
      </c>
      <c r="F101" s="92" t="str">
        <f>Weekly!P93</f>
        <v/>
      </c>
      <c r="G101" s="92" t="str">
        <f>Weekly!Q93</f>
        <v/>
      </c>
      <c r="H101" s="48" t="str">
        <f t="shared" si="135"/>
        <v/>
      </c>
      <c r="I101" s="48" t="str">
        <f t="shared" si="136"/>
        <v/>
      </c>
      <c r="J101" s="48" t="str">
        <f t="shared" si="137"/>
        <v/>
      </c>
      <c r="K101" s="84" t="str">
        <f t="shared" si="138"/>
        <v/>
      </c>
      <c r="L101" s="82" t="str">
        <f t="shared" si="139"/>
        <v/>
      </c>
      <c r="M101" s="48" t="str">
        <f t="shared" si="140"/>
        <v/>
      </c>
      <c r="N101" s="48" t="str">
        <f t="shared" si="141"/>
        <v/>
      </c>
      <c r="O101" s="84" t="str">
        <f t="shared" si="142"/>
        <v/>
      </c>
      <c r="P101" s="82" t="str">
        <f t="shared" si="143"/>
        <v/>
      </c>
      <c r="Q101" s="48" t="str">
        <f t="shared" si="144"/>
        <v/>
      </c>
      <c r="R101" s="48" t="str">
        <f t="shared" si="145"/>
        <v/>
      </c>
      <c r="S101" s="84" t="str">
        <f t="shared" si="146"/>
        <v/>
      </c>
      <c r="T101" s="82" t="str">
        <f t="shared" si="147"/>
        <v/>
      </c>
      <c r="U101" s="48" t="str">
        <f t="shared" si="148"/>
        <v/>
      </c>
      <c r="V101" s="48" t="str">
        <f t="shared" si="149"/>
        <v/>
      </c>
      <c r="W101" s="84" t="str">
        <f t="shared" si="150"/>
        <v/>
      </c>
      <c r="X101" s="82" t="str">
        <f t="shared" si="151"/>
        <v/>
      </c>
      <c r="Y101" s="48" t="str">
        <f t="shared" si="152"/>
        <v/>
      </c>
      <c r="Z101" s="48" t="str">
        <f t="shared" si="153"/>
        <v/>
      </c>
      <c r="AA101" s="84" t="str">
        <f t="shared" si="154"/>
        <v/>
      </c>
      <c r="AB101" s="82" t="str">
        <f t="shared" si="155"/>
        <v/>
      </c>
      <c r="AC101" s="48" t="str">
        <f t="shared" si="156"/>
        <v/>
      </c>
      <c r="AD101" s="48" t="str">
        <f t="shared" si="157"/>
        <v/>
      </c>
      <c r="AE101" s="84" t="str">
        <f t="shared" si="158"/>
        <v/>
      </c>
      <c r="AF101" s="82" t="str">
        <f t="shared" si="159"/>
        <v/>
      </c>
      <c r="AG101" s="48" t="str">
        <f t="shared" si="160"/>
        <v/>
      </c>
      <c r="AH101" s="48" t="str">
        <f t="shared" si="161"/>
        <v/>
      </c>
      <c r="AI101" s="84" t="str">
        <f t="shared" si="162"/>
        <v/>
      </c>
      <c r="AJ101" s="82" t="str">
        <f t="shared" si="163"/>
        <v/>
      </c>
      <c r="AK101" s="48" t="str">
        <f t="shared" si="164"/>
        <v/>
      </c>
      <c r="AL101" s="48" t="str">
        <f t="shared" si="165"/>
        <v/>
      </c>
      <c r="AM101" s="84" t="str">
        <f t="shared" si="166"/>
        <v/>
      </c>
      <c r="AN101" s="82" t="str">
        <f t="shared" si="167"/>
        <v/>
      </c>
      <c r="AO101" s="48" t="str">
        <f t="shared" si="168"/>
        <v/>
      </c>
      <c r="AP101" s="48" t="str">
        <f t="shared" si="169"/>
        <v/>
      </c>
      <c r="AQ101" s="84" t="str">
        <f t="shared" si="170"/>
        <v/>
      </c>
      <c r="AR101" s="82" t="str">
        <f t="shared" si="171"/>
        <v/>
      </c>
      <c r="AS101" s="48" t="str">
        <f t="shared" si="172"/>
        <v/>
      </c>
      <c r="AT101" s="48" t="str">
        <f t="shared" si="173"/>
        <v/>
      </c>
      <c r="AU101" s="84" t="str">
        <f t="shared" si="174"/>
        <v/>
      </c>
      <c r="AV101" s="82" t="str">
        <f t="shared" si="175"/>
        <v/>
      </c>
      <c r="AW101" s="48" t="str">
        <f t="shared" si="176"/>
        <v/>
      </c>
      <c r="AX101" s="48" t="str">
        <f t="shared" si="177"/>
        <v/>
      </c>
      <c r="AY101" s="84" t="str">
        <f t="shared" si="178"/>
        <v/>
      </c>
      <c r="AZ101" s="82" t="str">
        <f t="shared" si="179"/>
        <v/>
      </c>
      <c r="BA101" s="48" t="str">
        <f t="shared" si="180"/>
        <v/>
      </c>
      <c r="BB101" s="48" t="str">
        <f t="shared" si="181"/>
        <v/>
      </c>
      <c r="BC101" s="84" t="str">
        <f t="shared" si="182"/>
        <v/>
      </c>
      <c r="BD101" s="82" t="str">
        <f t="shared" si="183"/>
        <v/>
      </c>
      <c r="BE101" s="48" t="str">
        <f t="shared" si="184"/>
        <v/>
      </c>
      <c r="BF101" s="48" t="str">
        <f t="shared" si="185"/>
        <v/>
      </c>
      <c r="BG101" s="84" t="str">
        <f t="shared" si="186"/>
        <v/>
      </c>
      <c r="BH101" s="87" t="str">
        <f t="shared" si="187"/>
        <v/>
      </c>
      <c r="BI101" s="49" t="str">
        <f t="shared" si="188"/>
        <v/>
      </c>
      <c r="BJ101" s="49" t="str">
        <f t="shared" si="189"/>
        <v/>
      </c>
      <c r="BK101" s="89" t="str">
        <f t="shared" si="190"/>
        <v/>
      </c>
      <c r="BL101" s="87" t="str">
        <f t="shared" si="191"/>
        <v/>
      </c>
      <c r="BM101" s="49" t="str">
        <f t="shared" si="192"/>
        <v/>
      </c>
      <c r="BN101" s="49" t="str">
        <f t="shared" si="193"/>
        <v/>
      </c>
      <c r="BO101" s="89" t="str">
        <f t="shared" si="194"/>
        <v/>
      </c>
      <c r="BP101" s="87" t="str">
        <f t="shared" si="195"/>
        <v/>
      </c>
      <c r="BQ101" s="49" t="str">
        <f t="shared" si="196"/>
        <v/>
      </c>
      <c r="BR101" s="49" t="str">
        <f t="shared" si="197"/>
        <v/>
      </c>
      <c r="BS101" s="89" t="str">
        <f t="shared" si="198"/>
        <v/>
      </c>
      <c r="BT101" s="87" t="str">
        <f t="shared" si="199"/>
        <v/>
      </c>
    </row>
    <row r="102" spans="2:72">
      <c r="B102" s="81">
        <f>Weekly!B94</f>
        <v>0</v>
      </c>
      <c r="C102" s="90">
        <f>Weekly!C94</f>
        <v>0</v>
      </c>
      <c r="D102" s="90">
        <f>Weekly!D119</f>
        <v>0</v>
      </c>
      <c r="E102" s="91" t="e">
        <f>VLOOKUP(B102,Team!$B$4:$E$183,4,FALSE)</f>
        <v>#N/A</v>
      </c>
      <c r="F102" s="92" t="str">
        <f>Weekly!P94</f>
        <v/>
      </c>
      <c r="G102" s="92" t="str">
        <f>Weekly!Q94</f>
        <v/>
      </c>
      <c r="H102" s="48" t="str">
        <f t="shared" si="135"/>
        <v/>
      </c>
      <c r="I102" s="48" t="str">
        <f t="shared" si="136"/>
        <v/>
      </c>
      <c r="J102" s="48" t="str">
        <f t="shared" si="137"/>
        <v/>
      </c>
      <c r="K102" s="84" t="str">
        <f t="shared" si="138"/>
        <v/>
      </c>
      <c r="L102" s="82" t="str">
        <f t="shared" si="139"/>
        <v/>
      </c>
      <c r="M102" s="48" t="str">
        <f t="shared" si="140"/>
        <v/>
      </c>
      <c r="N102" s="48" t="str">
        <f t="shared" si="141"/>
        <v/>
      </c>
      <c r="O102" s="84" t="str">
        <f t="shared" si="142"/>
        <v/>
      </c>
      <c r="P102" s="82" t="str">
        <f t="shared" si="143"/>
        <v/>
      </c>
      <c r="Q102" s="48" t="str">
        <f t="shared" si="144"/>
        <v/>
      </c>
      <c r="R102" s="48" t="str">
        <f t="shared" si="145"/>
        <v/>
      </c>
      <c r="S102" s="84" t="str">
        <f t="shared" si="146"/>
        <v/>
      </c>
      <c r="T102" s="82" t="str">
        <f t="shared" si="147"/>
        <v/>
      </c>
      <c r="U102" s="48" t="str">
        <f t="shared" si="148"/>
        <v/>
      </c>
      <c r="V102" s="48" t="str">
        <f t="shared" si="149"/>
        <v/>
      </c>
      <c r="W102" s="84" t="str">
        <f t="shared" si="150"/>
        <v/>
      </c>
      <c r="X102" s="82" t="str">
        <f t="shared" si="151"/>
        <v/>
      </c>
      <c r="Y102" s="48" t="str">
        <f t="shared" si="152"/>
        <v/>
      </c>
      <c r="Z102" s="48" t="str">
        <f t="shared" si="153"/>
        <v/>
      </c>
      <c r="AA102" s="84" t="str">
        <f t="shared" si="154"/>
        <v/>
      </c>
      <c r="AB102" s="82" t="str">
        <f t="shared" si="155"/>
        <v/>
      </c>
      <c r="AC102" s="48" t="str">
        <f t="shared" si="156"/>
        <v/>
      </c>
      <c r="AD102" s="48" t="str">
        <f t="shared" si="157"/>
        <v/>
      </c>
      <c r="AE102" s="84" t="str">
        <f t="shared" si="158"/>
        <v/>
      </c>
      <c r="AF102" s="82" t="str">
        <f t="shared" si="159"/>
        <v/>
      </c>
      <c r="AG102" s="48" t="str">
        <f t="shared" si="160"/>
        <v/>
      </c>
      <c r="AH102" s="48" t="str">
        <f t="shared" si="161"/>
        <v/>
      </c>
      <c r="AI102" s="84" t="str">
        <f t="shared" si="162"/>
        <v/>
      </c>
      <c r="AJ102" s="82" t="str">
        <f t="shared" si="163"/>
        <v/>
      </c>
      <c r="AK102" s="48" t="str">
        <f t="shared" si="164"/>
        <v/>
      </c>
      <c r="AL102" s="48" t="str">
        <f t="shared" si="165"/>
        <v/>
      </c>
      <c r="AM102" s="84" t="str">
        <f t="shared" si="166"/>
        <v/>
      </c>
      <c r="AN102" s="82" t="str">
        <f t="shared" si="167"/>
        <v/>
      </c>
      <c r="AO102" s="48" t="str">
        <f t="shared" si="168"/>
        <v/>
      </c>
      <c r="AP102" s="48" t="str">
        <f t="shared" si="169"/>
        <v/>
      </c>
      <c r="AQ102" s="84" t="str">
        <f t="shared" si="170"/>
        <v/>
      </c>
      <c r="AR102" s="82" t="str">
        <f t="shared" si="171"/>
        <v/>
      </c>
      <c r="AS102" s="48" t="str">
        <f t="shared" si="172"/>
        <v/>
      </c>
      <c r="AT102" s="48" t="str">
        <f t="shared" si="173"/>
        <v/>
      </c>
      <c r="AU102" s="84" t="str">
        <f t="shared" si="174"/>
        <v/>
      </c>
      <c r="AV102" s="82" t="str">
        <f t="shared" si="175"/>
        <v/>
      </c>
      <c r="AW102" s="48" t="str">
        <f t="shared" si="176"/>
        <v/>
      </c>
      <c r="AX102" s="48" t="str">
        <f t="shared" si="177"/>
        <v/>
      </c>
      <c r="AY102" s="84" t="str">
        <f t="shared" si="178"/>
        <v/>
      </c>
      <c r="AZ102" s="82" t="str">
        <f t="shared" si="179"/>
        <v/>
      </c>
      <c r="BA102" s="48" t="str">
        <f t="shared" si="180"/>
        <v/>
      </c>
      <c r="BB102" s="48" t="str">
        <f t="shared" si="181"/>
        <v/>
      </c>
      <c r="BC102" s="84" t="str">
        <f t="shared" si="182"/>
        <v/>
      </c>
      <c r="BD102" s="82" t="str">
        <f t="shared" si="183"/>
        <v/>
      </c>
      <c r="BE102" s="48" t="str">
        <f t="shared" si="184"/>
        <v/>
      </c>
      <c r="BF102" s="48" t="str">
        <f t="shared" si="185"/>
        <v/>
      </c>
      <c r="BG102" s="84" t="str">
        <f t="shared" si="186"/>
        <v/>
      </c>
      <c r="BH102" s="87" t="str">
        <f t="shared" si="187"/>
        <v/>
      </c>
      <c r="BI102" s="49" t="str">
        <f t="shared" si="188"/>
        <v/>
      </c>
      <c r="BJ102" s="49" t="str">
        <f t="shared" si="189"/>
        <v/>
      </c>
      <c r="BK102" s="89" t="str">
        <f t="shared" si="190"/>
        <v/>
      </c>
      <c r="BL102" s="87" t="str">
        <f t="shared" si="191"/>
        <v/>
      </c>
      <c r="BM102" s="49" t="str">
        <f t="shared" si="192"/>
        <v/>
      </c>
      <c r="BN102" s="49" t="str">
        <f t="shared" si="193"/>
        <v/>
      </c>
      <c r="BO102" s="89" t="str">
        <f t="shared" si="194"/>
        <v/>
      </c>
      <c r="BP102" s="87" t="str">
        <f t="shared" si="195"/>
        <v/>
      </c>
      <c r="BQ102" s="49" t="str">
        <f t="shared" si="196"/>
        <v/>
      </c>
      <c r="BR102" s="49" t="str">
        <f t="shared" si="197"/>
        <v/>
      </c>
      <c r="BS102" s="89" t="str">
        <f t="shared" si="198"/>
        <v/>
      </c>
      <c r="BT102" s="87" t="str">
        <f t="shared" si="199"/>
        <v/>
      </c>
    </row>
    <row r="103" spans="2:72">
      <c r="B103" s="81">
        <f>Weekly!B95</f>
        <v>0</v>
      </c>
      <c r="C103" s="90">
        <f>Weekly!C95</f>
        <v>0</v>
      </c>
      <c r="D103" s="90">
        <f>Weekly!D120</f>
        <v>0</v>
      </c>
      <c r="E103" s="91" t="e">
        <f>VLOOKUP(B103,Team!$B$4:$E$183,4,FALSE)</f>
        <v>#N/A</v>
      </c>
      <c r="F103" s="92" t="str">
        <f>Weekly!P95</f>
        <v/>
      </c>
      <c r="G103" s="92" t="str">
        <f>Weekly!Q95</f>
        <v/>
      </c>
      <c r="H103" s="48" t="str">
        <f t="shared" si="135"/>
        <v/>
      </c>
      <c r="I103" s="48" t="str">
        <f t="shared" si="136"/>
        <v/>
      </c>
      <c r="J103" s="48" t="str">
        <f t="shared" si="137"/>
        <v/>
      </c>
      <c r="K103" s="84" t="str">
        <f t="shared" si="138"/>
        <v/>
      </c>
      <c r="L103" s="82" t="str">
        <f t="shared" si="139"/>
        <v/>
      </c>
      <c r="M103" s="48" t="str">
        <f t="shared" si="140"/>
        <v/>
      </c>
      <c r="N103" s="48" t="str">
        <f t="shared" si="141"/>
        <v/>
      </c>
      <c r="O103" s="84" t="str">
        <f t="shared" si="142"/>
        <v/>
      </c>
      <c r="P103" s="82" t="str">
        <f t="shared" si="143"/>
        <v/>
      </c>
      <c r="Q103" s="48" t="str">
        <f t="shared" si="144"/>
        <v/>
      </c>
      <c r="R103" s="48" t="str">
        <f t="shared" si="145"/>
        <v/>
      </c>
      <c r="S103" s="84" t="str">
        <f t="shared" si="146"/>
        <v/>
      </c>
      <c r="T103" s="82" t="str">
        <f t="shared" si="147"/>
        <v/>
      </c>
      <c r="U103" s="48" t="str">
        <f t="shared" si="148"/>
        <v/>
      </c>
      <c r="V103" s="48" t="str">
        <f t="shared" si="149"/>
        <v/>
      </c>
      <c r="W103" s="84" t="str">
        <f t="shared" si="150"/>
        <v/>
      </c>
      <c r="X103" s="82" t="str">
        <f t="shared" si="151"/>
        <v/>
      </c>
      <c r="Y103" s="48" t="str">
        <f t="shared" si="152"/>
        <v/>
      </c>
      <c r="Z103" s="48" t="str">
        <f t="shared" si="153"/>
        <v/>
      </c>
      <c r="AA103" s="84" t="str">
        <f t="shared" si="154"/>
        <v/>
      </c>
      <c r="AB103" s="82" t="str">
        <f t="shared" si="155"/>
        <v/>
      </c>
      <c r="AC103" s="48" t="str">
        <f t="shared" si="156"/>
        <v/>
      </c>
      <c r="AD103" s="48" t="str">
        <f t="shared" si="157"/>
        <v/>
      </c>
      <c r="AE103" s="84" t="str">
        <f t="shared" si="158"/>
        <v/>
      </c>
      <c r="AF103" s="82" t="str">
        <f t="shared" si="159"/>
        <v/>
      </c>
      <c r="AG103" s="48" t="str">
        <f t="shared" si="160"/>
        <v/>
      </c>
      <c r="AH103" s="48" t="str">
        <f t="shared" si="161"/>
        <v/>
      </c>
      <c r="AI103" s="84" t="str">
        <f t="shared" si="162"/>
        <v/>
      </c>
      <c r="AJ103" s="82" t="str">
        <f t="shared" si="163"/>
        <v/>
      </c>
      <c r="AK103" s="48" t="str">
        <f t="shared" si="164"/>
        <v/>
      </c>
      <c r="AL103" s="48" t="str">
        <f t="shared" si="165"/>
        <v/>
      </c>
      <c r="AM103" s="84" t="str">
        <f t="shared" si="166"/>
        <v/>
      </c>
      <c r="AN103" s="82" t="str">
        <f t="shared" si="167"/>
        <v/>
      </c>
      <c r="AO103" s="48" t="str">
        <f t="shared" si="168"/>
        <v/>
      </c>
      <c r="AP103" s="48" t="str">
        <f t="shared" si="169"/>
        <v/>
      </c>
      <c r="AQ103" s="84" t="str">
        <f t="shared" si="170"/>
        <v/>
      </c>
      <c r="AR103" s="82" t="str">
        <f t="shared" si="171"/>
        <v/>
      </c>
      <c r="AS103" s="48" t="str">
        <f t="shared" si="172"/>
        <v/>
      </c>
      <c r="AT103" s="48" t="str">
        <f t="shared" si="173"/>
        <v/>
      </c>
      <c r="AU103" s="84" t="str">
        <f t="shared" si="174"/>
        <v/>
      </c>
      <c r="AV103" s="82" t="str">
        <f t="shared" si="175"/>
        <v/>
      </c>
      <c r="AW103" s="48" t="str">
        <f t="shared" si="176"/>
        <v/>
      </c>
      <c r="AX103" s="48" t="str">
        <f t="shared" si="177"/>
        <v/>
      </c>
      <c r="AY103" s="84" t="str">
        <f t="shared" si="178"/>
        <v/>
      </c>
      <c r="AZ103" s="82" t="str">
        <f t="shared" si="179"/>
        <v/>
      </c>
      <c r="BA103" s="48" t="str">
        <f t="shared" si="180"/>
        <v/>
      </c>
      <c r="BB103" s="48" t="str">
        <f t="shared" si="181"/>
        <v/>
      </c>
      <c r="BC103" s="84" t="str">
        <f t="shared" si="182"/>
        <v/>
      </c>
      <c r="BD103" s="82" t="str">
        <f t="shared" si="183"/>
        <v/>
      </c>
      <c r="BE103" s="48" t="str">
        <f t="shared" si="184"/>
        <v/>
      </c>
      <c r="BF103" s="48" t="str">
        <f t="shared" si="185"/>
        <v/>
      </c>
      <c r="BG103" s="84" t="str">
        <f t="shared" si="186"/>
        <v/>
      </c>
      <c r="BH103" s="87" t="str">
        <f t="shared" si="187"/>
        <v/>
      </c>
      <c r="BI103" s="49" t="str">
        <f t="shared" si="188"/>
        <v/>
      </c>
      <c r="BJ103" s="49" t="str">
        <f t="shared" si="189"/>
        <v/>
      </c>
      <c r="BK103" s="89" t="str">
        <f t="shared" si="190"/>
        <v/>
      </c>
      <c r="BL103" s="87" t="str">
        <f t="shared" si="191"/>
        <v/>
      </c>
      <c r="BM103" s="49" t="str">
        <f t="shared" si="192"/>
        <v/>
      </c>
      <c r="BN103" s="49" t="str">
        <f t="shared" si="193"/>
        <v/>
      </c>
      <c r="BO103" s="89" t="str">
        <f t="shared" si="194"/>
        <v/>
      </c>
      <c r="BP103" s="87" t="str">
        <f t="shared" si="195"/>
        <v/>
      </c>
      <c r="BQ103" s="49" t="str">
        <f t="shared" si="196"/>
        <v/>
      </c>
      <c r="BR103" s="49" t="str">
        <f t="shared" si="197"/>
        <v/>
      </c>
      <c r="BS103" s="89" t="str">
        <f t="shared" si="198"/>
        <v/>
      </c>
      <c r="BT103" s="87" t="str">
        <f t="shared" si="199"/>
        <v/>
      </c>
    </row>
  </sheetData>
  <sheetProtection algorithmName="SHA-512" hashValue="t41s5NW1aYTkLnQd26EZYsdjk1lVBFtOOclVne4Mr8mcbYqNzcFj8MNVw0KydkctPof8a0l/6MBJqS/yJwqfvA==" saltValue="lBa1+/koxh0XZBvY8MwvxQ==" spinCount="100000" sheet="1" formatCells="0" formatColumns="0" sort="0" autoFilter="0"/>
  <autoFilter ref="B16:BT103" xr:uid="{00000000-0009-0000-0000-000007000000}"/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531" priority="88" stopIfTrue="1" operator="equal">
      <formula>$T$3</formula>
    </cfRule>
    <cfRule type="containsBlanks" dxfId="530" priority="89" stopIfTrue="1">
      <formula>LEN(TRIM(H6))=0</formula>
    </cfRule>
    <cfRule type="cellIs" dxfId="529" priority="81" stopIfTrue="1" operator="equal">
      <formula>$AA$3</formula>
    </cfRule>
    <cfRule type="cellIs" dxfId="528" priority="78" stopIfTrue="1" operator="equal">
      <formula>$AD$3</formula>
    </cfRule>
    <cfRule type="cellIs" dxfId="527" priority="79" stopIfTrue="1" operator="equal">
      <formula>$AB$3</formula>
    </cfRule>
    <cfRule type="cellIs" dxfId="526" priority="80" stopIfTrue="1" operator="equal">
      <formula>$AC$3</formula>
    </cfRule>
    <cfRule type="cellIs" dxfId="525" priority="82" stopIfTrue="1" operator="equal">
      <formula>$Z$3</formula>
    </cfRule>
    <cfRule type="cellIs" dxfId="524" priority="83" stopIfTrue="1" operator="equal">
      <formula>$Y$3</formula>
    </cfRule>
    <cfRule type="cellIs" dxfId="523" priority="84" stopIfTrue="1" operator="equal">
      <formula>$X$3</formula>
    </cfRule>
    <cfRule type="cellIs" dxfId="522" priority="85" stopIfTrue="1" operator="equal">
      <formula>$W$3</formula>
    </cfRule>
    <cfRule type="cellIs" dxfId="521" priority="86" stopIfTrue="1" operator="equal">
      <formula>$V$3</formula>
    </cfRule>
    <cfRule type="cellIs" dxfId="520" priority="87" stopIfTrue="1" operator="equal">
      <formula>$U$3</formula>
    </cfRule>
  </conditionalFormatting>
  <conditionalFormatting sqref="H13:BS13">
    <cfRule type="cellIs" dxfId="519" priority="13" operator="equal">
      <formula>"FFR"</formula>
    </cfRule>
    <cfRule type="cellIs" dxfId="518" priority="14" operator="equal">
      <formula>"F"</formula>
    </cfRule>
    <cfRule type="cellIs" dxfId="517" priority="15" operator="equal">
      <formula>"PEN"</formula>
    </cfRule>
    <cfRule type="cellIs" dxfId="516" priority="16" operator="equal">
      <formula>"TW"</formula>
    </cfRule>
    <cfRule type="cellIs" dxfId="515" priority="17" operator="equal">
      <formula>"AD"</formula>
    </cfRule>
    <cfRule type="cellIs" dxfId="514" priority="18" operator="equal">
      <formula>"SY"</formula>
    </cfRule>
    <cfRule type="cellIs" dxfId="513" priority="19" operator="equal">
      <formula>"CSYS"</formula>
    </cfRule>
    <cfRule type="cellIs" dxfId="512" priority="20" operator="equal">
      <formula>"HHR"</formula>
    </cfRule>
    <cfRule type="cellIs" dxfId="511" priority="21" operator="equal">
      <formula>"HH"</formula>
    </cfRule>
    <cfRule type="cellIs" dxfId="510" priority="22" operator="equal">
      <formula>"STAFF"</formula>
    </cfRule>
    <cfRule type="cellIs" dxfId="509" priority="23" operator="equal">
      <formula>"LINW"</formula>
    </cfRule>
    <cfRule type="cellIs" dxfId="508" priority="24" operator="equal">
      <formula>"MINW"</formula>
    </cfRule>
    <cfRule type="cellIs" dxfId="507" priority="25" operator="equal">
      <formula>"ACC"</formula>
    </cfRule>
    <cfRule type="cellIs" dxfId="506" priority="26" operator="equal">
      <formula>"H"</formula>
    </cfRule>
    <cfRule type="cellIs" dxfId="505" priority="27" operator="equal">
      <formula>"ASM"</formula>
    </cfRule>
    <cfRule type="cellIs" dxfId="504" priority="28" operator="equal">
      <formula>"SM"</formula>
    </cfRule>
    <cfRule type="cellIs" dxfId="503" priority="8" operator="equal">
      <formula>"TEA"</formula>
    </cfRule>
    <cfRule type="cellIs" dxfId="502" priority="30" operator="equal">
      <formula>"H3"</formula>
    </cfRule>
    <cfRule type="cellIs" dxfId="501" priority="31" operator="equal">
      <formula>"H2"</formula>
    </cfRule>
    <cfRule type="cellIs" dxfId="500" priority="32" operator="equal">
      <formula>"H1"</formula>
    </cfRule>
    <cfRule type="cellIs" dxfId="499" priority="1" operator="equal">
      <formula>"R6"</formula>
    </cfRule>
    <cfRule type="cellIs" dxfId="498" priority="2" operator="equal">
      <formula>"R5"</formula>
    </cfRule>
    <cfRule type="cellIs" dxfId="497" priority="3" operator="equal">
      <formula>"R4"</formula>
    </cfRule>
    <cfRule type="cellIs" dxfId="496" priority="4" operator="equal">
      <formula>"R3"</formula>
    </cfRule>
    <cfRule type="cellIs" dxfId="495" priority="5" operator="equal">
      <formula>"R2"</formula>
    </cfRule>
    <cfRule type="cellIs" dxfId="494" priority="29" operator="equal">
      <formula>"EMB"</formula>
    </cfRule>
    <cfRule type="cellIs" dxfId="493" priority="6" operator="equal">
      <formula>"R1"</formula>
    </cfRule>
    <cfRule type="cellIs" dxfId="492" priority="7" operator="equal">
      <formula>"R"</formula>
    </cfRule>
    <cfRule type="cellIs" dxfId="491" priority="9" operator="equal">
      <formula>"BIN"</formula>
    </cfRule>
    <cfRule type="cellIs" dxfId="490" priority="10" operator="equal">
      <formula>"KIDS"</formula>
    </cfRule>
    <cfRule type="cellIs" dxfId="489" priority="11" operator="equal">
      <formula>"CR"</formula>
    </cfRule>
    <cfRule type="cellIs" dxfId="488" priority="12" operator="equal">
      <formula>"FB"</formula>
    </cfRule>
  </conditionalFormatting>
  <conditionalFormatting sqref="H15:BS15">
    <cfRule type="containsBlanks" dxfId="487" priority="77" stopIfTrue="1">
      <formula>LEN(TRIM(H15))=0</formula>
    </cfRule>
    <cfRule type="cellIs" dxfId="486" priority="67" stopIfTrue="1" operator="equal">
      <formula>$AB$3</formula>
    </cfRule>
    <cfRule type="cellIs" dxfId="485" priority="68" stopIfTrue="1" operator="equal">
      <formula>$AC$3</formula>
    </cfRule>
    <cfRule type="cellIs" dxfId="484" priority="69" stopIfTrue="1" operator="equal">
      <formula>$AA$3</formula>
    </cfRule>
    <cfRule type="cellIs" dxfId="483" priority="70" stopIfTrue="1" operator="equal">
      <formula>$Z$3</formula>
    </cfRule>
    <cfRule type="cellIs" dxfId="482" priority="71" stopIfTrue="1" operator="equal">
      <formula>$Y$3</formula>
    </cfRule>
    <cfRule type="cellIs" dxfId="481" priority="72" stopIfTrue="1" operator="equal">
      <formula>$X$3</formula>
    </cfRule>
    <cfRule type="cellIs" dxfId="480" priority="73" stopIfTrue="1" operator="equal">
      <formula>$W$3</formula>
    </cfRule>
    <cfRule type="cellIs" dxfId="479" priority="66" stopIfTrue="1" operator="equal">
      <formula>$AD$3</formula>
    </cfRule>
    <cfRule type="cellIs" dxfId="478" priority="75" stopIfTrue="1" operator="equal">
      <formula>$U$3</formula>
    </cfRule>
    <cfRule type="cellIs" dxfId="477" priority="76" stopIfTrue="1" operator="equal">
      <formula>$T$3</formula>
    </cfRule>
    <cfRule type="cellIs" dxfId="476" priority="74" stopIfTrue="1" operator="equal">
      <formula>$V$3</formula>
    </cfRule>
  </conditionalFormatting>
  <conditionalFormatting sqref="H7:BT12">
    <cfRule type="cellIs" dxfId="475" priority="121" operator="equal">
      <formula>"H1"</formula>
    </cfRule>
    <cfRule type="cellIs" dxfId="474" priority="90" operator="equal">
      <formula>"R6"</formula>
    </cfRule>
    <cfRule type="cellIs" dxfId="473" priority="91" operator="equal">
      <formula>"R5"</formula>
    </cfRule>
    <cfRule type="cellIs" dxfId="472" priority="92" operator="equal">
      <formula>"R4"</formula>
    </cfRule>
    <cfRule type="cellIs" dxfId="471" priority="93" operator="equal">
      <formula>"R3"</formula>
    </cfRule>
    <cfRule type="cellIs" dxfId="470" priority="94" operator="equal">
      <formula>"R2"</formula>
    </cfRule>
    <cfRule type="cellIs" dxfId="469" priority="95" operator="equal">
      <formula>"R1"</formula>
    </cfRule>
    <cfRule type="cellIs" dxfId="468" priority="96" operator="equal">
      <formula>"R"</formula>
    </cfRule>
    <cfRule type="cellIs" dxfId="467" priority="97" operator="equal">
      <formula>"TEA"</formula>
    </cfRule>
    <cfRule type="cellIs" dxfId="466" priority="98" operator="equal">
      <formula>"BIN"</formula>
    </cfRule>
    <cfRule type="cellIs" dxfId="465" priority="99" operator="equal">
      <formula>"KIDS"</formula>
    </cfRule>
    <cfRule type="cellIs" dxfId="464" priority="100" operator="equal">
      <formula>"CR"</formula>
    </cfRule>
    <cfRule type="cellIs" dxfId="463" priority="101" operator="equal">
      <formula>"FB"</formula>
    </cfRule>
    <cfRule type="cellIs" dxfId="462" priority="102" operator="equal">
      <formula>"FFR"</formula>
    </cfRule>
    <cfRule type="cellIs" dxfId="461" priority="103" operator="equal">
      <formula>"F"</formula>
    </cfRule>
    <cfRule type="cellIs" dxfId="460" priority="104" operator="equal">
      <formula>"PEN"</formula>
    </cfRule>
    <cfRule type="cellIs" dxfId="459" priority="105" operator="equal">
      <formula>"TW"</formula>
    </cfRule>
    <cfRule type="cellIs" dxfId="458" priority="106" operator="equal">
      <formula>"AD"</formula>
    </cfRule>
    <cfRule type="cellIs" dxfId="457" priority="107" operator="equal">
      <formula>"SY"</formula>
    </cfRule>
    <cfRule type="cellIs" dxfId="456" priority="108" operator="equal">
      <formula>"CSYS"</formula>
    </cfRule>
    <cfRule type="cellIs" dxfId="455" priority="109" operator="equal">
      <formula>"HHR"</formula>
    </cfRule>
    <cfRule type="cellIs" dxfId="454" priority="110" operator="equal">
      <formula>"HH"</formula>
    </cfRule>
    <cfRule type="cellIs" dxfId="453" priority="111" operator="equal">
      <formula>"STAFF"</formula>
    </cfRule>
    <cfRule type="cellIs" dxfId="452" priority="112" operator="equal">
      <formula>"LINW"</formula>
    </cfRule>
    <cfRule type="cellIs" dxfId="451" priority="113" operator="equal">
      <formula>"MINW"</formula>
    </cfRule>
    <cfRule type="cellIs" dxfId="450" priority="114" operator="equal">
      <formula>"ACC"</formula>
    </cfRule>
    <cfRule type="cellIs" dxfId="449" priority="115" operator="equal">
      <formula>"H"</formula>
    </cfRule>
    <cfRule type="cellIs" dxfId="448" priority="116" operator="equal">
      <formula>"ASM"</formula>
    </cfRule>
    <cfRule type="cellIs" dxfId="447" priority="117" operator="equal">
      <formula>"SM"</formula>
    </cfRule>
    <cfRule type="cellIs" dxfId="446" priority="118" operator="equal">
      <formula>"EMB"</formula>
    </cfRule>
    <cfRule type="cellIs" dxfId="445" priority="119" operator="equal">
      <formula>"H3"</formula>
    </cfRule>
    <cfRule type="cellIs" dxfId="444" priority="120" operator="equal">
      <formula>"H2"</formula>
    </cfRule>
  </conditionalFormatting>
  <conditionalFormatting sqref="H17:BT103">
    <cfRule type="cellIs" dxfId="443" priority="126" stopIfTrue="1" operator="equal">
      <formula>$Z$3</formula>
    </cfRule>
    <cfRule type="cellIs" dxfId="442" priority="122" stopIfTrue="1" operator="equal">
      <formula>$AD$3</formula>
    </cfRule>
    <cfRule type="cellIs" dxfId="441" priority="123" stopIfTrue="1" operator="equal">
      <formula>$AB$3</formula>
    </cfRule>
    <cfRule type="cellIs" dxfId="440" priority="124" stopIfTrue="1" operator="equal">
      <formula>$AC$3</formula>
    </cfRule>
    <cfRule type="cellIs" dxfId="439" priority="125" stopIfTrue="1" operator="equal">
      <formula>$AA$3</formula>
    </cfRule>
    <cfRule type="cellIs" dxfId="438" priority="131" stopIfTrue="1" operator="equal">
      <formula>$U$3</formula>
    </cfRule>
    <cfRule type="cellIs" dxfId="437" priority="127" stopIfTrue="1" operator="equal">
      <formula>$Y$3</formula>
    </cfRule>
    <cfRule type="cellIs" dxfId="436" priority="128" stopIfTrue="1" operator="equal">
      <formula>$X$3</formula>
    </cfRule>
    <cfRule type="cellIs" dxfId="435" priority="129" stopIfTrue="1" operator="equal">
      <formula>$W$3</formula>
    </cfRule>
    <cfRule type="cellIs" dxfId="434" priority="130" stopIfTrue="1" operator="equal">
      <formula>$V$3</formula>
    </cfRule>
    <cfRule type="cellIs" dxfId="433" priority="132" stopIfTrue="1" operator="equal">
      <formula>$T$3</formula>
    </cfRule>
    <cfRule type="containsBlanks" dxfId="432" priority="133" stopIfTrue="1">
      <formula>LEN(TRIM(H17))=0</formula>
    </cfRule>
  </conditionalFormatting>
  <conditionalFormatting sqref="T3:AW3">
    <cfRule type="containsBlanks" dxfId="431" priority="65" stopIfTrue="1">
      <formula>LEN(TRIM(T3))=0</formula>
    </cfRule>
  </conditionalFormatting>
  <conditionalFormatting sqref="BT5:BT6 H16:BJ16">
    <cfRule type="cellIs" dxfId="430" priority="205" operator="equal">
      <formula>"R6"</formula>
    </cfRule>
    <cfRule type="cellIs" dxfId="429" priority="206" operator="equal">
      <formula>"R5"</formula>
    </cfRule>
    <cfRule type="cellIs" dxfId="428" priority="207" operator="equal">
      <formula>"R4"</formula>
    </cfRule>
    <cfRule type="cellIs" dxfId="427" priority="208" operator="equal">
      <formula>"R3"</formula>
    </cfRule>
    <cfRule type="cellIs" dxfId="426" priority="209" operator="equal">
      <formula>"R2"</formula>
    </cfRule>
    <cfRule type="cellIs" dxfId="425" priority="210" operator="equal">
      <formula>"R1"</formula>
    </cfRule>
    <cfRule type="cellIs" dxfId="424" priority="211" operator="equal">
      <formula>"R"</formula>
    </cfRule>
    <cfRule type="cellIs" dxfId="423" priority="212" operator="equal">
      <formula>"TEA"</formula>
    </cfRule>
    <cfRule type="cellIs" dxfId="422" priority="213" operator="equal">
      <formula>"BIN"</formula>
    </cfRule>
    <cfRule type="cellIs" dxfId="421" priority="214" operator="equal">
      <formula>"KIDS"</formula>
    </cfRule>
    <cfRule type="cellIs" dxfId="420" priority="215" operator="equal">
      <formula>"CR"</formula>
    </cfRule>
    <cfRule type="cellIs" dxfId="419" priority="216" operator="equal">
      <formula>"FB"</formula>
    </cfRule>
    <cfRule type="cellIs" dxfId="418" priority="217" operator="equal">
      <formula>"FFR"</formula>
    </cfRule>
    <cfRule type="cellIs" dxfId="417" priority="218" operator="equal">
      <formula>"F"</formula>
    </cfRule>
    <cfRule type="cellIs" dxfId="416" priority="219" operator="equal">
      <formula>"PEN"</formula>
    </cfRule>
    <cfRule type="cellIs" dxfId="415" priority="220" operator="equal">
      <formula>"TW"</formula>
    </cfRule>
    <cfRule type="cellIs" dxfId="414" priority="221" operator="equal">
      <formula>"AD"</formula>
    </cfRule>
    <cfRule type="cellIs" dxfId="413" priority="222" operator="equal">
      <formula>"SY"</formula>
    </cfRule>
    <cfRule type="cellIs" dxfId="412" priority="223" operator="equal">
      <formula>"CSYS"</formula>
    </cfRule>
    <cfRule type="cellIs" dxfId="411" priority="224" operator="equal">
      <formula>"HHR"</formula>
    </cfRule>
    <cfRule type="cellIs" dxfId="410" priority="225" operator="equal">
      <formula>"HH"</formula>
    </cfRule>
    <cfRule type="cellIs" dxfId="409" priority="226" operator="equal">
      <formula>"STAFF"</formula>
    </cfRule>
    <cfRule type="cellIs" dxfId="408" priority="227" operator="equal">
      <formula>"LINW"</formula>
    </cfRule>
    <cfRule type="cellIs" dxfId="407" priority="228" operator="equal">
      <formula>"MINW"</formula>
    </cfRule>
    <cfRule type="cellIs" dxfId="406" priority="229" operator="equal">
      <formula>"ACC"</formula>
    </cfRule>
    <cfRule type="cellIs" dxfId="405" priority="230" operator="equal">
      <formula>"H"</formula>
    </cfRule>
    <cfRule type="cellIs" dxfId="404" priority="231" operator="equal">
      <formula>"ASM"</formula>
    </cfRule>
    <cfRule type="cellIs" dxfId="403" priority="232" operator="equal">
      <formula>"SM"</formula>
    </cfRule>
    <cfRule type="cellIs" dxfId="402" priority="233" operator="equal">
      <formula>"EMB"</formula>
    </cfRule>
    <cfRule type="cellIs" dxfId="401" priority="234" operator="equal">
      <formula>"H3"</formula>
    </cfRule>
    <cfRule type="cellIs" dxfId="400" priority="235" operator="equal">
      <formula>"H2"</formula>
    </cfRule>
    <cfRule type="cellIs" dxfId="399" priority="236" operator="equal">
      <formula>"H1"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</sheetPr>
  <dimension ref="B1:BU103"/>
  <sheetViews>
    <sheetView zoomScale="70" zoomScaleNormal="70" workbookViewId="0">
      <selection activeCell="BE1" sqref="BD1:BE1048576"/>
    </sheetView>
  </sheetViews>
  <sheetFormatPr defaultColWidth="8.85546875" defaultRowHeight="12.6" outlineLevelCol="1"/>
  <cols>
    <col min="1" max="1" width="1.5703125" style="93" customWidth="1"/>
    <col min="2" max="2" width="5" style="93" customWidth="1"/>
    <col min="3" max="3" width="17.42578125" style="93" bestFit="1" customWidth="1"/>
    <col min="4" max="4" width="11.140625" style="93" hidden="1" customWidth="1"/>
    <col min="5" max="5" width="6.140625" style="93" customWidth="1"/>
    <col min="6" max="7" width="8" style="93" customWidth="1"/>
    <col min="8" max="13" width="3.85546875" style="94" hidden="1" customWidth="1"/>
    <col min="14" max="55" width="3.85546875" style="94" customWidth="1"/>
    <col min="56" max="57" width="3.85546875" style="94" hidden="1" customWidth="1"/>
    <col min="58" max="59" width="3.85546875" style="94" hidden="1" customWidth="1" outlineLevel="1"/>
    <col min="60" max="71" width="3.85546875" style="93" hidden="1" customWidth="1" outlineLevel="1"/>
    <col min="72" max="72" width="4.85546875" style="93" hidden="1" customWidth="1" outlineLevel="1"/>
    <col min="73" max="73" width="7.85546875" style="93" customWidth="1" collapsed="1"/>
    <col min="74" max="16384" width="8.85546875" style="93"/>
  </cols>
  <sheetData>
    <row r="1" spans="2:72" customFormat="1" ht="5.45" customHeight="1"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1"/>
      <c r="BE1" s="1"/>
      <c r="BF1" s="1"/>
      <c r="BG1" s="1"/>
    </row>
    <row r="2" spans="2:72" customFormat="1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38" t="s">
        <v>327</v>
      </c>
      <c r="U2" s="138"/>
      <c r="V2" s="138"/>
      <c r="W2" s="138"/>
      <c r="X2" s="138"/>
      <c r="Y2" s="138" t="s">
        <v>229</v>
      </c>
      <c r="Z2" s="138"/>
      <c r="AA2" s="138"/>
      <c r="AB2" s="138"/>
      <c r="AC2" s="138"/>
      <c r="AD2" s="47" t="s">
        <v>231</v>
      </c>
      <c r="AE2" s="138" t="s">
        <v>328</v>
      </c>
      <c r="AF2" s="138"/>
      <c r="AG2" s="138"/>
      <c r="AH2" s="138" t="s">
        <v>329</v>
      </c>
      <c r="AI2" s="138"/>
      <c r="AJ2" s="138"/>
      <c r="AK2" s="138"/>
      <c r="AL2" s="138" t="s">
        <v>330</v>
      </c>
      <c r="AM2" s="138"/>
      <c r="AN2" s="138" t="s">
        <v>248</v>
      </c>
      <c r="AO2" s="138"/>
      <c r="AP2" s="138"/>
      <c r="AQ2" s="138"/>
      <c r="AR2" s="138"/>
      <c r="AS2" s="138"/>
      <c r="AT2" s="138" t="s">
        <v>331</v>
      </c>
      <c r="AU2" s="138"/>
      <c r="AV2" s="138"/>
      <c r="AW2" s="138"/>
      <c r="AX2" s="2"/>
      <c r="AY2" s="2"/>
      <c r="AZ2" s="2"/>
      <c r="BA2" s="2"/>
      <c r="BB2" s="2"/>
      <c r="BC2" s="1"/>
      <c r="BD2" s="1"/>
      <c r="BE2" s="1"/>
      <c r="BF2" s="1"/>
      <c r="BG2" s="1"/>
    </row>
    <row r="3" spans="2:72" customForma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6" t="s">
        <v>210</v>
      </c>
      <c r="U3" s="17" t="s">
        <v>212</v>
      </c>
      <c r="V3" s="18" t="s">
        <v>214</v>
      </c>
      <c r="W3" s="20" t="s">
        <v>216</v>
      </c>
      <c r="X3" s="19" t="s">
        <v>218</v>
      </c>
      <c r="Y3" s="11" t="s">
        <v>220</v>
      </c>
      <c r="Z3" s="12" t="s">
        <v>222</v>
      </c>
      <c r="AA3" s="14" t="s">
        <v>224</v>
      </c>
      <c r="AB3" s="15" t="s">
        <v>226</v>
      </c>
      <c r="AC3" s="13" t="s">
        <v>228</v>
      </c>
      <c r="AD3" s="42" t="s">
        <v>230</v>
      </c>
      <c r="AE3" s="46">
        <v>40</v>
      </c>
      <c r="AF3" s="46">
        <v>15</v>
      </c>
      <c r="AG3" s="46">
        <v>10</v>
      </c>
      <c r="AH3" s="40" t="s">
        <v>235</v>
      </c>
      <c r="AI3" s="41" t="s">
        <v>237</v>
      </c>
      <c r="AJ3" s="45" t="s">
        <v>239</v>
      </c>
      <c r="AK3" s="21" t="s">
        <v>241</v>
      </c>
      <c r="AL3" s="43" t="s">
        <v>243</v>
      </c>
      <c r="AM3" s="44" t="s">
        <v>245</v>
      </c>
      <c r="AN3" s="39" t="s">
        <v>247</v>
      </c>
      <c r="AO3" s="39" t="s">
        <v>249</v>
      </c>
      <c r="AP3" s="39" t="s">
        <v>251</v>
      </c>
      <c r="AQ3" s="39" t="s">
        <v>253</v>
      </c>
      <c r="AR3" s="39" t="s">
        <v>255</v>
      </c>
      <c r="AS3" s="39" t="s">
        <v>257</v>
      </c>
      <c r="AT3" s="10" t="s">
        <v>259</v>
      </c>
      <c r="AU3" s="10" t="s">
        <v>261</v>
      </c>
      <c r="AV3" s="10" t="s">
        <v>263</v>
      </c>
      <c r="AW3" s="10" t="s">
        <v>265</v>
      </c>
      <c r="AX3" s="2"/>
      <c r="AY3" s="2"/>
      <c r="AZ3" s="2"/>
      <c r="BA3" s="2"/>
      <c r="BB3" s="2"/>
      <c r="BC3" s="1"/>
      <c r="BD3" s="1"/>
      <c r="BE3" s="1"/>
      <c r="BF3" s="1"/>
      <c r="BG3" s="1"/>
    </row>
    <row r="4" spans="2:72" customFormat="1" ht="6" customHeight="1"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1"/>
      <c r="BD4" s="1"/>
      <c r="BE4" s="1"/>
      <c r="BF4" s="1"/>
      <c r="BG4" s="1"/>
    </row>
    <row r="5" spans="2:72" customFormat="1" ht="10.35" customHeight="1">
      <c r="C5" s="8" t="str">
        <f>Weekly!S2</f>
        <v xml:space="preserve"> Fri Nov 14</v>
      </c>
      <c r="H5" s="139">
        <v>7</v>
      </c>
      <c r="I5" s="140"/>
      <c r="J5" s="140"/>
      <c r="K5" s="141"/>
      <c r="L5" s="139">
        <v>8</v>
      </c>
      <c r="M5" s="140"/>
      <c r="N5" s="140"/>
      <c r="O5" s="141"/>
      <c r="P5" s="139">
        <v>9</v>
      </c>
      <c r="Q5" s="140"/>
      <c r="R5" s="140"/>
      <c r="S5" s="141"/>
      <c r="T5" s="139">
        <v>10</v>
      </c>
      <c r="U5" s="140"/>
      <c r="V5" s="140"/>
      <c r="W5" s="141"/>
      <c r="X5" s="139">
        <v>11</v>
      </c>
      <c r="Y5" s="140"/>
      <c r="Z5" s="140"/>
      <c r="AA5" s="141"/>
      <c r="AB5" s="139">
        <v>12</v>
      </c>
      <c r="AC5" s="140"/>
      <c r="AD5" s="140"/>
      <c r="AE5" s="141"/>
      <c r="AF5" s="139">
        <v>13</v>
      </c>
      <c r="AG5" s="140"/>
      <c r="AH5" s="140"/>
      <c r="AI5" s="141"/>
      <c r="AJ5" s="139">
        <v>14</v>
      </c>
      <c r="AK5" s="140"/>
      <c r="AL5" s="140"/>
      <c r="AM5" s="141"/>
      <c r="AN5" s="139">
        <v>15</v>
      </c>
      <c r="AO5" s="140"/>
      <c r="AP5" s="140"/>
      <c r="AQ5" s="141"/>
      <c r="AR5" s="139">
        <v>16</v>
      </c>
      <c r="AS5" s="140"/>
      <c r="AT5" s="140"/>
      <c r="AU5" s="141"/>
      <c r="AV5" s="139">
        <v>17</v>
      </c>
      <c r="AW5" s="140"/>
      <c r="AX5" s="140"/>
      <c r="AY5" s="141"/>
      <c r="AZ5" s="139">
        <v>18</v>
      </c>
      <c r="BA5" s="140"/>
      <c r="BB5" s="140"/>
      <c r="BC5" s="141"/>
      <c r="BD5" s="139">
        <v>19</v>
      </c>
      <c r="BE5" s="140"/>
      <c r="BF5" s="140"/>
      <c r="BG5" s="141"/>
      <c r="BH5" s="139">
        <v>20</v>
      </c>
      <c r="BI5" s="140"/>
      <c r="BJ5" s="140"/>
      <c r="BK5" s="141"/>
      <c r="BL5" s="139">
        <v>21</v>
      </c>
      <c r="BM5" s="140"/>
      <c r="BN5" s="140"/>
      <c r="BO5" s="141"/>
      <c r="BP5" s="139">
        <v>22</v>
      </c>
      <c r="BQ5" s="140"/>
      <c r="BR5" s="140"/>
      <c r="BS5" s="141"/>
      <c r="BT5" s="6">
        <v>0.95833333333332604</v>
      </c>
    </row>
    <row r="6" spans="2:72" customFormat="1" ht="12.95">
      <c r="C6" s="8"/>
      <c r="H6" s="100" t="s">
        <v>332</v>
      </c>
      <c r="I6" s="98">
        <v>15</v>
      </c>
      <c r="J6" s="98">
        <v>30</v>
      </c>
      <c r="K6" s="99">
        <v>45</v>
      </c>
      <c r="L6" s="100" t="s">
        <v>332</v>
      </c>
      <c r="M6" s="98">
        <v>15</v>
      </c>
      <c r="N6" s="98">
        <v>30</v>
      </c>
      <c r="O6" s="99">
        <v>45</v>
      </c>
      <c r="P6" s="100" t="s">
        <v>332</v>
      </c>
      <c r="Q6" s="98">
        <v>15</v>
      </c>
      <c r="R6" s="98">
        <v>30</v>
      </c>
      <c r="S6" s="99">
        <v>45</v>
      </c>
      <c r="T6" s="100" t="s">
        <v>332</v>
      </c>
      <c r="U6" s="98">
        <v>15</v>
      </c>
      <c r="V6" s="98">
        <v>30</v>
      </c>
      <c r="W6" s="99">
        <v>45</v>
      </c>
      <c r="X6" s="100" t="s">
        <v>332</v>
      </c>
      <c r="Y6" s="98">
        <v>15</v>
      </c>
      <c r="Z6" s="98">
        <v>30</v>
      </c>
      <c r="AA6" s="99">
        <v>45</v>
      </c>
      <c r="AB6" s="100" t="s">
        <v>332</v>
      </c>
      <c r="AC6" s="98">
        <v>15</v>
      </c>
      <c r="AD6" s="98">
        <v>30</v>
      </c>
      <c r="AE6" s="99">
        <v>45</v>
      </c>
      <c r="AF6" s="100" t="s">
        <v>332</v>
      </c>
      <c r="AG6" s="98">
        <v>15</v>
      </c>
      <c r="AH6" s="98">
        <v>30</v>
      </c>
      <c r="AI6" s="99">
        <v>45</v>
      </c>
      <c r="AJ6" s="100" t="s">
        <v>332</v>
      </c>
      <c r="AK6" s="98">
        <v>15</v>
      </c>
      <c r="AL6" s="98">
        <v>30</v>
      </c>
      <c r="AM6" s="99">
        <v>45</v>
      </c>
      <c r="AN6" s="100" t="s">
        <v>332</v>
      </c>
      <c r="AO6" s="98">
        <v>15</v>
      </c>
      <c r="AP6" s="98">
        <v>30</v>
      </c>
      <c r="AQ6" s="99">
        <v>45</v>
      </c>
      <c r="AR6" s="100" t="s">
        <v>332</v>
      </c>
      <c r="AS6" s="98">
        <v>15</v>
      </c>
      <c r="AT6" s="98">
        <v>30</v>
      </c>
      <c r="AU6" s="99">
        <v>45</v>
      </c>
      <c r="AV6" s="100" t="s">
        <v>332</v>
      </c>
      <c r="AW6" s="98">
        <v>15</v>
      </c>
      <c r="AX6" s="98">
        <v>30</v>
      </c>
      <c r="AY6" s="99">
        <v>45</v>
      </c>
      <c r="AZ6" s="100" t="s">
        <v>332</v>
      </c>
      <c r="BA6" s="98">
        <v>15</v>
      </c>
      <c r="BB6" s="98">
        <v>30</v>
      </c>
      <c r="BC6" s="99">
        <v>45</v>
      </c>
      <c r="BD6" s="100" t="s">
        <v>332</v>
      </c>
      <c r="BE6" s="98">
        <v>15</v>
      </c>
      <c r="BF6" s="98">
        <v>30</v>
      </c>
      <c r="BG6" s="99">
        <v>45</v>
      </c>
      <c r="BH6" s="100" t="s">
        <v>332</v>
      </c>
      <c r="BI6" s="98">
        <v>15</v>
      </c>
      <c r="BJ6" s="98">
        <v>30</v>
      </c>
      <c r="BK6" s="99">
        <v>45</v>
      </c>
      <c r="BL6" s="100" t="s">
        <v>332</v>
      </c>
      <c r="BM6" s="98">
        <v>15</v>
      </c>
      <c r="BN6" s="98">
        <v>30</v>
      </c>
      <c r="BO6" s="99">
        <v>45</v>
      </c>
      <c r="BP6" s="100" t="s">
        <v>332</v>
      </c>
      <c r="BQ6" s="98">
        <v>15</v>
      </c>
      <c r="BR6" s="98">
        <v>30</v>
      </c>
      <c r="BS6" s="99">
        <v>45</v>
      </c>
      <c r="BT6" s="6"/>
    </row>
    <row r="7" spans="2:72" customFormat="1" ht="10.35" customHeight="1">
      <c r="G7" s="24" t="s">
        <v>236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customFormat="1" ht="10.35" customHeight="1">
      <c r="G8" s="24" t="s">
        <v>238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customFormat="1" ht="10.35" customHeight="1">
      <c r="G9" s="24" t="s">
        <v>333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customFormat="1" ht="10.35" customHeight="1">
      <c r="G10" s="24" t="s">
        <v>242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customFormat="1" ht="10.35" customHeight="1">
      <c r="G11" s="23" t="s">
        <v>334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10</v>
      </c>
      <c r="O11" s="22">
        <f t="shared" si="4"/>
        <v>10</v>
      </c>
      <c r="P11" s="22">
        <f t="shared" si="4"/>
        <v>10</v>
      </c>
      <c r="Q11" s="22">
        <f t="shared" si="4"/>
        <v>10</v>
      </c>
      <c r="R11" s="22">
        <f t="shared" si="4"/>
        <v>10</v>
      </c>
      <c r="S11" s="22">
        <f t="shared" si="4"/>
        <v>10</v>
      </c>
      <c r="T11" s="22">
        <f t="shared" si="4"/>
        <v>10</v>
      </c>
      <c r="U11" s="22">
        <f t="shared" si="4"/>
        <v>10</v>
      </c>
      <c r="V11" s="22">
        <f t="shared" si="4"/>
        <v>10</v>
      </c>
      <c r="W11" s="22">
        <f t="shared" si="4"/>
        <v>10</v>
      </c>
      <c r="X11" s="22">
        <f t="shared" si="4"/>
        <v>17</v>
      </c>
      <c r="Y11" s="22">
        <f t="shared" si="4"/>
        <v>17</v>
      </c>
      <c r="Z11" s="22">
        <f t="shared" si="4"/>
        <v>17</v>
      </c>
      <c r="AA11" s="22">
        <f t="shared" si="4"/>
        <v>17</v>
      </c>
      <c r="AB11" s="22">
        <f t="shared" si="4"/>
        <v>17</v>
      </c>
      <c r="AC11" s="22">
        <f t="shared" si="4"/>
        <v>17</v>
      </c>
      <c r="AD11" s="22">
        <f t="shared" si="4"/>
        <v>17</v>
      </c>
      <c r="AE11" s="22">
        <f t="shared" si="4"/>
        <v>17</v>
      </c>
      <c r="AF11" s="22">
        <f t="shared" si="4"/>
        <v>17</v>
      </c>
      <c r="AG11" s="22">
        <f t="shared" si="4"/>
        <v>17</v>
      </c>
      <c r="AH11" s="22">
        <f t="shared" si="4"/>
        <v>17</v>
      </c>
      <c r="AI11" s="22">
        <f t="shared" si="4"/>
        <v>17</v>
      </c>
      <c r="AJ11" s="22">
        <f t="shared" si="4"/>
        <v>18</v>
      </c>
      <c r="AK11" s="22">
        <f t="shared" si="4"/>
        <v>18</v>
      </c>
      <c r="AL11" s="22">
        <f t="shared" si="4"/>
        <v>18</v>
      </c>
      <c r="AM11" s="22">
        <f t="shared" si="4"/>
        <v>18</v>
      </c>
      <c r="AN11" s="22">
        <f t="shared" si="4"/>
        <v>17</v>
      </c>
      <c r="AO11" s="22">
        <f t="shared" si="4"/>
        <v>17</v>
      </c>
      <c r="AP11" s="22">
        <f t="shared" si="4"/>
        <v>16</v>
      </c>
      <c r="AQ11" s="22">
        <f t="shared" si="4"/>
        <v>16</v>
      </c>
      <c r="AR11" s="22">
        <f t="shared" si="4"/>
        <v>16</v>
      </c>
      <c r="AS11" s="22">
        <f t="shared" si="4"/>
        <v>16</v>
      </c>
      <c r="AT11" s="22">
        <f t="shared" si="4"/>
        <v>8</v>
      </c>
      <c r="AU11" s="22">
        <f t="shared" si="4"/>
        <v>8</v>
      </c>
      <c r="AV11" s="22">
        <f t="shared" si="4"/>
        <v>8</v>
      </c>
      <c r="AW11" s="22">
        <f t="shared" si="4"/>
        <v>8</v>
      </c>
      <c r="AX11" s="22">
        <f t="shared" si="4"/>
        <v>8</v>
      </c>
      <c r="AY11" s="22">
        <f t="shared" si="4"/>
        <v>8</v>
      </c>
      <c r="AZ11" s="22">
        <f t="shared" si="4"/>
        <v>8</v>
      </c>
      <c r="BA11" s="22">
        <f t="shared" si="4"/>
        <v>8</v>
      </c>
      <c r="BB11" s="22">
        <f t="shared" si="4"/>
        <v>8</v>
      </c>
      <c r="BC11" s="22">
        <f t="shared" si="4"/>
        <v>8</v>
      </c>
      <c r="BD11" s="22">
        <f t="shared" si="4"/>
        <v>0</v>
      </c>
      <c r="BE11" s="22">
        <f t="shared" si="4"/>
        <v>0</v>
      </c>
      <c r="BF11" s="22">
        <f t="shared" si="4"/>
        <v>0</v>
      </c>
      <c r="BG11" s="22">
        <f t="shared" si="4"/>
        <v>0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customFormat="1" hidden="1"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customFormat="1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customFormat="1" ht="10.35" customHeight="1">
      <c r="H14" s="142">
        <v>7</v>
      </c>
      <c r="I14" s="143"/>
      <c r="J14" s="143"/>
      <c r="K14" s="144"/>
      <c r="L14" s="142">
        <v>8</v>
      </c>
      <c r="M14" s="143"/>
      <c r="N14" s="143"/>
      <c r="O14" s="144"/>
      <c r="P14" s="142">
        <v>9</v>
      </c>
      <c r="Q14" s="143"/>
      <c r="R14" s="143"/>
      <c r="S14" s="144"/>
      <c r="T14" s="142">
        <v>10</v>
      </c>
      <c r="U14" s="143"/>
      <c r="V14" s="143"/>
      <c r="W14" s="144"/>
      <c r="X14" s="142">
        <v>11</v>
      </c>
      <c r="Y14" s="143"/>
      <c r="Z14" s="143"/>
      <c r="AA14" s="144"/>
      <c r="AB14" s="142">
        <v>12</v>
      </c>
      <c r="AC14" s="143"/>
      <c r="AD14" s="143"/>
      <c r="AE14" s="144"/>
      <c r="AF14" s="142">
        <v>13</v>
      </c>
      <c r="AG14" s="143"/>
      <c r="AH14" s="143"/>
      <c r="AI14" s="144"/>
      <c r="AJ14" s="142">
        <v>14</v>
      </c>
      <c r="AK14" s="143"/>
      <c r="AL14" s="143"/>
      <c r="AM14" s="144"/>
      <c r="AN14" s="142">
        <v>15</v>
      </c>
      <c r="AO14" s="143"/>
      <c r="AP14" s="143"/>
      <c r="AQ14" s="144"/>
      <c r="AR14" s="142">
        <v>16</v>
      </c>
      <c r="AS14" s="143"/>
      <c r="AT14" s="143"/>
      <c r="AU14" s="144"/>
      <c r="AV14" s="142">
        <v>17</v>
      </c>
      <c r="AW14" s="143"/>
      <c r="AX14" s="143"/>
      <c r="AY14" s="144"/>
      <c r="AZ14" s="142">
        <v>18</v>
      </c>
      <c r="BA14" s="143"/>
      <c r="BB14" s="143"/>
      <c r="BC14" s="144"/>
      <c r="BD14" s="142">
        <v>19</v>
      </c>
      <c r="BE14" s="143"/>
      <c r="BF14" s="143"/>
      <c r="BG14" s="144"/>
      <c r="BH14" s="142">
        <v>20</v>
      </c>
      <c r="BI14" s="143"/>
      <c r="BJ14" s="143"/>
      <c r="BK14" s="144"/>
      <c r="BL14" s="142">
        <v>21</v>
      </c>
      <c r="BM14" s="143"/>
      <c r="BN14" s="143"/>
      <c r="BO14" s="144"/>
      <c r="BP14" s="142">
        <v>22</v>
      </c>
      <c r="BQ14" s="143"/>
      <c r="BR14" s="143"/>
      <c r="BS14" s="144"/>
    </row>
    <row r="15" spans="2:72" s="2" customFormat="1" ht="12.95">
      <c r="B15" s="5" t="s">
        <v>284</v>
      </c>
      <c r="C15" s="5" t="s">
        <v>13</v>
      </c>
      <c r="D15" s="5" t="s">
        <v>14</v>
      </c>
      <c r="E15" s="5" t="s">
        <v>335</v>
      </c>
      <c r="F15" s="5" t="s">
        <v>287</v>
      </c>
      <c r="G15" s="5" t="s">
        <v>336</v>
      </c>
      <c r="H15" s="100" t="s">
        <v>332</v>
      </c>
      <c r="I15" s="98">
        <v>15</v>
      </c>
      <c r="J15" s="98">
        <v>30</v>
      </c>
      <c r="K15" s="99">
        <v>45</v>
      </c>
      <c r="L15" s="100" t="s">
        <v>332</v>
      </c>
      <c r="M15" s="98">
        <v>15</v>
      </c>
      <c r="N15" s="98">
        <v>30</v>
      </c>
      <c r="O15" s="99">
        <v>45</v>
      </c>
      <c r="P15" s="100" t="s">
        <v>332</v>
      </c>
      <c r="Q15" s="98">
        <v>15</v>
      </c>
      <c r="R15" s="98">
        <v>30</v>
      </c>
      <c r="S15" s="99">
        <v>45</v>
      </c>
      <c r="T15" s="100" t="s">
        <v>332</v>
      </c>
      <c r="U15" s="98">
        <v>15</v>
      </c>
      <c r="V15" s="98">
        <v>30</v>
      </c>
      <c r="W15" s="99">
        <v>45</v>
      </c>
      <c r="X15" s="100" t="s">
        <v>332</v>
      </c>
      <c r="Y15" s="98">
        <v>15</v>
      </c>
      <c r="Z15" s="98">
        <v>30</v>
      </c>
      <c r="AA15" s="99">
        <v>45</v>
      </c>
      <c r="AB15" s="100" t="s">
        <v>332</v>
      </c>
      <c r="AC15" s="98">
        <v>15</v>
      </c>
      <c r="AD15" s="98">
        <v>30</v>
      </c>
      <c r="AE15" s="99">
        <v>45</v>
      </c>
      <c r="AF15" s="100" t="s">
        <v>332</v>
      </c>
      <c r="AG15" s="98">
        <v>15</v>
      </c>
      <c r="AH15" s="98">
        <v>30</v>
      </c>
      <c r="AI15" s="99">
        <v>45</v>
      </c>
      <c r="AJ15" s="100" t="s">
        <v>332</v>
      </c>
      <c r="AK15" s="98">
        <v>15</v>
      </c>
      <c r="AL15" s="98">
        <v>30</v>
      </c>
      <c r="AM15" s="99">
        <v>45</v>
      </c>
      <c r="AN15" s="100" t="s">
        <v>332</v>
      </c>
      <c r="AO15" s="98">
        <v>15</v>
      </c>
      <c r="AP15" s="98">
        <v>30</v>
      </c>
      <c r="AQ15" s="99">
        <v>45</v>
      </c>
      <c r="AR15" s="100" t="s">
        <v>332</v>
      </c>
      <c r="AS15" s="98">
        <v>15</v>
      </c>
      <c r="AT15" s="98">
        <v>30</v>
      </c>
      <c r="AU15" s="99">
        <v>45</v>
      </c>
      <c r="AV15" s="100" t="s">
        <v>332</v>
      </c>
      <c r="AW15" s="98">
        <v>15</v>
      </c>
      <c r="AX15" s="98">
        <v>30</v>
      </c>
      <c r="AY15" s="99">
        <v>45</v>
      </c>
      <c r="AZ15" s="100" t="s">
        <v>332</v>
      </c>
      <c r="BA15" s="98">
        <v>15</v>
      </c>
      <c r="BB15" s="98">
        <v>30</v>
      </c>
      <c r="BC15" s="99">
        <v>45</v>
      </c>
      <c r="BD15" s="100" t="s">
        <v>332</v>
      </c>
      <c r="BE15" s="98">
        <v>15</v>
      </c>
      <c r="BF15" s="98">
        <v>30</v>
      </c>
      <c r="BG15" s="99">
        <v>45</v>
      </c>
      <c r="BH15" s="100" t="s">
        <v>332</v>
      </c>
      <c r="BI15" s="98">
        <v>15</v>
      </c>
      <c r="BJ15" s="98">
        <v>30</v>
      </c>
      <c r="BK15" s="99">
        <v>45</v>
      </c>
      <c r="BL15" s="100" t="s">
        <v>332</v>
      </c>
      <c r="BM15" s="98">
        <v>15</v>
      </c>
      <c r="BN15" s="98">
        <v>30</v>
      </c>
      <c r="BO15" s="99">
        <v>45</v>
      </c>
      <c r="BP15" s="100" t="s">
        <v>332</v>
      </c>
      <c r="BQ15" s="98">
        <v>15</v>
      </c>
      <c r="BR15" s="98">
        <v>30</v>
      </c>
      <c r="BS15" s="99">
        <v>45</v>
      </c>
    </row>
    <row r="16" spans="2:72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  <c r="BT16" s="53"/>
    </row>
    <row r="17" spans="2:72">
      <c r="B17" s="81" t="str">
        <f>Weekly!B9</f>
        <v>01509</v>
      </c>
      <c r="C17" s="90" t="str">
        <f>Weekly!C9</f>
        <v>Amy</v>
      </c>
      <c r="D17" s="90" t="str">
        <f>Weekly!D16</f>
        <v>Park</v>
      </c>
      <c r="E17" s="91" t="str">
        <f>VLOOKUP(B17,Team!$B$4:$E$183,4,FALSE)</f>
        <v>L's</v>
      </c>
      <c r="F17" s="92">
        <f>Weekly!S9</f>
        <v>0.35416666666666602</v>
      </c>
      <c r="G17" s="92">
        <f>Weekly!T9</f>
        <v>0.687499999999999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>L's</v>
      </c>
      <c r="O17" s="84" t="str">
        <f t="shared" ref="O17:O48" si="12">IF(AND($O$12&gt;=$F17,$O$12&lt;$G17),$E17,"")</f>
        <v>L's</v>
      </c>
      <c r="P17" s="82" t="str">
        <f t="shared" ref="P17:P48" si="13">IF(AND($P$12&gt;=$F17,$P$12&lt;$G17),$E17,"")</f>
        <v>L's</v>
      </c>
      <c r="Q17" s="48" t="str">
        <f t="shared" ref="Q17:Q48" si="14">IF(AND($Q$12&gt;=$F17,$Q$12&lt;$G17),$E17,"")</f>
        <v>L's</v>
      </c>
      <c r="R17" s="48" t="str">
        <f t="shared" ref="R17:R48" si="15">IF(AND($R$12&gt;=$F17,$R$12&lt;$G17),$E17,"")</f>
        <v>L's</v>
      </c>
      <c r="S17" s="84" t="str">
        <f t="shared" ref="S17:S48" si="16">IF(AND($S$12&gt;=$F17,$S$12&lt;$G17),$E17,"")</f>
        <v>L's</v>
      </c>
      <c r="T17" s="82" t="str">
        <f t="shared" ref="T17:T48" si="17">IF(AND($T$12&gt;=$F17,$T$12&lt;$G17),$E17,"")</f>
        <v>L's</v>
      </c>
      <c r="U17" s="48" t="str">
        <f t="shared" ref="U17:U48" si="18">IF(AND($U$12&gt;=$F17,$U$12&lt;$G17),$E17,"")</f>
        <v>L's</v>
      </c>
      <c r="V17" s="48" t="str">
        <f t="shared" ref="V17:V48" si="19">IF(AND($V$12&gt;=$F17,$V$12&lt;$G17),$E17,"")</f>
        <v>L's</v>
      </c>
      <c r="W17" s="84" t="str">
        <f t="shared" ref="W17:W48" si="20">IF(AND($W$12&gt;=$F17,$W$12&lt;$G17),$E17,"")</f>
        <v>L's</v>
      </c>
      <c r="X17" s="82" t="str">
        <f t="shared" ref="X17:X48" si="21">IF(AND($X$12&gt;=$F17,$X$12&lt;$G17),$E17,"")</f>
        <v>L's</v>
      </c>
      <c r="Y17" s="48" t="str">
        <f t="shared" ref="Y17:Y48" si="22">IF(AND($Y$12&gt;=$F17,$Y$12&lt;$G17),$E17,"")</f>
        <v>L's</v>
      </c>
      <c r="Z17" s="48" t="str">
        <f t="shared" ref="Z17:Z48" si="23">IF(AND($Z$12&gt;=$F17,$Z$12&lt;$G17),$E17,"")</f>
        <v>L's</v>
      </c>
      <c r="AA17" s="84" t="str">
        <f t="shared" ref="AA17:AA48" si="24">IF(AND($AA$12&gt;=$F17,$AA$12&lt;$G17),$E17,"")</f>
        <v>L's</v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/>
      </c>
      <c r="AU17" s="84" t="str">
        <f t="shared" ref="AU17:AU48" si="44">IF(AND($AU$12&gt;=$F17,$AU$12&lt;$G17),$E17,"")</f>
        <v/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>
      <c r="B18" s="81" t="str">
        <f>Weekly!B10</f>
        <v>1175</v>
      </c>
      <c r="C18" s="90" t="str">
        <f>Weekly!C10</f>
        <v>Anna</v>
      </c>
      <c r="D18" s="90" t="str">
        <f>Weekly!D17</f>
        <v>Oh</v>
      </c>
      <c r="E18" s="91" t="str">
        <f>VLOOKUP(B18,Team!$B$4:$E$183,4,FALSE)</f>
        <v>H&amp;B</v>
      </c>
      <c r="F18" s="92" t="str">
        <f>Weekly!S10</f>
        <v/>
      </c>
      <c r="G18" s="92" t="str">
        <f>Weekly!T10</f>
        <v/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/>
      </c>
      <c r="O18" s="84" t="str">
        <f t="shared" si="12"/>
        <v/>
      </c>
      <c r="P18" s="82" t="str">
        <f t="shared" si="13"/>
        <v/>
      </c>
      <c r="Q18" s="48" t="str">
        <f t="shared" si="14"/>
        <v/>
      </c>
      <c r="R18" s="48" t="str">
        <f t="shared" si="15"/>
        <v/>
      </c>
      <c r="S18" s="84" t="str">
        <f t="shared" si="16"/>
        <v/>
      </c>
      <c r="T18" s="82" t="str">
        <f t="shared" si="17"/>
        <v/>
      </c>
      <c r="U18" s="48" t="str">
        <f t="shared" si="18"/>
        <v/>
      </c>
      <c r="V18" s="48" t="str">
        <f t="shared" si="19"/>
        <v/>
      </c>
      <c r="W18" s="84" t="str">
        <f t="shared" si="20"/>
        <v/>
      </c>
      <c r="X18" s="82" t="str">
        <f t="shared" si="21"/>
        <v/>
      </c>
      <c r="Y18" s="48" t="str">
        <f t="shared" si="22"/>
        <v/>
      </c>
      <c r="Z18" s="48" t="str">
        <f t="shared" si="23"/>
        <v/>
      </c>
      <c r="AA18" s="84" t="str">
        <f t="shared" si="24"/>
        <v/>
      </c>
      <c r="AB18" s="82" t="str">
        <f t="shared" si="25"/>
        <v/>
      </c>
      <c r="AC18" s="48" t="str">
        <f t="shared" si="26"/>
        <v/>
      </c>
      <c r="AD18" s="48" t="str">
        <f t="shared" si="27"/>
        <v/>
      </c>
      <c r="AE18" s="84" t="str">
        <f t="shared" si="28"/>
        <v/>
      </c>
      <c r="AF18" s="82" t="str">
        <f t="shared" si="29"/>
        <v/>
      </c>
      <c r="AG18" s="48" t="str">
        <f t="shared" si="30"/>
        <v/>
      </c>
      <c r="AH18" s="48" t="str">
        <f t="shared" si="31"/>
        <v/>
      </c>
      <c r="AI18" s="84" t="str">
        <f t="shared" si="32"/>
        <v/>
      </c>
      <c r="AJ18" s="82" t="str">
        <f t="shared" si="33"/>
        <v/>
      </c>
      <c r="AK18" s="48" t="str">
        <f t="shared" si="34"/>
        <v/>
      </c>
      <c r="AL18" s="48" t="str">
        <f t="shared" si="35"/>
        <v/>
      </c>
      <c r="AM18" s="84" t="str">
        <f t="shared" si="36"/>
        <v/>
      </c>
      <c r="AN18" s="82" t="str">
        <f t="shared" si="37"/>
        <v/>
      </c>
      <c r="AO18" s="48" t="str">
        <f t="shared" si="38"/>
        <v/>
      </c>
      <c r="AP18" s="48" t="str">
        <f t="shared" si="39"/>
        <v/>
      </c>
      <c r="AQ18" s="84" t="str">
        <f t="shared" si="40"/>
        <v/>
      </c>
      <c r="AR18" s="82" t="str">
        <f t="shared" si="41"/>
        <v/>
      </c>
      <c r="AS18" s="48" t="str">
        <f t="shared" si="42"/>
        <v/>
      </c>
      <c r="AT18" s="48" t="str">
        <f t="shared" si="43"/>
        <v/>
      </c>
      <c r="AU18" s="84" t="str">
        <f t="shared" si="44"/>
        <v/>
      </c>
      <c r="AV18" s="82" t="str">
        <f t="shared" si="45"/>
        <v/>
      </c>
      <c r="AW18" s="48" t="str">
        <f t="shared" si="46"/>
        <v/>
      </c>
      <c r="AX18" s="48" t="str">
        <f t="shared" si="47"/>
        <v/>
      </c>
      <c r="AY18" s="84" t="str">
        <f t="shared" si="48"/>
        <v/>
      </c>
      <c r="AZ18" s="82" t="str">
        <f t="shared" si="49"/>
        <v/>
      </c>
      <c r="BA18" s="48" t="str">
        <f t="shared" si="50"/>
        <v/>
      </c>
      <c r="BB18" s="48" t="str">
        <f t="shared" si="51"/>
        <v/>
      </c>
      <c r="BC18" s="84" t="str">
        <f t="shared" si="52"/>
        <v/>
      </c>
      <c r="BD18" s="82" t="str">
        <f t="shared" si="53"/>
        <v/>
      </c>
      <c r="BE18" s="48" t="str">
        <f t="shared" si="54"/>
        <v/>
      </c>
      <c r="BF18" s="48" t="str">
        <f t="shared" si="55"/>
        <v/>
      </c>
      <c r="BG18" s="84" t="str">
        <f t="shared" si="56"/>
        <v/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>
      <c r="B19" s="81" t="str">
        <f>Weekly!B11</f>
        <v>1041</v>
      </c>
      <c r="C19" s="90" t="str">
        <f>Weekly!C11</f>
        <v>Archana</v>
      </c>
      <c r="D19" s="90" t="str">
        <f>Weekly!D18</f>
        <v>Kim</v>
      </c>
      <c r="E19" s="91" t="str">
        <f>VLOOKUP(B19,Team!$B$4:$E$183,4,FALSE)</f>
        <v>L's</v>
      </c>
      <c r="F19" s="92" t="str">
        <f>Weekly!S11</f>
        <v/>
      </c>
      <c r="G19" s="92" t="str">
        <f>Weekly!T11</f>
        <v/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/>
      </c>
      <c r="Y19" s="48" t="str">
        <f t="shared" si="22"/>
        <v/>
      </c>
      <c r="Z19" s="48" t="str">
        <f t="shared" si="23"/>
        <v/>
      </c>
      <c r="AA19" s="84" t="str">
        <f t="shared" si="24"/>
        <v/>
      </c>
      <c r="AB19" s="82" t="str">
        <f t="shared" si="25"/>
        <v/>
      </c>
      <c r="AC19" s="48" t="str">
        <f t="shared" si="26"/>
        <v/>
      </c>
      <c r="AD19" s="48" t="str">
        <f t="shared" si="27"/>
        <v/>
      </c>
      <c r="AE19" s="84" t="str">
        <f t="shared" si="28"/>
        <v/>
      </c>
      <c r="AF19" s="82" t="str">
        <f t="shared" si="29"/>
        <v/>
      </c>
      <c r="AG19" s="48" t="str">
        <f t="shared" si="30"/>
        <v/>
      </c>
      <c r="AH19" s="48" t="str">
        <f t="shared" si="31"/>
        <v/>
      </c>
      <c r="AI19" s="84" t="str">
        <f t="shared" si="32"/>
        <v/>
      </c>
      <c r="AJ19" s="82" t="str">
        <f t="shared" si="33"/>
        <v/>
      </c>
      <c r="AK19" s="48" t="str">
        <f t="shared" si="34"/>
        <v/>
      </c>
      <c r="AL19" s="48" t="str">
        <f t="shared" si="35"/>
        <v/>
      </c>
      <c r="AM19" s="84" t="str">
        <f t="shared" si="36"/>
        <v/>
      </c>
      <c r="AN19" s="82" t="str">
        <f t="shared" si="37"/>
        <v/>
      </c>
      <c r="AO19" s="48" t="str">
        <f t="shared" si="38"/>
        <v/>
      </c>
      <c r="AP19" s="48" t="str">
        <f t="shared" si="39"/>
        <v/>
      </c>
      <c r="AQ19" s="84" t="str">
        <f t="shared" si="40"/>
        <v/>
      </c>
      <c r="AR19" s="82" t="str">
        <f t="shared" si="41"/>
        <v/>
      </c>
      <c r="AS19" s="48" t="str">
        <f t="shared" si="42"/>
        <v/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>
      <c r="B20" s="81" t="str">
        <f>Weekly!B12</f>
        <v>1245</v>
      </c>
      <c r="C20" s="90" t="str">
        <f>Weekly!C12</f>
        <v>Charlotte</v>
      </c>
      <c r="D20" s="90" t="str">
        <f>Weekly!D19</f>
        <v>Hou</v>
      </c>
      <c r="E20" s="91" t="str">
        <f>VLOOKUP(B20,Team!$B$4:$E$183,4,FALSE)</f>
        <v>HH</v>
      </c>
      <c r="F20" s="92" t="str">
        <f>Weekly!S12</f>
        <v/>
      </c>
      <c r="G20" s="92" t="str">
        <f>Weekly!T12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>
      <c r="B21" s="81" t="str">
        <f>Weekly!B13</f>
        <v>1136</v>
      </c>
      <c r="C21" s="90" t="str">
        <f>Weekly!C13</f>
        <v>Cherry</v>
      </c>
      <c r="D21" s="90" t="str">
        <f>Weekly!D20</f>
        <v>Choi</v>
      </c>
      <c r="E21" s="91" t="str">
        <f>VLOOKUP(B21,Team!$B$4:$E$183,4,FALSE)</f>
        <v>M's</v>
      </c>
      <c r="F21" s="92">
        <f>Weekly!S13</f>
        <v>0.45833333333333298</v>
      </c>
      <c r="G21" s="92">
        <f>Weekly!T13</f>
        <v>0.79166666666666596</v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>M's</v>
      </c>
      <c r="Y21" s="48" t="str">
        <f t="shared" si="22"/>
        <v>M's</v>
      </c>
      <c r="Z21" s="48" t="str">
        <f t="shared" si="23"/>
        <v>M's</v>
      </c>
      <c r="AA21" s="84" t="str">
        <f t="shared" si="24"/>
        <v>M's</v>
      </c>
      <c r="AB21" s="82" t="str">
        <f t="shared" si="25"/>
        <v>M's</v>
      </c>
      <c r="AC21" s="48" t="str">
        <f t="shared" si="26"/>
        <v>M's</v>
      </c>
      <c r="AD21" s="48" t="str">
        <f t="shared" si="27"/>
        <v>M's</v>
      </c>
      <c r="AE21" s="84" t="str">
        <f t="shared" si="28"/>
        <v>M's</v>
      </c>
      <c r="AF21" s="82" t="str">
        <f t="shared" si="29"/>
        <v>M's</v>
      </c>
      <c r="AG21" s="48" t="str">
        <f t="shared" si="30"/>
        <v>M's</v>
      </c>
      <c r="AH21" s="48" t="str">
        <f t="shared" si="31"/>
        <v>M's</v>
      </c>
      <c r="AI21" s="84" t="str">
        <f t="shared" si="32"/>
        <v>M's</v>
      </c>
      <c r="AJ21" s="82" t="str">
        <f t="shared" si="33"/>
        <v>M's</v>
      </c>
      <c r="AK21" s="48" t="str">
        <f t="shared" si="34"/>
        <v>M's</v>
      </c>
      <c r="AL21" s="48" t="str">
        <f t="shared" si="35"/>
        <v>M's</v>
      </c>
      <c r="AM21" s="84" t="str">
        <f t="shared" si="36"/>
        <v>M's</v>
      </c>
      <c r="AN21" s="82" t="str">
        <f t="shared" si="37"/>
        <v>M's</v>
      </c>
      <c r="AO21" s="48" t="str">
        <f t="shared" si="38"/>
        <v>M's</v>
      </c>
      <c r="AP21" s="48" t="str">
        <f t="shared" si="39"/>
        <v>M's</v>
      </c>
      <c r="AQ21" s="84" t="str">
        <f t="shared" si="40"/>
        <v>M's</v>
      </c>
      <c r="AR21" s="82" t="str">
        <f t="shared" si="41"/>
        <v>M's</v>
      </c>
      <c r="AS21" s="48" t="str">
        <f t="shared" si="42"/>
        <v>M's</v>
      </c>
      <c r="AT21" s="48" t="str">
        <f t="shared" si="43"/>
        <v>M's</v>
      </c>
      <c r="AU21" s="84" t="str">
        <f t="shared" si="44"/>
        <v>M's</v>
      </c>
      <c r="AV21" s="82" t="str">
        <f t="shared" si="45"/>
        <v>M's</v>
      </c>
      <c r="AW21" s="48" t="str">
        <f t="shared" si="46"/>
        <v>M's</v>
      </c>
      <c r="AX21" s="48" t="str">
        <f t="shared" si="47"/>
        <v>M's</v>
      </c>
      <c r="AY21" s="84" t="str">
        <f t="shared" si="48"/>
        <v>M's</v>
      </c>
      <c r="AZ21" s="82" t="str">
        <f t="shared" si="49"/>
        <v>M's</v>
      </c>
      <c r="BA21" s="48" t="str">
        <f t="shared" si="50"/>
        <v>M's</v>
      </c>
      <c r="BB21" s="48" t="str">
        <f t="shared" si="51"/>
        <v>M's</v>
      </c>
      <c r="BC21" s="84" t="str">
        <f t="shared" si="52"/>
        <v>M's</v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>
      <c r="B22" s="81" t="str">
        <f>Weekly!B14</f>
        <v>1247</v>
      </c>
      <c r="C22" s="90" t="str">
        <f>Weekly!C14</f>
        <v>Chihiro</v>
      </c>
      <c r="D22" s="90" t="str">
        <f>Weekly!D21</f>
        <v>Trac</v>
      </c>
      <c r="E22" s="91" t="str">
        <f>VLOOKUP(B22,Team!$B$4:$E$183,4,FALSE)</f>
        <v>HH</v>
      </c>
      <c r="F22" s="92">
        <f>Weekly!S14</f>
        <v>0.35416666666666602</v>
      </c>
      <c r="G22" s="92">
        <f>Weekly!T14</f>
        <v>0.624999999999999</v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>HH</v>
      </c>
      <c r="O22" s="84" t="str">
        <f t="shared" si="12"/>
        <v>HH</v>
      </c>
      <c r="P22" s="82" t="str">
        <f t="shared" si="13"/>
        <v>HH</v>
      </c>
      <c r="Q22" s="48" t="str">
        <f t="shared" si="14"/>
        <v>HH</v>
      </c>
      <c r="R22" s="48" t="str">
        <f t="shared" si="15"/>
        <v>HH</v>
      </c>
      <c r="S22" s="84" t="str">
        <f t="shared" si="16"/>
        <v>HH</v>
      </c>
      <c r="T22" s="82" t="str">
        <f t="shared" si="17"/>
        <v>HH</v>
      </c>
      <c r="U22" s="48" t="str">
        <f t="shared" si="18"/>
        <v>HH</v>
      </c>
      <c r="V22" s="48" t="str">
        <f t="shared" si="19"/>
        <v>HH</v>
      </c>
      <c r="W22" s="84" t="str">
        <f t="shared" si="20"/>
        <v>HH</v>
      </c>
      <c r="X22" s="82" t="str">
        <f t="shared" si="21"/>
        <v>HH</v>
      </c>
      <c r="Y22" s="48" t="str">
        <f t="shared" si="22"/>
        <v>HH</v>
      </c>
      <c r="Z22" s="48" t="str">
        <f t="shared" si="23"/>
        <v>HH</v>
      </c>
      <c r="AA22" s="84" t="str">
        <f t="shared" si="24"/>
        <v>HH</v>
      </c>
      <c r="AB22" s="82" t="str">
        <f t="shared" si="25"/>
        <v>HH</v>
      </c>
      <c r="AC22" s="48" t="str">
        <f t="shared" si="26"/>
        <v>HH</v>
      </c>
      <c r="AD22" s="48" t="str">
        <f t="shared" si="27"/>
        <v>HH</v>
      </c>
      <c r="AE22" s="84" t="str">
        <f t="shared" si="28"/>
        <v>HH</v>
      </c>
      <c r="AF22" s="82" t="str">
        <f t="shared" si="29"/>
        <v>HH</v>
      </c>
      <c r="AG22" s="48" t="str">
        <f t="shared" si="30"/>
        <v>HH</v>
      </c>
      <c r="AH22" s="48" t="str">
        <f t="shared" si="31"/>
        <v>HH</v>
      </c>
      <c r="AI22" s="84" t="str">
        <f t="shared" si="32"/>
        <v>HH</v>
      </c>
      <c r="AJ22" s="82" t="str">
        <f t="shared" si="33"/>
        <v>HH</v>
      </c>
      <c r="AK22" s="48" t="str">
        <f t="shared" si="34"/>
        <v>HH</v>
      </c>
      <c r="AL22" s="48" t="str">
        <f t="shared" si="35"/>
        <v>HH</v>
      </c>
      <c r="AM22" s="84" t="str">
        <f t="shared" si="36"/>
        <v>HH</v>
      </c>
      <c r="AN22" s="82" t="str">
        <f t="shared" si="37"/>
        <v/>
      </c>
      <c r="AO22" s="48" t="str">
        <f t="shared" si="38"/>
        <v/>
      </c>
      <c r="AP22" s="48" t="str">
        <f t="shared" si="39"/>
        <v/>
      </c>
      <c r="AQ22" s="84" t="str">
        <f t="shared" si="40"/>
        <v/>
      </c>
      <c r="AR22" s="82" t="str">
        <f t="shared" si="41"/>
        <v/>
      </c>
      <c r="AS22" s="48" t="str">
        <f t="shared" si="42"/>
        <v/>
      </c>
      <c r="AT22" s="48" t="str">
        <f t="shared" si="43"/>
        <v/>
      </c>
      <c r="AU22" s="84" t="str">
        <f t="shared" si="44"/>
        <v/>
      </c>
      <c r="AV22" s="82" t="str">
        <f t="shared" si="45"/>
        <v/>
      </c>
      <c r="AW22" s="48" t="str">
        <f t="shared" si="46"/>
        <v/>
      </c>
      <c r="AX22" s="48" t="str">
        <f t="shared" si="47"/>
        <v/>
      </c>
      <c r="AY22" s="84" t="str">
        <f t="shared" si="48"/>
        <v/>
      </c>
      <c r="AZ22" s="82" t="str">
        <f t="shared" si="49"/>
        <v/>
      </c>
      <c r="BA22" s="48" t="str">
        <f t="shared" si="50"/>
        <v/>
      </c>
      <c r="BB22" s="48" t="str">
        <f t="shared" si="51"/>
        <v/>
      </c>
      <c r="BC22" s="84" t="str">
        <f t="shared" si="52"/>
        <v/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>
      <c r="B23" s="81" t="str">
        <f>Weekly!B15</f>
        <v>01514</v>
      </c>
      <c r="C23" s="90" t="str">
        <f>Weekly!C15</f>
        <v>Chloe</v>
      </c>
      <c r="D23" s="90" t="str">
        <f>Weekly!D22</f>
        <v>Blackburn</v>
      </c>
      <c r="E23" s="91" t="str">
        <f>VLOOKUP(B23,Team!$B$4:$E$183,4,FALSE)</f>
        <v>SPV</v>
      </c>
      <c r="F23" s="92" t="str">
        <f>Weekly!S15</f>
        <v/>
      </c>
      <c r="G23" s="92" t="str">
        <f>Weekly!T15</f>
        <v/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/>
      </c>
      <c r="O23" s="84" t="str">
        <f t="shared" si="12"/>
        <v/>
      </c>
      <c r="P23" s="82" t="str">
        <f t="shared" si="13"/>
        <v/>
      </c>
      <c r="Q23" s="48" t="str">
        <f t="shared" si="14"/>
        <v/>
      </c>
      <c r="R23" s="48" t="str">
        <f t="shared" si="15"/>
        <v/>
      </c>
      <c r="S23" s="84" t="str">
        <f t="shared" si="16"/>
        <v/>
      </c>
      <c r="T23" s="82" t="str">
        <f t="shared" si="17"/>
        <v/>
      </c>
      <c r="U23" s="48" t="str">
        <f t="shared" si="18"/>
        <v/>
      </c>
      <c r="V23" s="48" t="str">
        <f t="shared" si="19"/>
        <v/>
      </c>
      <c r="W23" s="84" t="str">
        <f t="shared" si="20"/>
        <v/>
      </c>
      <c r="X23" s="82" t="str">
        <f t="shared" si="21"/>
        <v/>
      </c>
      <c r="Y23" s="48" t="str">
        <f t="shared" si="22"/>
        <v/>
      </c>
      <c r="Z23" s="48" t="str">
        <f t="shared" si="23"/>
        <v/>
      </c>
      <c r="AA23" s="84" t="str">
        <f t="shared" si="24"/>
        <v/>
      </c>
      <c r="AB23" s="82" t="str">
        <f t="shared" si="25"/>
        <v/>
      </c>
      <c r="AC23" s="48" t="str">
        <f t="shared" si="26"/>
        <v/>
      </c>
      <c r="AD23" s="48" t="str">
        <f t="shared" si="27"/>
        <v/>
      </c>
      <c r="AE23" s="84" t="str">
        <f t="shared" si="28"/>
        <v/>
      </c>
      <c r="AF23" s="82" t="str">
        <f t="shared" si="29"/>
        <v/>
      </c>
      <c r="AG23" s="48" t="str">
        <f t="shared" si="30"/>
        <v/>
      </c>
      <c r="AH23" s="48" t="str">
        <f t="shared" si="31"/>
        <v/>
      </c>
      <c r="AI23" s="84" t="str">
        <f t="shared" si="32"/>
        <v/>
      </c>
      <c r="AJ23" s="82" t="str">
        <f t="shared" si="33"/>
        <v/>
      </c>
      <c r="AK23" s="48" t="str">
        <f t="shared" si="34"/>
        <v/>
      </c>
      <c r="AL23" s="48" t="str">
        <f t="shared" si="35"/>
        <v/>
      </c>
      <c r="AM23" s="84" t="str">
        <f t="shared" si="36"/>
        <v/>
      </c>
      <c r="AN23" s="82" t="str">
        <f t="shared" si="37"/>
        <v/>
      </c>
      <c r="AO23" s="48" t="str">
        <f t="shared" si="38"/>
        <v/>
      </c>
      <c r="AP23" s="48" t="str">
        <f t="shared" si="39"/>
        <v/>
      </c>
      <c r="AQ23" s="84" t="str">
        <f t="shared" si="40"/>
        <v/>
      </c>
      <c r="AR23" s="82" t="str">
        <f t="shared" si="41"/>
        <v/>
      </c>
      <c r="AS23" s="48" t="str">
        <f t="shared" si="42"/>
        <v/>
      </c>
      <c r="AT23" s="48" t="str">
        <f t="shared" si="43"/>
        <v/>
      </c>
      <c r="AU23" s="84" t="str">
        <f t="shared" si="44"/>
        <v/>
      </c>
      <c r="AV23" s="82" t="str">
        <f t="shared" si="45"/>
        <v/>
      </c>
      <c r="AW23" s="48" t="str">
        <f t="shared" si="46"/>
        <v/>
      </c>
      <c r="AX23" s="48" t="str">
        <f t="shared" si="47"/>
        <v/>
      </c>
      <c r="AY23" s="84" t="str">
        <f t="shared" si="48"/>
        <v/>
      </c>
      <c r="AZ23" s="82" t="str">
        <f t="shared" si="49"/>
        <v/>
      </c>
      <c r="BA23" s="48" t="str">
        <f t="shared" si="50"/>
        <v/>
      </c>
      <c r="BB23" s="48" t="str">
        <f t="shared" si="51"/>
        <v/>
      </c>
      <c r="BC23" s="84" t="str">
        <f t="shared" si="52"/>
        <v/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>
      <c r="B24" s="81" t="str">
        <f>Weekly!B16</f>
        <v>660</v>
      </c>
      <c r="C24" s="90" t="str">
        <f>Weekly!C16</f>
        <v>Daniel</v>
      </c>
      <c r="D24" s="90" t="str">
        <f>Weekly!D23</f>
        <v>Deng</v>
      </c>
      <c r="E24" s="91" t="str">
        <f>VLOOKUP(B24,Team!$B$4:$E$183,4,FALSE)</f>
        <v>HH</v>
      </c>
      <c r="F24" s="92" t="str">
        <f>Weekly!S16</f>
        <v/>
      </c>
      <c r="G24" s="92" t="str">
        <f>Weekly!T16</f>
        <v/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/>
      </c>
      <c r="AC24" s="48" t="str">
        <f t="shared" si="26"/>
        <v/>
      </c>
      <c r="AD24" s="48" t="str">
        <f t="shared" si="27"/>
        <v/>
      </c>
      <c r="AE24" s="84" t="str">
        <f t="shared" si="28"/>
        <v/>
      </c>
      <c r="AF24" s="82" t="str">
        <f t="shared" si="29"/>
        <v/>
      </c>
      <c r="AG24" s="48" t="str">
        <f t="shared" si="30"/>
        <v/>
      </c>
      <c r="AH24" s="48" t="str">
        <f t="shared" si="31"/>
        <v/>
      </c>
      <c r="AI24" s="84" t="str">
        <f t="shared" si="32"/>
        <v/>
      </c>
      <c r="AJ24" s="82" t="str">
        <f t="shared" si="33"/>
        <v/>
      </c>
      <c r="AK24" s="48" t="str">
        <f t="shared" si="34"/>
        <v/>
      </c>
      <c r="AL24" s="48" t="str">
        <f t="shared" si="35"/>
        <v/>
      </c>
      <c r="AM24" s="84" t="str">
        <f t="shared" si="36"/>
        <v/>
      </c>
      <c r="AN24" s="82" t="str">
        <f t="shared" si="37"/>
        <v/>
      </c>
      <c r="AO24" s="48" t="str">
        <f t="shared" si="38"/>
        <v/>
      </c>
      <c r="AP24" s="48" t="str">
        <f t="shared" si="39"/>
        <v/>
      </c>
      <c r="AQ24" s="84" t="str">
        <f t="shared" si="40"/>
        <v/>
      </c>
      <c r="AR24" s="82" t="str">
        <f t="shared" si="41"/>
        <v/>
      </c>
      <c r="AS24" s="48" t="str">
        <f t="shared" si="42"/>
        <v/>
      </c>
      <c r="AT24" s="48" t="str">
        <f t="shared" si="43"/>
        <v/>
      </c>
      <c r="AU24" s="84" t="str">
        <f t="shared" si="44"/>
        <v/>
      </c>
      <c r="AV24" s="82" t="str">
        <f t="shared" si="45"/>
        <v/>
      </c>
      <c r="AW24" s="48" t="str">
        <f t="shared" si="46"/>
        <v/>
      </c>
      <c r="AX24" s="48" t="str">
        <f t="shared" si="47"/>
        <v/>
      </c>
      <c r="AY24" s="84" t="str">
        <f t="shared" si="48"/>
        <v/>
      </c>
      <c r="AZ24" s="82" t="str">
        <f t="shared" si="49"/>
        <v/>
      </c>
      <c r="BA24" s="48" t="str">
        <f t="shared" si="50"/>
        <v/>
      </c>
      <c r="BB24" s="48" t="str">
        <f t="shared" si="51"/>
        <v/>
      </c>
      <c r="BC24" s="84" t="str">
        <f t="shared" si="52"/>
        <v/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>
      <c r="B25" s="81" t="str">
        <f>Weekly!B17</f>
        <v>1275</v>
      </c>
      <c r="C25" s="90" t="str">
        <f>Weekly!C17</f>
        <v>Da-yeon</v>
      </c>
      <c r="D25" s="90" t="str">
        <f>Weekly!D24</f>
        <v>Hwa</v>
      </c>
      <c r="E25" s="91" t="str">
        <f>VLOOKUP(B25,Team!$B$4:$E$183,4,FALSE)</f>
        <v>HH</v>
      </c>
      <c r="F25" s="92" t="str">
        <f>Weekly!S17</f>
        <v/>
      </c>
      <c r="G25" s="92" t="str">
        <f>Weekly!T17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>
      <c r="B26" s="81" t="str">
        <f>Weekly!B18</f>
        <v>1258</v>
      </c>
      <c r="C26" s="90" t="str">
        <f>Weekly!C18</f>
        <v>Dennis</v>
      </c>
      <c r="D26" s="90" t="str">
        <f>Weekly!D25</f>
        <v>Abad</v>
      </c>
      <c r="E26" s="91" t="str">
        <f>VLOOKUP(B26,Team!$B$4:$E$183,4,FALSE)</f>
        <v>Stat.</v>
      </c>
      <c r="F26" s="92" t="str">
        <f>Weekly!S18</f>
        <v/>
      </c>
      <c r="G26" s="92" t="str">
        <f>Weekly!T18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>
      <c r="B27" s="81" t="str">
        <f>Weekly!B19</f>
        <v>1131</v>
      </c>
      <c r="C27" s="90" t="str">
        <f>Weekly!C19</f>
        <v>Doris</v>
      </c>
      <c r="D27" s="90" t="str">
        <f>Weekly!D26</f>
        <v>Lee</v>
      </c>
      <c r="E27" s="91" t="str">
        <f>VLOOKUP(B27,Team!$B$4:$E$183,4,FALSE)</f>
        <v>L's</v>
      </c>
      <c r="F27" s="92" t="str">
        <f>Weekly!S19</f>
        <v/>
      </c>
      <c r="G27" s="92" t="str">
        <f>Weekly!T19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>
      <c r="B28" s="81" t="str">
        <f>Weekly!B20</f>
        <v>01601</v>
      </c>
      <c r="C28" s="90" t="str">
        <f>Weekly!C20</f>
        <v>Dorothy</v>
      </c>
      <c r="D28" s="90" t="str">
        <f>Weekly!D27</f>
        <v>Viernes</v>
      </c>
      <c r="E28" s="91" t="str">
        <f>VLOOKUP(B28,Team!$B$4:$E$183,4,FALSE)</f>
        <v>M's</v>
      </c>
      <c r="F28" s="92" t="str">
        <f>Weekly!S20</f>
        <v/>
      </c>
      <c r="G28" s="92" t="str">
        <f>Weekly!T20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>
      <c r="B29" s="81" t="str">
        <f>Weekly!B21</f>
        <v>01506</v>
      </c>
      <c r="C29" s="90" t="str">
        <f>Weekly!C21</f>
        <v>Duke</v>
      </c>
      <c r="D29" s="90" t="str">
        <f>Weekly!D28</f>
        <v>Hui</v>
      </c>
      <c r="E29" s="91" t="str">
        <f>VLOOKUP(B29,Team!$B$4:$E$183,4,FALSE)</f>
        <v>HH</v>
      </c>
      <c r="F29" s="92" t="str">
        <f>Weekly!S21</f>
        <v/>
      </c>
      <c r="G29" s="92" t="str">
        <f>Weekly!T21</f>
        <v/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/>
      </c>
      <c r="Y29" s="48" t="str">
        <f t="shared" si="22"/>
        <v/>
      </c>
      <c r="Z29" s="48" t="str">
        <f t="shared" si="23"/>
        <v/>
      </c>
      <c r="AA29" s="84" t="str">
        <f t="shared" si="24"/>
        <v/>
      </c>
      <c r="AB29" s="82" t="str">
        <f t="shared" si="25"/>
        <v/>
      </c>
      <c r="AC29" s="48" t="str">
        <f t="shared" si="26"/>
        <v/>
      </c>
      <c r="AD29" s="48" t="str">
        <f t="shared" si="27"/>
        <v/>
      </c>
      <c r="AE29" s="84" t="str">
        <f t="shared" si="28"/>
        <v/>
      </c>
      <c r="AF29" s="82" t="str">
        <f t="shared" si="29"/>
        <v/>
      </c>
      <c r="AG29" s="48" t="str">
        <f t="shared" si="30"/>
        <v/>
      </c>
      <c r="AH29" s="48" t="str">
        <f t="shared" si="31"/>
        <v/>
      </c>
      <c r="AI29" s="84" t="str">
        <f t="shared" si="32"/>
        <v/>
      </c>
      <c r="AJ29" s="82" t="str">
        <f t="shared" si="33"/>
        <v/>
      </c>
      <c r="AK29" s="48" t="str">
        <f t="shared" si="34"/>
        <v/>
      </c>
      <c r="AL29" s="48" t="str">
        <f t="shared" si="35"/>
        <v/>
      </c>
      <c r="AM29" s="84" t="str">
        <f t="shared" si="36"/>
        <v/>
      </c>
      <c r="AN29" s="82" t="str">
        <f t="shared" si="37"/>
        <v/>
      </c>
      <c r="AO29" s="48" t="str">
        <f t="shared" si="38"/>
        <v/>
      </c>
      <c r="AP29" s="48" t="str">
        <f t="shared" si="39"/>
        <v/>
      </c>
      <c r="AQ29" s="84" t="str">
        <f t="shared" si="40"/>
        <v/>
      </c>
      <c r="AR29" s="82" t="str">
        <f t="shared" si="41"/>
        <v/>
      </c>
      <c r="AS29" s="48" t="str">
        <f t="shared" si="42"/>
        <v/>
      </c>
      <c r="AT29" s="48" t="str">
        <f t="shared" si="43"/>
        <v/>
      </c>
      <c r="AU29" s="84" t="str">
        <f t="shared" si="44"/>
        <v/>
      </c>
      <c r="AV29" s="82" t="str">
        <f t="shared" si="45"/>
        <v/>
      </c>
      <c r="AW29" s="48" t="str">
        <f t="shared" si="46"/>
        <v/>
      </c>
      <c r="AX29" s="48" t="str">
        <f t="shared" si="47"/>
        <v/>
      </c>
      <c r="AY29" s="84" t="str">
        <f t="shared" si="48"/>
        <v/>
      </c>
      <c r="AZ29" s="82" t="str">
        <f t="shared" si="49"/>
        <v/>
      </c>
      <c r="BA29" s="48" t="str">
        <f t="shared" si="50"/>
        <v/>
      </c>
      <c r="BB29" s="48" t="str">
        <f t="shared" si="51"/>
        <v/>
      </c>
      <c r="BC29" s="84" t="str">
        <f t="shared" si="52"/>
        <v/>
      </c>
      <c r="BD29" s="82" t="str">
        <f t="shared" si="53"/>
        <v/>
      </c>
      <c r="BE29" s="48" t="str">
        <f t="shared" si="54"/>
        <v/>
      </c>
      <c r="BF29" s="48" t="str">
        <f t="shared" si="55"/>
        <v/>
      </c>
      <c r="BG29" s="84" t="str">
        <f t="shared" si="56"/>
        <v/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>
      <c r="B30" s="81" t="str">
        <f>Weekly!B22</f>
        <v>01526</v>
      </c>
      <c r="C30" s="90" t="str">
        <f>Weekly!C22</f>
        <v>Emma</v>
      </c>
      <c r="D30" s="90" t="str">
        <f>Weekly!D29</f>
        <v>Rao</v>
      </c>
      <c r="E30" s="91" t="str">
        <f>VLOOKUP(B30,Team!$B$4:$E$183,4,FALSE)</f>
        <v>L's</v>
      </c>
      <c r="F30" s="92" t="str">
        <f>Weekly!S22</f>
        <v/>
      </c>
      <c r="G30" s="92" t="str">
        <f>Weekly!T22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/>
      </c>
      <c r="AK30" s="48" t="str">
        <f t="shared" si="34"/>
        <v/>
      </c>
      <c r="AL30" s="48" t="str">
        <f t="shared" si="35"/>
        <v/>
      </c>
      <c r="AM30" s="84" t="str">
        <f t="shared" si="36"/>
        <v/>
      </c>
      <c r="AN30" s="82" t="str">
        <f t="shared" si="37"/>
        <v/>
      </c>
      <c r="AO30" s="48" t="str">
        <f t="shared" si="38"/>
        <v/>
      </c>
      <c r="AP30" s="48" t="str">
        <f t="shared" si="39"/>
        <v/>
      </c>
      <c r="AQ30" s="84" t="str">
        <f t="shared" si="40"/>
        <v/>
      </c>
      <c r="AR30" s="82" t="str">
        <f t="shared" si="41"/>
        <v/>
      </c>
      <c r="AS30" s="48" t="str">
        <f t="shared" si="42"/>
        <v/>
      </c>
      <c r="AT30" s="48" t="str">
        <f t="shared" si="43"/>
        <v/>
      </c>
      <c r="AU30" s="84" t="str">
        <f t="shared" si="44"/>
        <v/>
      </c>
      <c r="AV30" s="82" t="str">
        <f t="shared" si="45"/>
        <v/>
      </c>
      <c r="AW30" s="48" t="str">
        <f t="shared" si="46"/>
        <v/>
      </c>
      <c r="AX30" s="48" t="str">
        <f t="shared" si="47"/>
        <v/>
      </c>
      <c r="AY30" s="84" t="str">
        <f t="shared" si="48"/>
        <v/>
      </c>
      <c r="AZ30" s="82" t="str">
        <f t="shared" si="49"/>
        <v/>
      </c>
      <c r="BA30" s="48" t="str">
        <f t="shared" si="50"/>
        <v/>
      </c>
      <c r="BB30" s="48" t="str">
        <f t="shared" si="51"/>
        <v/>
      </c>
      <c r="BC30" s="84" t="str">
        <f t="shared" si="52"/>
        <v/>
      </c>
      <c r="BD30" s="82" t="str">
        <f t="shared" si="53"/>
        <v/>
      </c>
      <c r="BE30" s="48" t="str">
        <f t="shared" si="54"/>
        <v/>
      </c>
      <c r="BF30" s="48" t="str">
        <f t="shared" si="55"/>
        <v/>
      </c>
      <c r="BG30" s="84" t="str">
        <f t="shared" si="56"/>
        <v/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>
      <c r="B31" s="81" t="str">
        <f>Weekly!B23</f>
        <v>1025</v>
      </c>
      <c r="C31" s="90" t="str">
        <f>Weekly!C23</f>
        <v>Eunice</v>
      </c>
      <c r="D31" s="90" t="str">
        <f>Weekly!D30</f>
        <v>Zhang</v>
      </c>
      <c r="E31" s="91" t="str">
        <f>VLOOKUP(B31,Team!$B$4:$E$183,4,FALSE)</f>
        <v>L's</v>
      </c>
      <c r="F31" s="92" t="str">
        <f>Weekly!S23</f>
        <v/>
      </c>
      <c r="G31" s="92" t="str">
        <f>Weekly!T23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>
      <c r="B32" s="81" t="str">
        <f>Weekly!B24</f>
        <v>670</v>
      </c>
      <c r="C32" s="90" t="str">
        <f>Weekly!C24</f>
        <v>Fern</v>
      </c>
      <c r="D32" s="90" t="str">
        <f>Weekly!D31</f>
        <v>Yabut</v>
      </c>
      <c r="E32" s="91" t="str">
        <f>VLOOKUP(B32,Team!$B$4:$E$183,4,FALSE)</f>
        <v>SM</v>
      </c>
      <c r="F32" s="92" t="str">
        <f>Weekly!S24</f>
        <v/>
      </c>
      <c r="G32" s="92" t="str">
        <f>Weekly!T24</f>
        <v/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/>
      </c>
      <c r="AC32" s="48" t="str">
        <f t="shared" si="26"/>
        <v/>
      </c>
      <c r="AD32" s="48" t="str">
        <f t="shared" si="27"/>
        <v/>
      </c>
      <c r="AE32" s="84" t="str">
        <f t="shared" si="28"/>
        <v/>
      </c>
      <c r="AF32" s="82" t="str">
        <f t="shared" si="29"/>
        <v/>
      </c>
      <c r="AG32" s="48" t="str">
        <f t="shared" si="30"/>
        <v/>
      </c>
      <c r="AH32" s="48" t="str">
        <f t="shared" si="31"/>
        <v/>
      </c>
      <c r="AI32" s="84" t="str">
        <f t="shared" si="32"/>
        <v/>
      </c>
      <c r="AJ32" s="82" t="str">
        <f t="shared" si="33"/>
        <v/>
      </c>
      <c r="AK32" s="48" t="str">
        <f t="shared" si="34"/>
        <v/>
      </c>
      <c r="AL32" s="48" t="str">
        <f t="shared" si="35"/>
        <v/>
      </c>
      <c r="AM32" s="84" t="str">
        <f t="shared" si="36"/>
        <v/>
      </c>
      <c r="AN32" s="82" t="str">
        <f t="shared" si="37"/>
        <v/>
      </c>
      <c r="AO32" s="48" t="str">
        <f t="shared" si="38"/>
        <v/>
      </c>
      <c r="AP32" s="48" t="str">
        <f t="shared" si="39"/>
        <v/>
      </c>
      <c r="AQ32" s="84" t="str">
        <f t="shared" si="40"/>
        <v/>
      </c>
      <c r="AR32" s="82" t="str">
        <f t="shared" si="41"/>
        <v/>
      </c>
      <c r="AS32" s="48" t="str">
        <f t="shared" si="42"/>
        <v/>
      </c>
      <c r="AT32" s="48" t="str">
        <f t="shared" si="43"/>
        <v/>
      </c>
      <c r="AU32" s="84" t="str">
        <f t="shared" si="44"/>
        <v/>
      </c>
      <c r="AV32" s="82" t="str">
        <f t="shared" si="45"/>
        <v/>
      </c>
      <c r="AW32" s="48" t="str">
        <f t="shared" si="46"/>
        <v/>
      </c>
      <c r="AX32" s="48" t="str">
        <f t="shared" si="47"/>
        <v/>
      </c>
      <c r="AY32" s="84" t="str">
        <f t="shared" si="48"/>
        <v/>
      </c>
      <c r="AZ32" s="82" t="str">
        <f t="shared" si="49"/>
        <v/>
      </c>
      <c r="BA32" s="48" t="str">
        <f t="shared" si="50"/>
        <v/>
      </c>
      <c r="BB32" s="48" t="str">
        <f t="shared" si="51"/>
        <v/>
      </c>
      <c r="BC32" s="84" t="str">
        <f t="shared" si="52"/>
        <v/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>
      <c r="B33" s="81" t="str">
        <f>Weekly!B25</f>
        <v>01504</v>
      </c>
      <c r="C33" s="90" t="str">
        <f>Weekly!C25</f>
        <v>Hannah</v>
      </c>
      <c r="D33" s="90" t="str">
        <f>Weekly!D32</f>
        <v>Shue</v>
      </c>
      <c r="E33" s="91" t="str">
        <f>VLOOKUP(B33,Team!$B$4:$E$183,4,FALSE)</f>
        <v>L's</v>
      </c>
      <c r="F33" s="92">
        <f>Weekly!S25</f>
        <v>0.58333333333333304</v>
      </c>
      <c r="G33" s="92">
        <f>Weekly!T25</f>
        <v>0.79166666666666596</v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/>
      </c>
      <c r="AC33" s="48" t="str">
        <f t="shared" si="26"/>
        <v/>
      </c>
      <c r="AD33" s="48" t="str">
        <f t="shared" si="27"/>
        <v/>
      </c>
      <c r="AE33" s="84" t="str">
        <f t="shared" si="28"/>
        <v/>
      </c>
      <c r="AF33" s="82" t="str">
        <f t="shared" si="29"/>
        <v/>
      </c>
      <c r="AG33" s="48" t="str">
        <f t="shared" si="30"/>
        <v/>
      </c>
      <c r="AH33" s="48" t="str">
        <f t="shared" si="31"/>
        <v/>
      </c>
      <c r="AI33" s="84" t="str">
        <f t="shared" si="32"/>
        <v/>
      </c>
      <c r="AJ33" s="82" t="str">
        <f t="shared" si="33"/>
        <v>L's</v>
      </c>
      <c r="AK33" s="48" t="str">
        <f t="shared" si="34"/>
        <v>L's</v>
      </c>
      <c r="AL33" s="48" t="str">
        <f t="shared" si="35"/>
        <v>L's</v>
      </c>
      <c r="AM33" s="84" t="str">
        <f t="shared" si="36"/>
        <v>L's</v>
      </c>
      <c r="AN33" s="82" t="str">
        <f t="shared" si="37"/>
        <v>L's</v>
      </c>
      <c r="AO33" s="48" t="str">
        <f t="shared" si="38"/>
        <v>L's</v>
      </c>
      <c r="AP33" s="48" t="str">
        <f t="shared" si="39"/>
        <v>L's</v>
      </c>
      <c r="AQ33" s="84" t="str">
        <f t="shared" si="40"/>
        <v>L's</v>
      </c>
      <c r="AR33" s="82" t="str">
        <f t="shared" si="41"/>
        <v>L's</v>
      </c>
      <c r="AS33" s="48" t="str">
        <f t="shared" si="42"/>
        <v>L's</v>
      </c>
      <c r="AT33" s="48" t="str">
        <f t="shared" si="43"/>
        <v>L's</v>
      </c>
      <c r="AU33" s="84" t="str">
        <f t="shared" si="44"/>
        <v>L's</v>
      </c>
      <c r="AV33" s="82" t="str">
        <f t="shared" si="45"/>
        <v>L's</v>
      </c>
      <c r="AW33" s="48" t="str">
        <f t="shared" si="46"/>
        <v>L's</v>
      </c>
      <c r="AX33" s="48" t="str">
        <f t="shared" si="47"/>
        <v>L's</v>
      </c>
      <c r="AY33" s="84" t="str">
        <f t="shared" si="48"/>
        <v>L's</v>
      </c>
      <c r="AZ33" s="82" t="str">
        <f t="shared" si="49"/>
        <v>L's</v>
      </c>
      <c r="BA33" s="48" t="str">
        <f t="shared" si="50"/>
        <v>L's</v>
      </c>
      <c r="BB33" s="48" t="str">
        <f t="shared" si="51"/>
        <v>L's</v>
      </c>
      <c r="BC33" s="84" t="str">
        <f t="shared" si="52"/>
        <v>L's</v>
      </c>
      <c r="BD33" s="82" t="str">
        <f t="shared" si="53"/>
        <v/>
      </c>
      <c r="BE33" s="48" t="str">
        <f t="shared" si="54"/>
        <v/>
      </c>
      <c r="BF33" s="48" t="str">
        <f t="shared" si="55"/>
        <v/>
      </c>
      <c r="BG33" s="84" t="str">
        <f t="shared" si="56"/>
        <v/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>
      <c r="B34" s="81" t="str">
        <f>Weekly!B26</f>
        <v>01524</v>
      </c>
      <c r="C34" s="90" t="str">
        <f>Weekly!C26</f>
        <v>Isabelle</v>
      </c>
      <c r="D34" s="90" t="str">
        <f>Weekly!D33</f>
        <v>Lam</v>
      </c>
      <c r="E34" s="91" t="str">
        <f>VLOOKUP(B34,Team!$B$4:$E$183,4,FALSE)</f>
        <v>HH</v>
      </c>
      <c r="F34" s="92" t="str">
        <f>Weekly!S26</f>
        <v/>
      </c>
      <c r="G34" s="92" t="str">
        <f>Weekly!T26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>
      <c r="B35" s="81" t="str">
        <f>Weekly!B27</f>
        <v>1216</v>
      </c>
      <c r="C35" s="90" t="str">
        <f>Weekly!C27</f>
        <v>Janelle</v>
      </c>
      <c r="D35" s="90" t="str">
        <f>Weekly!D34</f>
        <v>Ko</v>
      </c>
      <c r="E35" s="91" t="str">
        <f>VLOOKUP(B35,Team!$B$4:$E$183,4,FALSE)</f>
        <v>M's</v>
      </c>
      <c r="F35" s="92" t="str">
        <f>Weekly!S27</f>
        <v/>
      </c>
      <c r="G35" s="92" t="str">
        <f>Weekly!T27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>
      <c r="B36" s="81" t="str">
        <f>Weekly!B28</f>
        <v>1228</v>
      </c>
      <c r="C36" s="90" t="str">
        <f>Weekly!C28</f>
        <v>Jared</v>
      </c>
      <c r="D36" s="90" t="str">
        <f>Weekly!D35</f>
        <v>Luong</v>
      </c>
      <c r="E36" s="91" t="str">
        <f>VLOOKUP(B36,Team!$B$4:$E$183,4,FALSE)</f>
        <v>HH</v>
      </c>
      <c r="F36" s="92" t="str">
        <f>Weekly!S28</f>
        <v/>
      </c>
      <c r="G36" s="92" t="str">
        <f>Weekly!T28</f>
        <v/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/>
      </c>
      <c r="Q36" s="48" t="str">
        <f t="shared" si="14"/>
        <v/>
      </c>
      <c r="R36" s="48" t="str">
        <f t="shared" si="15"/>
        <v/>
      </c>
      <c r="S36" s="84" t="str">
        <f t="shared" si="16"/>
        <v/>
      </c>
      <c r="T36" s="82" t="str">
        <f t="shared" si="17"/>
        <v/>
      </c>
      <c r="U36" s="48" t="str">
        <f t="shared" si="18"/>
        <v/>
      </c>
      <c r="V36" s="48" t="str">
        <f t="shared" si="19"/>
        <v/>
      </c>
      <c r="W36" s="84" t="str">
        <f t="shared" si="20"/>
        <v/>
      </c>
      <c r="X36" s="82" t="str">
        <f t="shared" si="21"/>
        <v/>
      </c>
      <c r="Y36" s="48" t="str">
        <f t="shared" si="22"/>
        <v/>
      </c>
      <c r="Z36" s="48" t="str">
        <f t="shared" si="23"/>
        <v/>
      </c>
      <c r="AA36" s="84" t="str">
        <f t="shared" si="24"/>
        <v/>
      </c>
      <c r="AB36" s="82" t="str">
        <f t="shared" si="25"/>
        <v/>
      </c>
      <c r="AC36" s="48" t="str">
        <f t="shared" si="26"/>
        <v/>
      </c>
      <c r="AD36" s="48" t="str">
        <f t="shared" si="27"/>
        <v/>
      </c>
      <c r="AE36" s="84" t="str">
        <f t="shared" si="28"/>
        <v/>
      </c>
      <c r="AF36" s="82" t="str">
        <f t="shared" si="29"/>
        <v/>
      </c>
      <c r="AG36" s="48" t="str">
        <f t="shared" si="30"/>
        <v/>
      </c>
      <c r="AH36" s="48" t="str">
        <f t="shared" si="31"/>
        <v/>
      </c>
      <c r="AI36" s="84" t="str">
        <f t="shared" si="32"/>
        <v/>
      </c>
      <c r="AJ36" s="82" t="str">
        <f t="shared" si="33"/>
        <v/>
      </c>
      <c r="AK36" s="48" t="str">
        <f t="shared" si="34"/>
        <v/>
      </c>
      <c r="AL36" s="48" t="str">
        <f t="shared" si="35"/>
        <v/>
      </c>
      <c r="AM36" s="84" t="str">
        <f t="shared" si="36"/>
        <v/>
      </c>
      <c r="AN36" s="82" t="str">
        <f t="shared" si="37"/>
        <v/>
      </c>
      <c r="AO36" s="48" t="str">
        <f t="shared" si="38"/>
        <v/>
      </c>
      <c r="AP36" s="48" t="str">
        <f t="shared" si="39"/>
        <v/>
      </c>
      <c r="AQ36" s="84" t="str">
        <f t="shared" si="40"/>
        <v/>
      </c>
      <c r="AR36" s="82" t="str">
        <f t="shared" si="41"/>
        <v/>
      </c>
      <c r="AS36" s="48" t="str">
        <f t="shared" si="42"/>
        <v/>
      </c>
      <c r="AT36" s="48" t="str">
        <f t="shared" si="43"/>
        <v/>
      </c>
      <c r="AU36" s="84" t="str">
        <f t="shared" si="44"/>
        <v/>
      </c>
      <c r="AV36" s="82" t="str">
        <f t="shared" si="45"/>
        <v/>
      </c>
      <c r="AW36" s="48" t="str">
        <f t="shared" si="46"/>
        <v/>
      </c>
      <c r="AX36" s="48" t="str">
        <f t="shared" si="47"/>
        <v/>
      </c>
      <c r="AY36" s="84" t="str">
        <f t="shared" si="48"/>
        <v/>
      </c>
      <c r="AZ36" s="82" t="str">
        <f t="shared" si="49"/>
        <v/>
      </c>
      <c r="BA36" s="48" t="str">
        <f t="shared" si="50"/>
        <v/>
      </c>
      <c r="BB36" s="48" t="str">
        <f t="shared" si="51"/>
        <v/>
      </c>
      <c r="BC36" s="84" t="str">
        <f t="shared" si="52"/>
        <v/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>
      <c r="B37" s="81" t="str">
        <f>Weekly!B29</f>
        <v>1196</v>
      </c>
      <c r="C37" s="90" t="str">
        <f>Weekly!C29</f>
        <v>Jessica</v>
      </c>
      <c r="D37" s="90" t="str">
        <f>Weekly!D36</f>
        <v>Sy</v>
      </c>
      <c r="E37" s="91" t="str">
        <f>VLOOKUP(B37,Team!$B$4:$E$183,4,FALSE)</f>
        <v>SPV</v>
      </c>
      <c r="F37" s="92">
        <f>Weekly!S29</f>
        <v>0.45833333333333298</v>
      </c>
      <c r="G37" s="92">
        <f>Weekly!T29</f>
        <v>0.79166666666666596</v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>SPV</v>
      </c>
      <c r="Y37" s="48" t="str">
        <f t="shared" si="22"/>
        <v>SPV</v>
      </c>
      <c r="Z37" s="48" t="str">
        <f t="shared" si="23"/>
        <v>SPV</v>
      </c>
      <c r="AA37" s="84" t="str">
        <f t="shared" si="24"/>
        <v>SPV</v>
      </c>
      <c r="AB37" s="82" t="str">
        <f t="shared" si="25"/>
        <v>SPV</v>
      </c>
      <c r="AC37" s="48" t="str">
        <f t="shared" si="26"/>
        <v>SPV</v>
      </c>
      <c r="AD37" s="48" t="str">
        <f t="shared" si="27"/>
        <v>SPV</v>
      </c>
      <c r="AE37" s="84" t="str">
        <f t="shared" si="28"/>
        <v>SPV</v>
      </c>
      <c r="AF37" s="82" t="str">
        <f t="shared" si="29"/>
        <v>SPV</v>
      </c>
      <c r="AG37" s="48" t="str">
        <f t="shared" si="30"/>
        <v>SPV</v>
      </c>
      <c r="AH37" s="48" t="str">
        <f t="shared" si="31"/>
        <v>SPV</v>
      </c>
      <c r="AI37" s="84" t="str">
        <f t="shared" si="32"/>
        <v>SPV</v>
      </c>
      <c r="AJ37" s="82" t="str">
        <f t="shared" si="33"/>
        <v>SPV</v>
      </c>
      <c r="AK37" s="48" t="str">
        <f t="shared" si="34"/>
        <v>SPV</v>
      </c>
      <c r="AL37" s="48" t="str">
        <f t="shared" si="35"/>
        <v>SPV</v>
      </c>
      <c r="AM37" s="84" t="str">
        <f t="shared" si="36"/>
        <v>SPV</v>
      </c>
      <c r="AN37" s="82" t="str">
        <f t="shared" si="37"/>
        <v>SPV</v>
      </c>
      <c r="AO37" s="48" t="str">
        <f t="shared" si="38"/>
        <v>SPV</v>
      </c>
      <c r="AP37" s="48" t="str">
        <f t="shared" si="39"/>
        <v>SPV</v>
      </c>
      <c r="AQ37" s="84" t="str">
        <f t="shared" si="40"/>
        <v>SPV</v>
      </c>
      <c r="AR37" s="82" t="str">
        <f t="shared" si="41"/>
        <v>SPV</v>
      </c>
      <c r="AS37" s="48" t="str">
        <f t="shared" si="42"/>
        <v>SPV</v>
      </c>
      <c r="AT37" s="48" t="str">
        <f t="shared" si="43"/>
        <v>SPV</v>
      </c>
      <c r="AU37" s="84" t="str">
        <f t="shared" si="44"/>
        <v>SPV</v>
      </c>
      <c r="AV37" s="82" t="str">
        <f t="shared" si="45"/>
        <v>SPV</v>
      </c>
      <c r="AW37" s="48" t="str">
        <f t="shared" si="46"/>
        <v>SPV</v>
      </c>
      <c r="AX37" s="48" t="str">
        <f t="shared" si="47"/>
        <v>SPV</v>
      </c>
      <c r="AY37" s="84" t="str">
        <f t="shared" si="48"/>
        <v>SPV</v>
      </c>
      <c r="AZ37" s="82" t="str">
        <f t="shared" si="49"/>
        <v>SPV</v>
      </c>
      <c r="BA37" s="48" t="str">
        <f t="shared" si="50"/>
        <v>SPV</v>
      </c>
      <c r="BB37" s="48" t="str">
        <f t="shared" si="51"/>
        <v>SPV</v>
      </c>
      <c r="BC37" s="84" t="str">
        <f t="shared" si="52"/>
        <v>SPV</v>
      </c>
      <c r="BD37" s="82" t="str">
        <f t="shared" si="53"/>
        <v/>
      </c>
      <c r="BE37" s="48" t="str">
        <f t="shared" si="54"/>
        <v/>
      </c>
      <c r="BF37" s="48" t="str">
        <f t="shared" si="55"/>
        <v/>
      </c>
      <c r="BG37" s="84" t="str">
        <f t="shared" si="56"/>
        <v/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>
      <c r="B38" s="81" t="str">
        <f>Weekly!B30</f>
        <v>01520</v>
      </c>
      <c r="C38" s="90" t="str">
        <f>Weekly!C30</f>
        <v>Jessie</v>
      </c>
      <c r="D38" s="90" t="str">
        <f>Weekly!D37</f>
        <v>Htun</v>
      </c>
      <c r="E38" s="91" t="str">
        <f>VLOOKUP(B38,Team!$B$4:$E$183,4,FALSE)</f>
        <v>L's</v>
      </c>
      <c r="F38" s="92" t="str">
        <f>Weekly!S30</f>
        <v/>
      </c>
      <c r="G38" s="92" t="str">
        <f>Weekly!T30</f>
        <v/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/>
      </c>
      <c r="Y38" s="48" t="str">
        <f t="shared" si="22"/>
        <v/>
      </c>
      <c r="Z38" s="48" t="str">
        <f t="shared" si="23"/>
        <v/>
      </c>
      <c r="AA38" s="84" t="str">
        <f t="shared" si="24"/>
        <v/>
      </c>
      <c r="AB38" s="82" t="str">
        <f t="shared" si="25"/>
        <v/>
      </c>
      <c r="AC38" s="48" t="str">
        <f t="shared" si="26"/>
        <v/>
      </c>
      <c r="AD38" s="48" t="str">
        <f t="shared" si="27"/>
        <v/>
      </c>
      <c r="AE38" s="84" t="str">
        <f t="shared" si="28"/>
        <v/>
      </c>
      <c r="AF38" s="82" t="str">
        <f t="shared" si="29"/>
        <v/>
      </c>
      <c r="AG38" s="48" t="str">
        <f t="shared" si="30"/>
        <v/>
      </c>
      <c r="AH38" s="48" t="str">
        <f t="shared" si="31"/>
        <v/>
      </c>
      <c r="AI38" s="84" t="str">
        <f t="shared" si="32"/>
        <v/>
      </c>
      <c r="AJ38" s="82" t="str">
        <f t="shared" si="33"/>
        <v/>
      </c>
      <c r="AK38" s="48" t="str">
        <f t="shared" si="34"/>
        <v/>
      </c>
      <c r="AL38" s="48" t="str">
        <f t="shared" si="35"/>
        <v/>
      </c>
      <c r="AM38" s="84" t="str">
        <f t="shared" si="36"/>
        <v/>
      </c>
      <c r="AN38" s="82" t="str">
        <f t="shared" si="37"/>
        <v/>
      </c>
      <c r="AO38" s="48" t="str">
        <f t="shared" si="38"/>
        <v/>
      </c>
      <c r="AP38" s="48" t="str">
        <f t="shared" si="39"/>
        <v/>
      </c>
      <c r="AQ38" s="84" t="str">
        <f t="shared" si="40"/>
        <v/>
      </c>
      <c r="AR38" s="82" t="str">
        <f t="shared" si="41"/>
        <v/>
      </c>
      <c r="AS38" s="48" t="str">
        <f t="shared" si="42"/>
        <v/>
      </c>
      <c r="AT38" s="48" t="str">
        <f t="shared" si="43"/>
        <v/>
      </c>
      <c r="AU38" s="84" t="str">
        <f t="shared" si="44"/>
        <v/>
      </c>
      <c r="AV38" s="82" t="str">
        <f t="shared" si="45"/>
        <v/>
      </c>
      <c r="AW38" s="48" t="str">
        <f t="shared" si="46"/>
        <v/>
      </c>
      <c r="AX38" s="48" t="str">
        <f t="shared" si="47"/>
        <v/>
      </c>
      <c r="AY38" s="84" t="str">
        <f t="shared" si="48"/>
        <v/>
      </c>
      <c r="AZ38" s="82" t="str">
        <f t="shared" si="49"/>
        <v/>
      </c>
      <c r="BA38" s="48" t="str">
        <f t="shared" si="50"/>
        <v/>
      </c>
      <c r="BB38" s="48" t="str">
        <f t="shared" si="51"/>
        <v/>
      </c>
      <c r="BC38" s="84" t="str">
        <f t="shared" si="52"/>
        <v/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>
      <c r="B39" s="81" t="str">
        <f>Weekly!B31</f>
        <v>01505</v>
      </c>
      <c r="C39" s="90" t="str">
        <f>Weekly!C31</f>
        <v>Jewel</v>
      </c>
      <c r="D39" s="90" t="str">
        <f>Weekly!D38</f>
        <v>Bongolan</v>
      </c>
      <c r="E39" s="91" t="str">
        <f>VLOOKUP(B39,Team!$B$4:$E$183,4,FALSE)</f>
        <v>L's</v>
      </c>
      <c r="F39" s="92" t="str">
        <f>Weekly!S31</f>
        <v/>
      </c>
      <c r="G39" s="92" t="str">
        <f>Weekly!T31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>
      <c r="B40" s="81" t="str">
        <f>Weekly!B32</f>
        <v>1289</v>
      </c>
      <c r="C40" s="90" t="str">
        <f>Weekly!C32</f>
        <v>Jordan</v>
      </c>
      <c r="D40" s="90" t="str">
        <f>Weekly!D39</f>
        <v>Ng</v>
      </c>
      <c r="E40" s="91" t="str">
        <f>VLOOKUP(B40,Team!$B$4:$E$183,4,FALSE)</f>
        <v>SPV</v>
      </c>
      <c r="F40" s="92" t="str">
        <f>Weekly!S32</f>
        <v/>
      </c>
      <c r="G40" s="92" t="str">
        <f>Weekly!T32</f>
        <v/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/>
      </c>
      <c r="Y40" s="48" t="str">
        <f t="shared" si="22"/>
        <v/>
      </c>
      <c r="Z40" s="48" t="str">
        <f t="shared" si="23"/>
        <v/>
      </c>
      <c r="AA40" s="84" t="str">
        <f t="shared" si="24"/>
        <v/>
      </c>
      <c r="AB40" s="82" t="str">
        <f t="shared" si="25"/>
        <v/>
      </c>
      <c r="AC40" s="48" t="str">
        <f t="shared" si="26"/>
        <v/>
      </c>
      <c r="AD40" s="48" t="str">
        <f t="shared" si="27"/>
        <v/>
      </c>
      <c r="AE40" s="84" t="str">
        <f t="shared" si="28"/>
        <v/>
      </c>
      <c r="AF40" s="82" t="str">
        <f t="shared" si="29"/>
        <v/>
      </c>
      <c r="AG40" s="48" t="str">
        <f t="shared" si="30"/>
        <v/>
      </c>
      <c r="AH40" s="48" t="str">
        <f t="shared" si="31"/>
        <v/>
      </c>
      <c r="AI40" s="84" t="str">
        <f t="shared" si="32"/>
        <v/>
      </c>
      <c r="AJ40" s="82" t="str">
        <f t="shared" si="33"/>
        <v/>
      </c>
      <c r="AK40" s="48" t="str">
        <f t="shared" si="34"/>
        <v/>
      </c>
      <c r="AL40" s="48" t="str">
        <f t="shared" si="35"/>
        <v/>
      </c>
      <c r="AM40" s="84" t="str">
        <f t="shared" si="36"/>
        <v/>
      </c>
      <c r="AN40" s="82" t="str">
        <f t="shared" si="37"/>
        <v/>
      </c>
      <c r="AO40" s="48" t="str">
        <f t="shared" si="38"/>
        <v/>
      </c>
      <c r="AP40" s="48" t="str">
        <f t="shared" si="39"/>
        <v/>
      </c>
      <c r="AQ40" s="84" t="str">
        <f t="shared" si="40"/>
        <v/>
      </c>
      <c r="AR40" s="82" t="str">
        <f t="shared" si="41"/>
        <v/>
      </c>
      <c r="AS40" s="48" t="str">
        <f t="shared" si="42"/>
        <v/>
      </c>
      <c r="AT40" s="48" t="str">
        <f t="shared" si="43"/>
        <v/>
      </c>
      <c r="AU40" s="84" t="str">
        <f t="shared" si="44"/>
        <v/>
      </c>
      <c r="AV40" s="82" t="str">
        <f t="shared" si="45"/>
        <v/>
      </c>
      <c r="AW40" s="48" t="str">
        <f t="shared" si="46"/>
        <v/>
      </c>
      <c r="AX40" s="48" t="str">
        <f t="shared" si="47"/>
        <v/>
      </c>
      <c r="AY40" s="84" t="str">
        <f t="shared" si="48"/>
        <v/>
      </c>
      <c r="AZ40" s="82" t="str">
        <f t="shared" si="49"/>
        <v/>
      </c>
      <c r="BA40" s="48" t="str">
        <f t="shared" si="50"/>
        <v/>
      </c>
      <c r="BB40" s="48" t="str">
        <f t="shared" si="51"/>
        <v/>
      </c>
      <c r="BC40" s="84" t="str">
        <f t="shared" si="52"/>
        <v/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>
      <c r="B41" s="81" t="str">
        <f>Weekly!B33</f>
        <v>1094</v>
      </c>
      <c r="C41" s="90" t="str">
        <f>Weekly!C33</f>
        <v>Joslyn</v>
      </c>
      <c r="D41" s="90" t="str">
        <f>Weekly!D40</f>
        <v>Huynh</v>
      </c>
      <c r="E41" s="91" t="str">
        <f>VLOOKUP(B41,Team!$B$4:$E$183,4,FALSE)</f>
        <v>HH</v>
      </c>
      <c r="F41" s="92" t="str">
        <f>Weekly!S33</f>
        <v/>
      </c>
      <c r="G41" s="92" t="str">
        <f>Weekly!T33</f>
        <v/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/>
      </c>
      <c r="Q41" s="48" t="str">
        <f t="shared" si="14"/>
        <v/>
      </c>
      <c r="R41" s="48" t="str">
        <f t="shared" si="15"/>
        <v/>
      </c>
      <c r="S41" s="84" t="str">
        <f t="shared" si="16"/>
        <v/>
      </c>
      <c r="T41" s="82" t="str">
        <f t="shared" si="17"/>
        <v/>
      </c>
      <c r="U41" s="48" t="str">
        <f t="shared" si="18"/>
        <v/>
      </c>
      <c r="V41" s="48" t="str">
        <f t="shared" si="19"/>
        <v/>
      </c>
      <c r="W41" s="84" t="str">
        <f t="shared" si="20"/>
        <v/>
      </c>
      <c r="X41" s="82" t="str">
        <f t="shared" si="21"/>
        <v/>
      </c>
      <c r="Y41" s="48" t="str">
        <f t="shared" si="22"/>
        <v/>
      </c>
      <c r="Z41" s="48" t="str">
        <f t="shared" si="23"/>
        <v/>
      </c>
      <c r="AA41" s="84" t="str">
        <f t="shared" si="24"/>
        <v/>
      </c>
      <c r="AB41" s="82" t="str">
        <f t="shared" si="25"/>
        <v/>
      </c>
      <c r="AC41" s="48" t="str">
        <f t="shared" si="26"/>
        <v/>
      </c>
      <c r="AD41" s="48" t="str">
        <f t="shared" si="27"/>
        <v/>
      </c>
      <c r="AE41" s="84" t="str">
        <f t="shared" si="28"/>
        <v/>
      </c>
      <c r="AF41" s="82" t="str">
        <f t="shared" si="29"/>
        <v/>
      </c>
      <c r="AG41" s="48" t="str">
        <f t="shared" si="30"/>
        <v/>
      </c>
      <c r="AH41" s="48" t="str">
        <f t="shared" si="31"/>
        <v/>
      </c>
      <c r="AI41" s="84" t="str">
        <f t="shared" si="32"/>
        <v/>
      </c>
      <c r="AJ41" s="82" t="str">
        <f t="shared" si="33"/>
        <v/>
      </c>
      <c r="AK41" s="48" t="str">
        <f t="shared" si="34"/>
        <v/>
      </c>
      <c r="AL41" s="48" t="str">
        <f t="shared" si="35"/>
        <v/>
      </c>
      <c r="AM41" s="84" t="str">
        <f t="shared" si="36"/>
        <v/>
      </c>
      <c r="AN41" s="82" t="str">
        <f t="shared" si="37"/>
        <v/>
      </c>
      <c r="AO41" s="48" t="str">
        <f t="shared" si="38"/>
        <v/>
      </c>
      <c r="AP41" s="48" t="str">
        <f t="shared" si="39"/>
        <v/>
      </c>
      <c r="AQ41" s="84" t="str">
        <f t="shared" si="40"/>
        <v/>
      </c>
      <c r="AR41" s="82" t="str">
        <f t="shared" si="41"/>
        <v/>
      </c>
      <c r="AS41" s="48" t="str">
        <f t="shared" si="42"/>
        <v/>
      </c>
      <c r="AT41" s="48" t="str">
        <f t="shared" si="43"/>
        <v/>
      </c>
      <c r="AU41" s="84" t="str">
        <f t="shared" si="44"/>
        <v/>
      </c>
      <c r="AV41" s="82" t="str">
        <f t="shared" si="45"/>
        <v/>
      </c>
      <c r="AW41" s="48" t="str">
        <f t="shared" si="46"/>
        <v/>
      </c>
      <c r="AX41" s="48" t="str">
        <f t="shared" si="47"/>
        <v/>
      </c>
      <c r="AY41" s="84" t="str">
        <f t="shared" si="48"/>
        <v/>
      </c>
      <c r="AZ41" s="82" t="str">
        <f t="shared" si="49"/>
        <v/>
      </c>
      <c r="BA41" s="48" t="str">
        <f t="shared" si="50"/>
        <v/>
      </c>
      <c r="BB41" s="48" t="str">
        <f t="shared" si="51"/>
        <v/>
      </c>
      <c r="BC41" s="84" t="str">
        <f t="shared" si="52"/>
        <v/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>
      <c r="B42" s="81" t="str">
        <f>Weekly!B34</f>
        <v>1014</v>
      </c>
      <c r="C42" s="90" t="str">
        <f>Weekly!C34</f>
        <v>Julie K.</v>
      </c>
      <c r="D42" s="90" t="str">
        <f>Weekly!D41</f>
        <v>Simkhada</v>
      </c>
      <c r="E42" s="91" t="str">
        <f>VLOOKUP(B42,Team!$B$4:$E$183,4,FALSE)</f>
        <v>H&amp;B</v>
      </c>
      <c r="F42" s="92" t="str">
        <f>Weekly!S34</f>
        <v/>
      </c>
      <c r="G42" s="92" t="str">
        <f>Weekly!T34</f>
        <v/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/>
      </c>
      <c r="Q42" s="48" t="str">
        <f t="shared" si="14"/>
        <v/>
      </c>
      <c r="R42" s="48" t="str">
        <f t="shared" si="15"/>
        <v/>
      </c>
      <c r="S42" s="84" t="str">
        <f t="shared" si="16"/>
        <v/>
      </c>
      <c r="T42" s="82" t="str">
        <f t="shared" si="17"/>
        <v/>
      </c>
      <c r="U42" s="48" t="str">
        <f t="shared" si="18"/>
        <v/>
      </c>
      <c r="V42" s="48" t="str">
        <f t="shared" si="19"/>
        <v/>
      </c>
      <c r="W42" s="84" t="str">
        <f t="shared" si="20"/>
        <v/>
      </c>
      <c r="X42" s="82" t="str">
        <f t="shared" si="21"/>
        <v/>
      </c>
      <c r="Y42" s="48" t="str">
        <f t="shared" si="22"/>
        <v/>
      </c>
      <c r="Z42" s="48" t="str">
        <f t="shared" si="23"/>
        <v/>
      </c>
      <c r="AA42" s="84" t="str">
        <f t="shared" si="24"/>
        <v/>
      </c>
      <c r="AB42" s="82" t="str">
        <f t="shared" si="25"/>
        <v/>
      </c>
      <c r="AC42" s="48" t="str">
        <f t="shared" si="26"/>
        <v/>
      </c>
      <c r="AD42" s="48" t="str">
        <f t="shared" si="27"/>
        <v/>
      </c>
      <c r="AE42" s="84" t="str">
        <f t="shared" si="28"/>
        <v/>
      </c>
      <c r="AF42" s="82" t="str">
        <f t="shared" si="29"/>
        <v/>
      </c>
      <c r="AG42" s="48" t="str">
        <f t="shared" si="30"/>
        <v/>
      </c>
      <c r="AH42" s="48" t="str">
        <f t="shared" si="31"/>
        <v/>
      </c>
      <c r="AI42" s="84" t="str">
        <f t="shared" si="32"/>
        <v/>
      </c>
      <c r="AJ42" s="82" t="str">
        <f t="shared" si="33"/>
        <v/>
      </c>
      <c r="AK42" s="48" t="str">
        <f t="shared" si="34"/>
        <v/>
      </c>
      <c r="AL42" s="48" t="str">
        <f t="shared" si="35"/>
        <v/>
      </c>
      <c r="AM42" s="84" t="str">
        <f t="shared" si="36"/>
        <v/>
      </c>
      <c r="AN42" s="82" t="str">
        <f t="shared" si="37"/>
        <v/>
      </c>
      <c r="AO42" s="48" t="str">
        <f t="shared" si="38"/>
        <v/>
      </c>
      <c r="AP42" s="48" t="str">
        <f t="shared" si="39"/>
        <v/>
      </c>
      <c r="AQ42" s="84" t="str">
        <f t="shared" si="40"/>
        <v/>
      </c>
      <c r="AR42" s="82" t="str">
        <f t="shared" si="41"/>
        <v/>
      </c>
      <c r="AS42" s="48" t="str">
        <f t="shared" si="42"/>
        <v/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>
      <c r="B43" s="81" t="str">
        <f>Weekly!B35</f>
        <v>01518</v>
      </c>
      <c r="C43" s="90" t="str">
        <f>Weekly!C35</f>
        <v>Julie L.</v>
      </c>
      <c r="D43" s="90" t="str">
        <f>Weekly!D42</f>
        <v>Lee</v>
      </c>
      <c r="E43" s="91" t="str">
        <f>VLOOKUP(B43,Team!$B$4:$E$183,4,FALSE)</f>
        <v>F</v>
      </c>
      <c r="F43" s="92">
        <f>Weekly!S35</f>
        <v>0.45833333333333298</v>
      </c>
      <c r="G43" s="92">
        <f>Weekly!T35</f>
        <v>0.79166666666666596</v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>F</v>
      </c>
      <c r="Y43" s="48" t="str">
        <f t="shared" si="22"/>
        <v>F</v>
      </c>
      <c r="Z43" s="48" t="str">
        <f t="shared" si="23"/>
        <v>F</v>
      </c>
      <c r="AA43" s="84" t="str">
        <f t="shared" si="24"/>
        <v>F</v>
      </c>
      <c r="AB43" s="82" t="str">
        <f t="shared" si="25"/>
        <v>F</v>
      </c>
      <c r="AC43" s="48" t="str">
        <f t="shared" si="26"/>
        <v>F</v>
      </c>
      <c r="AD43" s="48" t="str">
        <f t="shared" si="27"/>
        <v>F</v>
      </c>
      <c r="AE43" s="84" t="str">
        <f t="shared" si="28"/>
        <v>F</v>
      </c>
      <c r="AF43" s="82" t="str">
        <f t="shared" si="29"/>
        <v>F</v>
      </c>
      <c r="AG43" s="48" t="str">
        <f t="shared" si="30"/>
        <v>F</v>
      </c>
      <c r="AH43" s="48" t="str">
        <f t="shared" si="31"/>
        <v>F</v>
      </c>
      <c r="AI43" s="84" t="str">
        <f t="shared" si="32"/>
        <v>F</v>
      </c>
      <c r="AJ43" s="82" t="str">
        <f t="shared" si="33"/>
        <v>F</v>
      </c>
      <c r="AK43" s="48" t="str">
        <f t="shared" si="34"/>
        <v>F</v>
      </c>
      <c r="AL43" s="48" t="str">
        <f t="shared" si="35"/>
        <v>F</v>
      </c>
      <c r="AM43" s="84" t="str">
        <f t="shared" si="36"/>
        <v>F</v>
      </c>
      <c r="AN43" s="82" t="str">
        <f t="shared" si="37"/>
        <v>F</v>
      </c>
      <c r="AO43" s="48" t="str">
        <f t="shared" si="38"/>
        <v>F</v>
      </c>
      <c r="AP43" s="48" t="str">
        <f t="shared" si="39"/>
        <v>F</v>
      </c>
      <c r="AQ43" s="84" t="str">
        <f t="shared" si="40"/>
        <v>F</v>
      </c>
      <c r="AR43" s="82" t="str">
        <f t="shared" si="41"/>
        <v>F</v>
      </c>
      <c r="AS43" s="48" t="str">
        <f t="shared" si="42"/>
        <v>F</v>
      </c>
      <c r="AT43" s="48" t="str">
        <f t="shared" si="43"/>
        <v>F</v>
      </c>
      <c r="AU43" s="84" t="str">
        <f t="shared" si="44"/>
        <v>F</v>
      </c>
      <c r="AV43" s="82" t="str">
        <f t="shared" si="45"/>
        <v>F</v>
      </c>
      <c r="AW43" s="48" t="str">
        <f t="shared" si="46"/>
        <v>F</v>
      </c>
      <c r="AX43" s="48" t="str">
        <f t="shared" si="47"/>
        <v>F</v>
      </c>
      <c r="AY43" s="84" t="str">
        <f t="shared" si="48"/>
        <v>F</v>
      </c>
      <c r="AZ43" s="82" t="str">
        <f t="shared" si="49"/>
        <v>F</v>
      </c>
      <c r="BA43" s="48" t="str">
        <f t="shared" si="50"/>
        <v>F</v>
      </c>
      <c r="BB43" s="48" t="str">
        <f t="shared" si="51"/>
        <v>F</v>
      </c>
      <c r="BC43" s="84" t="str">
        <f t="shared" si="52"/>
        <v>F</v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>
      <c r="B44" s="81" t="str">
        <f>Weekly!B36</f>
        <v>01527</v>
      </c>
      <c r="C44" s="90" t="str">
        <f>Weekly!C36</f>
        <v>Justine</v>
      </c>
      <c r="D44" s="90" t="str">
        <f>Weekly!D43</f>
        <v>Banh</v>
      </c>
      <c r="E44" s="91" t="str">
        <f>VLOOKUP(B44,Team!$B$4:$E$183,4,FALSE)</f>
        <v>Stat.</v>
      </c>
      <c r="F44" s="92">
        <f>Weekly!S36</f>
        <v>0.45833333333333298</v>
      </c>
      <c r="G44" s="92">
        <f>Weekly!T36</f>
        <v>0.79166666666666596</v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/>
      </c>
      <c r="Q44" s="48" t="str">
        <f t="shared" si="14"/>
        <v/>
      </c>
      <c r="R44" s="48" t="str">
        <f t="shared" si="15"/>
        <v/>
      </c>
      <c r="S44" s="84" t="str">
        <f t="shared" si="16"/>
        <v/>
      </c>
      <c r="T44" s="82" t="str">
        <f t="shared" si="17"/>
        <v/>
      </c>
      <c r="U44" s="48" t="str">
        <f t="shared" si="18"/>
        <v/>
      </c>
      <c r="V44" s="48" t="str">
        <f t="shared" si="19"/>
        <v/>
      </c>
      <c r="W44" s="84" t="str">
        <f t="shared" si="20"/>
        <v/>
      </c>
      <c r="X44" s="82" t="str">
        <f t="shared" si="21"/>
        <v>Stat.</v>
      </c>
      <c r="Y44" s="48" t="str">
        <f t="shared" si="22"/>
        <v>Stat.</v>
      </c>
      <c r="Z44" s="48" t="str">
        <f t="shared" si="23"/>
        <v>Stat.</v>
      </c>
      <c r="AA44" s="84" t="str">
        <f t="shared" si="24"/>
        <v>Stat.</v>
      </c>
      <c r="AB44" s="82" t="str">
        <f t="shared" si="25"/>
        <v>Stat.</v>
      </c>
      <c r="AC44" s="48" t="str">
        <f t="shared" si="26"/>
        <v>Stat.</v>
      </c>
      <c r="AD44" s="48" t="str">
        <f t="shared" si="27"/>
        <v>Stat.</v>
      </c>
      <c r="AE44" s="84" t="str">
        <f t="shared" si="28"/>
        <v>Stat.</v>
      </c>
      <c r="AF44" s="82" t="str">
        <f t="shared" si="29"/>
        <v>Stat.</v>
      </c>
      <c r="AG44" s="48" t="str">
        <f t="shared" si="30"/>
        <v>Stat.</v>
      </c>
      <c r="AH44" s="48" t="str">
        <f t="shared" si="31"/>
        <v>Stat.</v>
      </c>
      <c r="AI44" s="84" t="str">
        <f t="shared" si="32"/>
        <v>Stat.</v>
      </c>
      <c r="AJ44" s="82" t="str">
        <f t="shared" si="33"/>
        <v>Stat.</v>
      </c>
      <c r="AK44" s="48" t="str">
        <f t="shared" si="34"/>
        <v>Stat.</v>
      </c>
      <c r="AL44" s="48" t="str">
        <f t="shared" si="35"/>
        <v>Stat.</v>
      </c>
      <c r="AM44" s="84" t="str">
        <f t="shared" si="36"/>
        <v>Stat.</v>
      </c>
      <c r="AN44" s="82" t="str">
        <f t="shared" si="37"/>
        <v>Stat.</v>
      </c>
      <c r="AO44" s="48" t="str">
        <f t="shared" si="38"/>
        <v>Stat.</v>
      </c>
      <c r="AP44" s="48" t="str">
        <f t="shared" si="39"/>
        <v>Stat.</v>
      </c>
      <c r="AQ44" s="84" t="str">
        <f t="shared" si="40"/>
        <v>Stat.</v>
      </c>
      <c r="AR44" s="82" t="str">
        <f t="shared" si="41"/>
        <v>Stat.</v>
      </c>
      <c r="AS44" s="48" t="str">
        <f t="shared" si="42"/>
        <v>Stat.</v>
      </c>
      <c r="AT44" s="48" t="str">
        <f t="shared" si="43"/>
        <v>Stat.</v>
      </c>
      <c r="AU44" s="84" t="str">
        <f t="shared" si="44"/>
        <v>Stat.</v>
      </c>
      <c r="AV44" s="82" t="str">
        <f t="shared" si="45"/>
        <v>Stat.</v>
      </c>
      <c r="AW44" s="48" t="str">
        <f t="shared" si="46"/>
        <v>Stat.</v>
      </c>
      <c r="AX44" s="48" t="str">
        <f t="shared" si="47"/>
        <v>Stat.</v>
      </c>
      <c r="AY44" s="84" t="str">
        <f t="shared" si="48"/>
        <v>Stat.</v>
      </c>
      <c r="AZ44" s="82" t="str">
        <f t="shared" si="49"/>
        <v>Stat.</v>
      </c>
      <c r="BA44" s="48" t="str">
        <f t="shared" si="50"/>
        <v>Stat.</v>
      </c>
      <c r="BB44" s="48" t="str">
        <f t="shared" si="51"/>
        <v>Stat.</v>
      </c>
      <c r="BC44" s="84" t="str">
        <f t="shared" si="52"/>
        <v>Stat.</v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>
      <c r="B45" s="81" t="str">
        <f>Weekly!B37</f>
        <v>01519</v>
      </c>
      <c r="C45" s="90" t="str">
        <f>Weekly!C37</f>
        <v>Kathy</v>
      </c>
      <c r="D45" s="90" t="str">
        <f>Weekly!D44</f>
        <v>Tran Wo</v>
      </c>
      <c r="E45" s="91" t="str">
        <f>VLOOKUP(B45,Team!$B$4:$E$183,4,FALSE)</f>
        <v>Stat.</v>
      </c>
      <c r="F45" s="92">
        <f>Weekly!S37</f>
        <v>0.45833333333333298</v>
      </c>
      <c r="G45" s="92">
        <f>Weekly!T37</f>
        <v>0.79166666666666596</v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>Stat.</v>
      </c>
      <c r="Y45" s="48" t="str">
        <f t="shared" si="22"/>
        <v>Stat.</v>
      </c>
      <c r="Z45" s="48" t="str">
        <f t="shared" si="23"/>
        <v>Stat.</v>
      </c>
      <c r="AA45" s="84" t="str">
        <f t="shared" si="24"/>
        <v>Stat.</v>
      </c>
      <c r="AB45" s="82" t="str">
        <f t="shared" si="25"/>
        <v>Stat.</v>
      </c>
      <c r="AC45" s="48" t="str">
        <f t="shared" si="26"/>
        <v>Stat.</v>
      </c>
      <c r="AD45" s="48" t="str">
        <f t="shared" si="27"/>
        <v>Stat.</v>
      </c>
      <c r="AE45" s="84" t="str">
        <f t="shared" si="28"/>
        <v>Stat.</v>
      </c>
      <c r="AF45" s="82" t="str">
        <f t="shared" si="29"/>
        <v>Stat.</v>
      </c>
      <c r="AG45" s="48" t="str">
        <f t="shared" si="30"/>
        <v>Stat.</v>
      </c>
      <c r="AH45" s="48" t="str">
        <f t="shared" si="31"/>
        <v>Stat.</v>
      </c>
      <c r="AI45" s="84" t="str">
        <f t="shared" si="32"/>
        <v>Stat.</v>
      </c>
      <c r="AJ45" s="82" t="str">
        <f t="shared" si="33"/>
        <v>Stat.</v>
      </c>
      <c r="AK45" s="48" t="str">
        <f t="shared" si="34"/>
        <v>Stat.</v>
      </c>
      <c r="AL45" s="48" t="str">
        <f t="shared" si="35"/>
        <v>Stat.</v>
      </c>
      <c r="AM45" s="84" t="str">
        <f t="shared" si="36"/>
        <v>Stat.</v>
      </c>
      <c r="AN45" s="82" t="str">
        <f t="shared" si="37"/>
        <v>Stat.</v>
      </c>
      <c r="AO45" s="48" t="str">
        <f t="shared" si="38"/>
        <v>Stat.</v>
      </c>
      <c r="AP45" s="48" t="str">
        <f t="shared" si="39"/>
        <v>Stat.</v>
      </c>
      <c r="AQ45" s="84" t="str">
        <f t="shared" si="40"/>
        <v>Stat.</v>
      </c>
      <c r="AR45" s="82" t="str">
        <f t="shared" si="41"/>
        <v>Stat.</v>
      </c>
      <c r="AS45" s="48" t="str">
        <f t="shared" si="42"/>
        <v>Stat.</v>
      </c>
      <c r="AT45" s="48" t="str">
        <f t="shared" si="43"/>
        <v>Stat.</v>
      </c>
      <c r="AU45" s="84" t="str">
        <f t="shared" si="44"/>
        <v>Stat.</v>
      </c>
      <c r="AV45" s="82" t="str">
        <f t="shared" si="45"/>
        <v>Stat.</v>
      </c>
      <c r="AW45" s="48" t="str">
        <f t="shared" si="46"/>
        <v>Stat.</v>
      </c>
      <c r="AX45" s="48" t="str">
        <f t="shared" si="47"/>
        <v>Stat.</v>
      </c>
      <c r="AY45" s="84" t="str">
        <f t="shared" si="48"/>
        <v>Stat.</v>
      </c>
      <c r="AZ45" s="82" t="str">
        <f t="shared" si="49"/>
        <v>Stat.</v>
      </c>
      <c r="BA45" s="48" t="str">
        <f t="shared" si="50"/>
        <v>Stat.</v>
      </c>
      <c r="BB45" s="48" t="str">
        <f t="shared" si="51"/>
        <v>Stat.</v>
      </c>
      <c r="BC45" s="84" t="str">
        <f t="shared" si="52"/>
        <v>Stat.</v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>
      <c r="B46" s="81" t="str">
        <f>Weekly!B38</f>
        <v>1143</v>
      </c>
      <c r="C46" s="90" t="str">
        <f>Weekly!C38</f>
        <v>Kaye</v>
      </c>
      <c r="D46" s="90" t="str">
        <f>Weekly!D45</f>
        <v>Ishikawa</v>
      </c>
      <c r="E46" s="91" t="str">
        <f>VLOOKUP(B46,Team!$B$4:$E$183,4,FALSE)</f>
        <v>L's</v>
      </c>
      <c r="F46" s="92">
        <f>Weekly!S38</f>
        <v>0.35416666666666602</v>
      </c>
      <c r="G46" s="92">
        <f>Weekly!T38</f>
        <v>0.687499999999999</v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>L's</v>
      </c>
      <c r="O46" s="84" t="str">
        <f t="shared" si="12"/>
        <v>L's</v>
      </c>
      <c r="P46" s="82" t="str">
        <f t="shared" si="13"/>
        <v>L's</v>
      </c>
      <c r="Q46" s="48" t="str">
        <f t="shared" si="14"/>
        <v>L's</v>
      </c>
      <c r="R46" s="48" t="str">
        <f t="shared" si="15"/>
        <v>L's</v>
      </c>
      <c r="S46" s="84" t="str">
        <f t="shared" si="16"/>
        <v>L's</v>
      </c>
      <c r="T46" s="82" t="str">
        <f t="shared" si="17"/>
        <v>L's</v>
      </c>
      <c r="U46" s="48" t="str">
        <f t="shared" si="18"/>
        <v>L's</v>
      </c>
      <c r="V46" s="48" t="str">
        <f t="shared" si="19"/>
        <v>L's</v>
      </c>
      <c r="W46" s="84" t="str">
        <f t="shared" si="20"/>
        <v>L's</v>
      </c>
      <c r="X46" s="82" t="str">
        <f t="shared" si="21"/>
        <v>L's</v>
      </c>
      <c r="Y46" s="48" t="str">
        <f t="shared" si="22"/>
        <v>L's</v>
      </c>
      <c r="Z46" s="48" t="str">
        <f t="shared" si="23"/>
        <v>L's</v>
      </c>
      <c r="AA46" s="84" t="str">
        <f t="shared" si="24"/>
        <v>L's</v>
      </c>
      <c r="AB46" s="82" t="str">
        <f t="shared" si="25"/>
        <v>L's</v>
      </c>
      <c r="AC46" s="48" t="str">
        <f t="shared" si="26"/>
        <v>L's</v>
      </c>
      <c r="AD46" s="48" t="str">
        <f t="shared" si="27"/>
        <v>L's</v>
      </c>
      <c r="AE46" s="84" t="str">
        <f t="shared" si="28"/>
        <v>L's</v>
      </c>
      <c r="AF46" s="82" t="str">
        <f t="shared" si="29"/>
        <v>L's</v>
      </c>
      <c r="AG46" s="48" t="str">
        <f t="shared" si="30"/>
        <v>L's</v>
      </c>
      <c r="AH46" s="48" t="str">
        <f t="shared" si="31"/>
        <v>L's</v>
      </c>
      <c r="AI46" s="84" t="str">
        <f t="shared" si="32"/>
        <v>L's</v>
      </c>
      <c r="AJ46" s="82" t="str">
        <f t="shared" si="33"/>
        <v>L's</v>
      </c>
      <c r="AK46" s="48" t="str">
        <f t="shared" si="34"/>
        <v>L's</v>
      </c>
      <c r="AL46" s="48" t="str">
        <f t="shared" si="35"/>
        <v>L's</v>
      </c>
      <c r="AM46" s="84" t="str">
        <f t="shared" si="36"/>
        <v>L's</v>
      </c>
      <c r="AN46" s="82" t="str">
        <f t="shared" si="37"/>
        <v>L's</v>
      </c>
      <c r="AO46" s="48" t="str">
        <f t="shared" si="38"/>
        <v>L's</v>
      </c>
      <c r="AP46" s="48" t="str">
        <f t="shared" si="39"/>
        <v>L's</v>
      </c>
      <c r="AQ46" s="84" t="str">
        <f t="shared" si="40"/>
        <v>L's</v>
      </c>
      <c r="AR46" s="82" t="str">
        <f t="shared" si="41"/>
        <v>L's</v>
      </c>
      <c r="AS46" s="48" t="str">
        <f t="shared" si="42"/>
        <v>L's</v>
      </c>
      <c r="AT46" s="48" t="str">
        <f t="shared" si="43"/>
        <v/>
      </c>
      <c r="AU46" s="84" t="str">
        <f t="shared" si="44"/>
        <v/>
      </c>
      <c r="AV46" s="82" t="str">
        <f t="shared" si="45"/>
        <v/>
      </c>
      <c r="AW46" s="48" t="str">
        <f t="shared" si="46"/>
        <v/>
      </c>
      <c r="AX46" s="48" t="str">
        <f t="shared" si="47"/>
        <v/>
      </c>
      <c r="AY46" s="84" t="str">
        <f t="shared" si="48"/>
        <v/>
      </c>
      <c r="AZ46" s="82" t="str">
        <f t="shared" si="49"/>
        <v/>
      </c>
      <c r="BA46" s="48" t="str">
        <f t="shared" si="50"/>
        <v/>
      </c>
      <c r="BB46" s="48" t="str">
        <f t="shared" si="51"/>
        <v/>
      </c>
      <c r="BC46" s="84" t="str">
        <f t="shared" si="52"/>
        <v/>
      </c>
      <c r="BD46" s="82" t="str">
        <f t="shared" si="53"/>
        <v/>
      </c>
      <c r="BE46" s="48" t="str">
        <f t="shared" si="54"/>
        <v/>
      </c>
      <c r="BF46" s="48" t="str">
        <f t="shared" si="55"/>
        <v/>
      </c>
      <c r="BG46" s="84" t="str">
        <f t="shared" si="56"/>
        <v/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>
      <c r="B47" s="81" t="str">
        <f>Weekly!B39</f>
        <v>01523</v>
      </c>
      <c r="C47" s="90" t="str">
        <f>Weekly!C39</f>
        <v>Lachlan</v>
      </c>
      <c r="D47" s="90" t="str">
        <f>Weekly!D46</f>
        <v>Choi</v>
      </c>
      <c r="E47" s="91" t="str">
        <f>VLOOKUP(B47,Team!$B$4:$E$183,4,FALSE)</f>
        <v>L's</v>
      </c>
      <c r="F47" s="92" t="str">
        <f>Weekly!S39</f>
        <v/>
      </c>
      <c r="G47" s="92" t="str">
        <f>Weekly!T39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>
      <c r="B48" s="81" t="str">
        <f>Weekly!B40</f>
        <v>614</v>
      </c>
      <c r="C48" s="90" t="str">
        <f>Weekly!C40</f>
        <v>Lauren</v>
      </c>
      <c r="D48" s="90" t="str">
        <f>Weekly!D47</f>
        <v>Nguyen</v>
      </c>
      <c r="E48" s="91" t="str">
        <f>VLOOKUP(B48,Team!$B$4:$E$183,4,FALSE)</f>
        <v>L's</v>
      </c>
      <c r="F48" s="92" t="str">
        <f>Weekly!S40</f>
        <v/>
      </c>
      <c r="G48" s="92" t="str">
        <f>Weekly!T40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>
      <c r="B49" s="81" t="str">
        <f>Weekly!B41</f>
        <v>01517</v>
      </c>
      <c r="C49" s="90" t="str">
        <f>Weekly!C41</f>
        <v>Lona</v>
      </c>
      <c r="D49" s="90" t="str">
        <f>Weekly!D48</f>
        <v>De Vera</v>
      </c>
      <c r="E49" s="91" t="str">
        <f>VLOOKUP(B49,Team!$B$4:$E$183,4,FALSE)</f>
        <v>M's</v>
      </c>
      <c r="F49" s="92" t="str">
        <f>Weekly!S41</f>
        <v/>
      </c>
      <c r="G49" s="92" t="str">
        <f>Weekly!T41</f>
        <v/>
      </c>
      <c r="H49" s="48" t="str">
        <f t="shared" ref="H49:H71" si="70">IF(AND($H$12&gt;=$F49,$H$12&lt;$G49),$E49,"")</f>
        <v/>
      </c>
      <c r="I49" s="48" t="str">
        <f t="shared" ref="I49:I71" si="71">IF(AND($I$12&gt;=$F49,$I$12&lt;$G49),$E49,"")</f>
        <v/>
      </c>
      <c r="J49" s="48" t="str">
        <f t="shared" ref="J49:J71" si="72">IF(AND($J$12&gt;=$F49,$J$12&lt;$G49),$E49,"")</f>
        <v/>
      </c>
      <c r="K49" s="84" t="str">
        <f t="shared" ref="K49:K71" si="73">IF(AND($K$12&gt;=$F49,$K$12&lt;$G49),$E49,"")</f>
        <v/>
      </c>
      <c r="L49" s="82" t="str">
        <f t="shared" ref="L49:L71" si="74">IF(AND($L$12&gt;=$F49,$L$12&lt;$G49),$E49,"")</f>
        <v/>
      </c>
      <c r="M49" s="48" t="str">
        <f t="shared" ref="M49:M71" si="75">IF(AND($M$12&gt;=$F49,$M$12&lt;$G49),$E49,"")</f>
        <v/>
      </c>
      <c r="N49" s="48" t="str">
        <f t="shared" ref="N49:N71" si="76">IF(AND($N$12&gt;=$F49,$N$12&lt;$G49),$E49,"")</f>
        <v/>
      </c>
      <c r="O49" s="84" t="str">
        <f t="shared" ref="O49:O71" si="77">IF(AND($O$12&gt;=$F49,$O$12&lt;$G49),$E49,"")</f>
        <v/>
      </c>
      <c r="P49" s="82" t="str">
        <f t="shared" ref="P49:P71" si="78">IF(AND($P$12&gt;=$F49,$P$12&lt;$G49),$E49,"")</f>
        <v/>
      </c>
      <c r="Q49" s="48" t="str">
        <f t="shared" ref="Q49:Q71" si="79">IF(AND($Q$12&gt;=$F49,$Q$12&lt;$G49),$E49,"")</f>
        <v/>
      </c>
      <c r="R49" s="48" t="str">
        <f t="shared" ref="R49:R71" si="80">IF(AND($R$12&gt;=$F49,$R$12&lt;$G49),$E49,"")</f>
        <v/>
      </c>
      <c r="S49" s="84" t="str">
        <f t="shared" ref="S49:S71" si="81">IF(AND($S$12&gt;=$F49,$S$12&lt;$G49),$E49,"")</f>
        <v/>
      </c>
      <c r="T49" s="82" t="str">
        <f t="shared" ref="T49:T71" si="82">IF(AND($T$12&gt;=$F49,$T$12&lt;$G49),$E49,"")</f>
        <v/>
      </c>
      <c r="U49" s="48" t="str">
        <f t="shared" ref="U49:U71" si="83">IF(AND($U$12&gt;=$F49,$U$12&lt;$G49),$E49,"")</f>
        <v/>
      </c>
      <c r="V49" s="48" t="str">
        <f t="shared" ref="V49:V71" si="84">IF(AND($V$12&gt;=$F49,$V$12&lt;$G49),$E49,"")</f>
        <v/>
      </c>
      <c r="W49" s="84" t="str">
        <f t="shared" ref="W49:W71" si="85">IF(AND($W$12&gt;=$F49,$W$12&lt;$G49),$E49,"")</f>
        <v/>
      </c>
      <c r="X49" s="82" t="str">
        <f t="shared" ref="X49:X71" si="86">IF(AND($X$12&gt;=$F49,$X$12&lt;$G49),$E49,"")</f>
        <v/>
      </c>
      <c r="Y49" s="48" t="str">
        <f t="shared" ref="Y49:Y71" si="87">IF(AND($Y$12&gt;=$F49,$Y$12&lt;$G49),$E49,"")</f>
        <v/>
      </c>
      <c r="Z49" s="48" t="str">
        <f t="shared" ref="Z49:Z71" si="88">IF(AND($Z$12&gt;=$F49,$Z$12&lt;$G49),$E49,"")</f>
        <v/>
      </c>
      <c r="AA49" s="84" t="str">
        <f t="shared" ref="AA49:AA71" si="89">IF(AND($AA$12&gt;=$F49,$AA$12&lt;$G49),$E49,"")</f>
        <v/>
      </c>
      <c r="AB49" s="82" t="str">
        <f t="shared" ref="AB49:AB71" si="90">IF(AND($AB$12&gt;=$F49,$AB$12&lt;$G49),$E49,"")</f>
        <v/>
      </c>
      <c r="AC49" s="48" t="str">
        <f t="shared" ref="AC49:AC71" si="91">IF(AND($AC$12&gt;=$F49,$AC$12&lt;$G49),$E49,"")</f>
        <v/>
      </c>
      <c r="AD49" s="48" t="str">
        <f t="shared" ref="AD49:AD71" si="92">IF(AND($AD$12&gt;=$F49,$AD$12&lt;$G49),$E49,"")</f>
        <v/>
      </c>
      <c r="AE49" s="84" t="str">
        <f t="shared" ref="AE49:AE71" si="93">IF(AND($AE$12&gt;=$F49,$AE$12&lt;$G49),$E49,"")</f>
        <v/>
      </c>
      <c r="AF49" s="82" t="str">
        <f t="shared" ref="AF49:AF71" si="94">IF(AND($AF$12&gt;=$F49,$AF$12&lt;$G49),$E49,"")</f>
        <v/>
      </c>
      <c r="AG49" s="48" t="str">
        <f t="shared" ref="AG49:AG71" si="95">IF(AND($AG$12&gt;=$F49,$AG$12&lt;$G49),$E49,"")</f>
        <v/>
      </c>
      <c r="AH49" s="48" t="str">
        <f t="shared" ref="AH49:AH71" si="96">IF(AND($AH$12&gt;=$F49,$AH$12&lt;$G49),$E49,"")</f>
        <v/>
      </c>
      <c r="AI49" s="84" t="str">
        <f t="shared" ref="AI49:AI71" si="97">IF(AND($AI$12&gt;=$F49,$AI$12&lt;$G49),$E49,"")</f>
        <v/>
      </c>
      <c r="AJ49" s="82" t="str">
        <f t="shared" ref="AJ49:AJ71" si="98">IF(AND($AJ$12&gt;=$F49,$AJ$12&lt;$G49),$E49,"")</f>
        <v/>
      </c>
      <c r="AK49" s="48" t="str">
        <f t="shared" ref="AK49:AK71" si="99">IF(AND($AK$12&gt;=$F49,$AK$12&lt;$G49),$E49,"")</f>
        <v/>
      </c>
      <c r="AL49" s="48" t="str">
        <f t="shared" ref="AL49:AL71" si="100">IF(AND($AL$12&gt;=$F49,$AL$12&lt;$G49),$E49,"")</f>
        <v/>
      </c>
      <c r="AM49" s="84" t="str">
        <f t="shared" ref="AM49:AM71" si="101">IF(AND($AM$12&gt;=$F49,$AM$12&lt;$G49),$E49,"")</f>
        <v/>
      </c>
      <c r="AN49" s="82" t="str">
        <f t="shared" ref="AN49:AN71" si="102">IF(AND($AN$12&gt;=$F49,$AN$12&lt;$G49),$E49,"")</f>
        <v/>
      </c>
      <c r="AO49" s="48" t="str">
        <f t="shared" ref="AO49:AO71" si="103">IF(AND($AO$12&gt;=$F49,$AO$12&lt;$G49),$E49,"")</f>
        <v/>
      </c>
      <c r="AP49" s="48" t="str">
        <f t="shared" ref="AP49:AP71" si="104">IF(AND($AP$12&gt;=$F49,$AP$12&lt;$G49),$E49,"")</f>
        <v/>
      </c>
      <c r="AQ49" s="84" t="str">
        <f t="shared" ref="AQ49:AQ71" si="105">IF(AND($AQ$12&gt;=$F49,$AQ$12&lt;$G49),$E49,"")</f>
        <v/>
      </c>
      <c r="AR49" s="82" t="str">
        <f t="shared" ref="AR49:AR71" si="106">IF(AND($AR$12&gt;=$F49,$AR$12&lt;$G49),$E49,"")</f>
        <v/>
      </c>
      <c r="AS49" s="48" t="str">
        <f t="shared" ref="AS49:AS71" si="107">IF(AND($AS$12&gt;=$F49,$AS$12&lt;$G49),$E49,"")</f>
        <v/>
      </c>
      <c r="AT49" s="48" t="str">
        <f t="shared" ref="AT49:AT71" si="108">IF(AND($AT$12&gt;=$F49,$AT$12&lt;$G49),$E49,"")</f>
        <v/>
      </c>
      <c r="AU49" s="84" t="str">
        <f t="shared" ref="AU49:AU71" si="109">IF(AND($AU$12&gt;=$F49,$AU$12&lt;$G49),$E49,"")</f>
        <v/>
      </c>
      <c r="AV49" s="82" t="str">
        <f t="shared" ref="AV49:AV71" si="110">IF(AND($AV$12&gt;=$F49,$AV$12&lt;$G49),$E49,"")</f>
        <v/>
      </c>
      <c r="AW49" s="48" t="str">
        <f t="shared" ref="AW49:AW71" si="111">IF(AND($AW$12&gt;=$F49,$AW$12&lt;$G49),$E49,"")</f>
        <v/>
      </c>
      <c r="AX49" s="48" t="str">
        <f t="shared" ref="AX49:AX71" si="112">IF(AND($AX$12&gt;=$F49,$AX$12&lt;$G49),$E49,"")</f>
        <v/>
      </c>
      <c r="AY49" s="84" t="str">
        <f t="shared" ref="AY49:AY71" si="113">IF(AND($AY$12&gt;=$F49,$AY$12&lt;$G49),$E49,"")</f>
        <v/>
      </c>
      <c r="AZ49" s="82" t="str">
        <f t="shared" ref="AZ49:AZ71" si="114">IF(AND($AZ$12&gt;=$F49,$AZ$12&lt;$G49),$E49,"")</f>
        <v/>
      </c>
      <c r="BA49" s="48" t="str">
        <f t="shared" ref="BA49:BA71" si="115">IF(AND($BA$12&gt;=$F49,$BA$12&lt;$G49),$E49,"")</f>
        <v/>
      </c>
      <c r="BB49" s="48" t="str">
        <f t="shared" ref="BB49:BB71" si="116">IF(AND($BB$12&gt;=$F49,$BB$12&lt;$G49),$E49,"")</f>
        <v/>
      </c>
      <c r="BC49" s="84" t="str">
        <f t="shared" ref="BC49:BC71" si="117">IF(AND($BC$12&gt;=$F49,$BC$12&lt;$G49),$E49,"")</f>
        <v/>
      </c>
      <c r="BD49" s="82" t="str">
        <f t="shared" ref="BD49:BD71" si="118">IF(AND($BD$12&gt;=$F49,$BD$12&lt;$G49),$E49,"")</f>
        <v/>
      </c>
      <c r="BE49" s="48" t="str">
        <f t="shared" ref="BE49:BE71" si="119">IF(AND($BE$12&gt;=$F49,$BE$12&lt;$G49),$E49,"")</f>
        <v/>
      </c>
      <c r="BF49" s="48" t="str">
        <f t="shared" ref="BF49:BF71" si="120">IF(AND($BF$12&gt;=$F49,$BF$12&lt;$G49),$E49,"")</f>
        <v/>
      </c>
      <c r="BG49" s="84" t="str">
        <f t="shared" ref="BG49:BG71" si="121">IF(AND($BG$12&gt;=$F49,$BG$12&lt;$G49),$E49,"")</f>
        <v/>
      </c>
      <c r="BH49" s="87" t="str">
        <f t="shared" ref="BH49:BH71" si="122">IF(AND($BH$12&gt;=$F49,$BH$12&lt;$G49),$E49,"")</f>
        <v/>
      </c>
      <c r="BI49" s="49" t="str">
        <f t="shared" ref="BI49:BI71" si="123">IF(AND($BI$12&gt;=$F49,$BI$12&lt;$G49),$E49,"")</f>
        <v/>
      </c>
      <c r="BJ49" s="49" t="str">
        <f t="shared" ref="BJ49:BJ71" si="124">IF(AND($BJ$12&gt;=$F49,$BJ$12&lt;$G49),$E49,"")</f>
        <v/>
      </c>
      <c r="BK49" s="89" t="str">
        <f t="shared" ref="BK49:BK71" si="125">IF(AND($BK$12&gt;=$F49,$BK$12&lt;$G49),$E49,"")</f>
        <v/>
      </c>
      <c r="BL49" s="87" t="str">
        <f t="shared" ref="BL49:BL71" si="126">IF(AND($BL$12&gt;=$F49,$BL$12&lt;$G49),$E49,"")</f>
        <v/>
      </c>
      <c r="BM49" s="49" t="str">
        <f t="shared" ref="BM49:BM71" si="127">IF(AND($BM$12&gt;=$F49,$BM$12&lt;$G49),$E49,"")</f>
        <v/>
      </c>
      <c r="BN49" s="49" t="str">
        <f t="shared" ref="BN49:BN71" si="128">IF(AND($BN$12&gt;=$F49,$BN$12&lt;$G49),$E49,"")</f>
        <v/>
      </c>
      <c r="BO49" s="89" t="str">
        <f t="shared" ref="BO49:BO71" si="129">IF(AND($BO$12&gt;=$F49,$BO$12&lt;$G49),$E49,"")</f>
        <v/>
      </c>
      <c r="BP49" s="87" t="str">
        <f t="shared" ref="BP49:BP71" si="130">IF(AND($BP$12&gt;=$F49,$BP$12&lt;$G49),$E49,"")</f>
        <v/>
      </c>
      <c r="BQ49" s="49" t="str">
        <f t="shared" ref="BQ49:BQ71" si="131">IF(AND($BQ$12&gt;=$F49,$BQ$12&lt;$G49),$E49,"")</f>
        <v/>
      </c>
      <c r="BR49" s="49" t="str">
        <f t="shared" ref="BR49:BR71" si="132">IF(AND($BR$12&gt;=$F49,$BR$12&lt;$G49),$E49,"")</f>
        <v/>
      </c>
      <c r="BS49" s="89" t="str">
        <f t="shared" ref="BS49:BS71" si="133">IF(AND($BS$12&gt;=$F49,$BS$12&lt;$G49),$E49,"")</f>
        <v/>
      </c>
      <c r="BT49" s="87" t="str">
        <f t="shared" ref="BT49:BT71" si="134">IF(AND($BT$12&gt;=$F49,$BT$12&lt;$G49),$E49,"")</f>
        <v/>
      </c>
    </row>
    <row r="50" spans="2:72">
      <c r="B50" s="81" t="str">
        <f>Weekly!B42</f>
        <v>882</v>
      </c>
      <c r="C50" s="90" t="str">
        <f>Weekly!C42</f>
        <v>Masami</v>
      </c>
      <c r="D50" s="90" t="str">
        <f>Weekly!D49</f>
        <v>Lin</v>
      </c>
      <c r="E50" s="91" t="str">
        <f>VLOOKUP(B50,Team!$B$4:$E$183,4,FALSE)</f>
        <v>Acc.</v>
      </c>
      <c r="F50" s="92">
        <f>Weekly!S42</f>
        <v>0.45833333333333298</v>
      </c>
      <c r="G50" s="92">
        <f>Weekly!T42</f>
        <v>0.79166666666666596</v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/>
      </c>
      <c r="O50" s="84" t="str">
        <f t="shared" si="77"/>
        <v/>
      </c>
      <c r="P50" s="82" t="str">
        <f t="shared" si="78"/>
        <v/>
      </c>
      <c r="Q50" s="48" t="str">
        <f t="shared" si="79"/>
        <v/>
      </c>
      <c r="R50" s="48" t="str">
        <f t="shared" si="80"/>
        <v/>
      </c>
      <c r="S50" s="84" t="str">
        <f t="shared" si="81"/>
        <v/>
      </c>
      <c r="T50" s="82" t="str">
        <f t="shared" si="82"/>
        <v/>
      </c>
      <c r="U50" s="48" t="str">
        <f t="shared" si="83"/>
        <v/>
      </c>
      <c r="V50" s="48" t="str">
        <f t="shared" si="84"/>
        <v/>
      </c>
      <c r="W50" s="84" t="str">
        <f t="shared" si="85"/>
        <v/>
      </c>
      <c r="X50" s="82" t="str">
        <f t="shared" si="86"/>
        <v>Acc.</v>
      </c>
      <c r="Y50" s="48" t="str">
        <f t="shared" si="87"/>
        <v>Acc.</v>
      </c>
      <c r="Z50" s="48" t="str">
        <f t="shared" si="88"/>
        <v>Acc.</v>
      </c>
      <c r="AA50" s="84" t="str">
        <f t="shared" si="89"/>
        <v>Acc.</v>
      </c>
      <c r="AB50" s="82" t="str">
        <f t="shared" si="90"/>
        <v>Acc.</v>
      </c>
      <c r="AC50" s="48" t="str">
        <f t="shared" si="91"/>
        <v>Acc.</v>
      </c>
      <c r="AD50" s="48" t="str">
        <f t="shared" si="92"/>
        <v>Acc.</v>
      </c>
      <c r="AE50" s="84" t="str">
        <f t="shared" si="93"/>
        <v>Acc.</v>
      </c>
      <c r="AF50" s="82" t="str">
        <f t="shared" si="94"/>
        <v>Acc.</v>
      </c>
      <c r="AG50" s="48" t="str">
        <f t="shared" si="95"/>
        <v>Acc.</v>
      </c>
      <c r="AH50" s="48" t="str">
        <f t="shared" si="96"/>
        <v>Acc.</v>
      </c>
      <c r="AI50" s="84" t="str">
        <f t="shared" si="97"/>
        <v>Acc.</v>
      </c>
      <c r="AJ50" s="82" t="str">
        <f t="shared" si="98"/>
        <v>Acc.</v>
      </c>
      <c r="AK50" s="48" t="str">
        <f t="shared" si="99"/>
        <v>Acc.</v>
      </c>
      <c r="AL50" s="48" t="str">
        <f t="shared" si="100"/>
        <v>Acc.</v>
      </c>
      <c r="AM50" s="84" t="str">
        <f t="shared" si="101"/>
        <v>Acc.</v>
      </c>
      <c r="AN50" s="82" t="str">
        <f t="shared" si="102"/>
        <v>Acc.</v>
      </c>
      <c r="AO50" s="48" t="str">
        <f t="shared" si="103"/>
        <v>Acc.</v>
      </c>
      <c r="AP50" s="48" t="str">
        <f t="shared" si="104"/>
        <v>Acc.</v>
      </c>
      <c r="AQ50" s="84" t="str">
        <f t="shared" si="105"/>
        <v>Acc.</v>
      </c>
      <c r="AR50" s="82" t="str">
        <f t="shared" si="106"/>
        <v>Acc.</v>
      </c>
      <c r="AS50" s="48" t="str">
        <f t="shared" si="107"/>
        <v>Acc.</v>
      </c>
      <c r="AT50" s="48" t="str">
        <f t="shared" si="108"/>
        <v>Acc.</v>
      </c>
      <c r="AU50" s="84" t="str">
        <f t="shared" si="109"/>
        <v>Acc.</v>
      </c>
      <c r="AV50" s="82" t="str">
        <f t="shared" si="110"/>
        <v>Acc.</v>
      </c>
      <c r="AW50" s="48" t="str">
        <f t="shared" si="111"/>
        <v>Acc.</v>
      </c>
      <c r="AX50" s="48" t="str">
        <f t="shared" si="112"/>
        <v>Acc.</v>
      </c>
      <c r="AY50" s="84" t="str">
        <f t="shared" si="113"/>
        <v>Acc.</v>
      </c>
      <c r="AZ50" s="82" t="str">
        <f t="shared" si="114"/>
        <v>Acc.</v>
      </c>
      <c r="BA50" s="48" t="str">
        <f t="shared" si="115"/>
        <v>Acc.</v>
      </c>
      <c r="BB50" s="48" t="str">
        <f t="shared" si="116"/>
        <v>Acc.</v>
      </c>
      <c r="BC50" s="84" t="str">
        <f t="shared" si="117"/>
        <v>Acc.</v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>
      <c r="B51" s="81" t="str">
        <f>Weekly!B43</f>
        <v>1132</v>
      </c>
      <c r="C51" s="90" t="str">
        <f>Weekly!C43</f>
        <v>Michelle B.</v>
      </c>
      <c r="D51" s="90" t="str">
        <f>Weekly!D50</f>
        <v>Rabena</v>
      </c>
      <c r="E51" s="91" t="str">
        <f>VLOOKUP(B51,Team!$B$4:$E$183,4,FALSE)</f>
        <v>Stat.</v>
      </c>
      <c r="F51" s="92" t="str">
        <f>Weekly!S43</f>
        <v/>
      </c>
      <c r="G51" s="92" t="str">
        <f>Weekly!T43</f>
        <v/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/>
      </c>
      <c r="O51" s="84" t="str">
        <f t="shared" si="77"/>
        <v/>
      </c>
      <c r="P51" s="82" t="str">
        <f t="shared" si="78"/>
        <v/>
      </c>
      <c r="Q51" s="48" t="str">
        <f t="shared" si="79"/>
        <v/>
      </c>
      <c r="R51" s="48" t="str">
        <f t="shared" si="80"/>
        <v/>
      </c>
      <c r="S51" s="84" t="str">
        <f t="shared" si="81"/>
        <v/>
      </c>
      <c r="T51" s="82" t="str">
        <f t="shared" si="82"/>
        <v/>
      </c>
      <c r="U51" s="48" t="str">
        <f t="shared" si="83"/>
        <v/>
      </c>
      <c r="V51" s="48" t="str">
        <f t="shared" si="84"/>
        <v/>
      </c>
      <c r="W51" s="84" t="str">
        <f t="shared" si="85"/>
        <v/>
      </c>
      <c r="X51" s="82" t="str">
        <f t="shared" si="86"/>
        <v/>
      </c>
      <c r="Y51" s="48" t="str">
        <f t="shared" si="87"/>
        <v/>
      </c>
      <c r="Z51" s="48" t="str">
        <f t="shared" si="88"/>
        <v/>
      </c>
      <c r="AA51" s="84" t="str">
        <f t="shared" si="89"/>
        <v/>
      </c>
      <c r="AB51" s="82" t="str">
        <f t="shared" si="90"/>
        <v/>
      </c>
      <c r="AC51" s="48" t="str">
        <f t="shared" si="91"/>
        <v/>
      </c>
      <c r="AD51" s="48" t="str">
        <f t="shared" si="92"/>
        <v/>
      </c>
      <c r="AE51" s="84" t="str">
        <f t="shared" si="93"/>
        <v/>
      </c>
      <c r="AF51" s="82" t="str">
        <f t="shared" si="94"/>
        <v/>
      </c>
      <c r="AG51" s="48" t="str">
        <f t="shared" si="95"/>
        <v/>
      </c>
      <c r="AH51" s="48" t="str">
        <f t="shared" si="96"/>
        <v/>
      </c>
      <c r="AI51" s="84" t="str">
        <f t="shared" si="97"/>
        <v/>
      </c>
      <c r="AJ51" s="82" t="str">
        <f t="shared" si="98"/>
        <v/>
      </c>
      <c r="AK51" s="48" t="str">
        <f t="shared" si="99"/>
        <v/>
      </c>
      <c r="AL51" s="48" t="str">
        <f t="shared" si="100"/>
        <v/>
      </c>
      <c r="AM51" s="84" t="str">
        <f t="shared" si="101"/>
        <v/>
      </c>
      <c r="AN51" s="82" t="str">
        <f t="shared" si="102"/>
        <v/>
      </c>
      <c r="AO51" s="48" t="str">
        <f t="shared" si="103"/>
        <v/>
      </c>
      <c r="AP51" s="48" t="str">
        <f t="shared" si="104"/>
        <v/>
      </c>
      <c r="AQ51" s="84" t="str">
        <f t="shared" si="105"/>
        <v/>
      </c>
      <c r="AR51" s="82" t="str">
        <f t="shared" si="106"/>
        <v/>
      </c>
      <c r="AS51" s="48" t="str">
        <f t="shared" si="107"/>
        <v/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>
      <c r="B52" s="81" t="str">
        <f>Weekly!B44</f>
        <v>01525</v>
      </c>
      <c r="C52" s="90" t="str">
        <f>Weekly!C44</f>
        <v>Michelle T.</v>
      </c>
      <c r="D52" s="90" t="str">
        <f>Weekly!D51</f>
        <v>Seeto</v>
      </c>
      <c r="E52" s="91" t="str">
        <f>VLOOKUP(B52,Team!$B$4:$E$183,4,FALSE)</f>
        <v>Acc.</v>
      </c>
      <c r="F52" s="92">
        <f>Weekly!S44</f>
        <v>0.35416666666666602</v>
      </c>
      <c r="G52" s="92">
        <f>Weekly!T44</f>
        <v>0.687499999999999</v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>Acc.</v>
      </c>
      <c r="O52" s="84" t="str">
        <f t="shared" si="77"/>
        <v>Acc.</v>
      </c>
      <c r="P52" s="82" t="str">
        <f t="shared" si="78"/>
        <v>Acc.</v>
      </c>
      <c r="Q52" s="48" t="str">
        <f t="shared" si="79"/>
        <v>Acc.</v>
      </c>
      <c r="R52" s="48" t="str">
        <f t="shared" si="80"/>
        <v>Acc.</v>
      </c>
      <c r="S52" s="84" t="str">
        <f t="shared" si="81"/>
        <v>Acc.</v>
      </c>
      <c r="T52" s="82" t="str">
        <f t="shared" si="82"/>
        <v>Acc.</v>
      </c>
      <c r="U52" s="48" t="str">
        <f t="shared" si="83"/>
        <v>Acc.</v>
      </c>
      <c r="V52" s="48" t="str">
        <f t="shared" si="84"/>
        <v>Acc.</v>
      </c>
      <c r="W52" s="84" t="str">
        <f t="shared" si="85"/>
        <v>Acc.</v>
      </c>
      <c r="X52" s="82" t="str">
        <f t="shared" si="86"/>
        <v>Acc.</v>
      </c>
      <c r="Y52" s="48" t="str">
        <f t="shared" si="87"/>
        <v>Acc.</v>
      </c>
      <c r="Z52" s="48" t="str">
        <f t="shared" si="88"/>
        <v>Acc.</v>
      </c>
      <c r="AA52" s="84" t="str">
        <f t="shared" si="89"/>
        <v>Acc.</v>
      </c>
      <c r="AB52" s="82" t="str">
        <f t="shared" si="90"/>
        <v>Acc.</v>
      </c>
      <c r="AC52" s="48" t="str">
        <f t="shared" si="91"/>
        <v>Acc.</v>
      </c>
      <c r="AD52" s="48" t="str">
        <f t="shared" si="92"/>
        <v>Acc.</v>
      </c>
      <c r="AE52" s="84" t="str">
        <f t="shared" si="93"/>
        <v>Acc.</v>
      </c>
      <c r="AF52" s="82" t="str">
        <f t="shared" si="94"/>
        <v>Acc.</v>
      </c>
      <c r="AG52" s="48" t="str">
        <f t="shared" si="95"/>
        <v>Acc.</v>
      </c>
      <c r="AH52" s="48" t="str">
        <f t="shared" si="96"/>
        <v>Acc.</v>
      </c>
      <c r="AI52" s="84" t="str">
        <f t="shared" si="97"/>
        <v>Acc.</v>
      </c>
      <c r="AJ52" s="82" t="str">
        <f t="shared" si="98"/>
        <v>Acc.</v>
      </c>
      <c r="AK52" s="48" t="str">
        <f t="shared" si="99"/>
        <v>Acc.</v>
      </c>
      <c r="AL52" s="48" t="str">
        <f t="shared" si="100"/>
        <v>Acc.</v>
      </c>
      <c r="AM52" s="84" t="str">
        <f t="shared" si="101"/>
        <v>Acc.</v>
      </c>
      <c r="AN52" s="82" t="str">
        <f t="shared" si="102"/>
        <v>Acc.</v>
      </c>
      <c r="AO52" s="48" t="str">
        <f t="shared" si="103"/>
        <v>Acc.</v>
      </c>
      <c r="AP52" s="48" t="str">
        <f t="shared" si="104"/>
        <v>Acc.</v>
      </c>
      <c r="AQ52" s="84" t="str">
        <f t="shared" si="105"/>
        <v>Acc.</v>
      </c>
      <c r="AR52" s="82" t="str">
        <f t="shared" si="106"/>
        <v>Acc.</v>
      </c>
      <c r="AS52" s="48" t="str">
        <f t="shared" si="107"/>
        <v>Acc.</v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>
      <c r="B53" s="81" t="str">
        <f>Weekly!B45</f>
        <v>1234</v>
      </c>
      <c r="C53" s="90" t="str">
        <f>Weekly!C45</f>
        <v>Misato</v>
      </c>
      <c r="D53" s="90" t="str">
        <f>Weekly!D52</f>
        <v>Deoferio</v>
      </c>
      <c r="E53" s="91" t="str">
        <f>VLOOKUP(B53,Team!$B$4:$E$183,4,FALSE)</f>
        <v>L's</v>
      </c>
      <c r="F53" s="92">
        <f>Weekly!S45</f>
        <v>0.35416666666666602</v>
      </c>
      <c r="G53" s="92">
        <f>Weekly!T45</f>
        <v>0.687499999999999</v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>L's</v>
      </c>
      <c r="O53" s="84" t="str">
        <f t="shared" si="77"/>
        <v>L's</v>
      </c>
      <c r="P53" s="82" t="str">
        <f t="shared" si="78"/>
        <v>L's</v>
      </c>
      <c r="Q53" s="48" t="str">
        <f t="shared" si="79"/>
        <v>L's</v>
      </c>
      <c r="R53" s="48" t="str">
        <f t="shared" si="80"/>
        <v>L's</v>
      </c>
      <c r="S53" s="84" t="str">
        <f t="shared" si="81"/>
        <v>L's</v>
      </c>
      <c r="T53" s="82" t="str">
        <f t="shared" si="82"/>
        <v>L's</v>
      </c>
      <c r="U53" s="48" t="str">
        <f t="shared" si="83"/>
        <v>L's</v>
      </c>
      <c r="V53" s="48" t="str">
        <f t="shared" si="84"/>
        <v>L's</v>
      </c>
      <c r="W53" s="84" t="str">
        <f t="shared" si="85"/>
        <v>L's</v>
      </c>
      <c r="X53" s="82" t="str">
        <f t="shared" si="86"/>
        <v>L's</v>
      </c>
      <c r="Y53" s="48" t="str">
        <f t="shared" si="87"/>
        <v>L's</v>
      </c>
      <c r="Z53" s="48" t="str">
        <f t="shared" si="88"/>
        <v>L's</v>
      </c>
      <c r="AA53" s="84" t="str">
        <f t="shared" si="89"/>
        <v>L's</v>
      </c>
      <c r="AB53" s="82" t="str">
        <f t="shared" si="90"/>
        <v>L's</v>
      </c>
      <c r="AC53" s="48" t="str">
        <f t="shared" si="91"/>
        <v>L's</v>
      </c>
      <c r="AD53" s="48" t="str">
        <f t="shared" si="92"/>
        <v>L's</v>
      </c>
      <c r="AE53" s="84" t="str">
        <f t="shared" si="93"/>
        <v>L's</v>
      </c>
      <c r="AF53" s="82" t="str">
        <f t="shared" si="94"/>
        <v>L's</v>
      </c>
      <c r="AG53" s="48" t="str">
        <f t="shared" si="95"/>
        <v>L's</v>
      </c>
      <c r="AH53" s="48" t="str">
        <f t="shared" si="96"/>
        <v>L's</v>
      </c>
      <c r="AI53" s="84" t="str">
        <f t="shared" si="97"/>
        <v>L's</v>
      </c>
      <c r="AJ53" s="82" t="str">
        <f t="shared" si="98"/>
        <v>L's</v>
      </c>
      <c r="AK53" s="48" t="str">
        <f t="shared" si="99"/>
        <v>L's</v>
      </c>
      <c r="AL53" s="48" t="str">
        <f t="shared" si="100"/>
        <v>L's</v>
      </c>
      <c r="AM53" s="84" t="str">
        <f t="shared" si="101"/>
        <v>L's</v>
      </c>
      <c r="AN53" s="82" t="str">
        <f t="shared" si="102"/>
        <v>L's</v>
      </c>
      <c r="AO53" s="48" t="str">
        <f t="shared" si="103"/>
        <v>L's</v>
      </c>
      <c r="AP53" s="48" t="str">
        <f t="shared" si="104"/>
        <v>L's</v>
      </c>
      <c r="AQ53" s="84" t="str">
        <f t="shared" si="105"/>
        <v>L's</v>
      </c>
      <c r="AR53" s="82" t="str">
        <f t="shared" si="106"/>
        <v>L's</v>
      </c>
      <c r="AS53" s="48" t="str">
        <f t="shared" si="107"/>
        <v>L's</v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>
      <c r="B54" s="81" t="str">
        <f>Weekly!B46</f>
        <v>1015</v>
      </c>
      <c r="C54" s="90" t="str">
        <f>Weekly!C46</f>
        <v>Natalie C.</v>
      </c>
      <c r="D54" s="90" t="str">
        <f>Weekly!D53</f>
        <v>Chen</v>
      </c>
      <c r="E54" s="91" t="str">
        <f>VLOOKUP(B54,Team!$B$4:$E$183,4,FALSE)</f>
        <v>H&amp;B</v>
      </c>
      <c r="F54" s="92" t="str">
        <f>Weekly!S46</f>
        <v/>
      </c>
      <c r="G54" s="92" t="str">
        <f>Weekly!T46</f>
        <v/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/>
      </c>
      <c r="Y54" s="48" t="str">
        <f t="shared" si="87"/>
        <v/>
      </c>
      <c r="Z54" s="48" t="str">
        <f t="shared" si="88"/>
        <v/>
      </c>
      <c r="AA54" s="84" t="str">
        <f t="shared" si="89"/>
        <v/>
      </c>
      <c r="AB54" s="82" t="str">
        <f t="shared" si="90"/>
        <v/>
      </c>
      <c r="AC54" s="48" t="str">
        <f t="shared" si="91"/>
        <v/>
      </c>
      <c r="AD54" s="48" t="str">
        <f t="shared" si="92"/>
        <v/>
      </c>
      <c r="AE54" s="84" t="str">
        <f t="shared" si="93"/>
        <v/>
      </c>
      <c r="AF54" s="82" t="str">
        <f t="shared" si="94"/>
        <v/>
      </c>
      <c r="AG54" s="48" t="str">
        <f t="shared" si="95"/>
        <v/>
      </c>
      <c r="AH54" s="48" t="str">
        <f t="shared" si="96"/>
        <v/>
      </c>
      <c r="AI54" s="84" t="str">
        <f t="shared" si="97"/>
        <v/>
      </c>
      <c r="AJ54" s="82" t="str">
        <f t="shared" si="98"/>
        <v/>
      </c>
      <c r="AK54" s="48" t="str">
        <f t="shared" si="99"/>
        <v/>
      </c>
      <c r="AL54" s="48" t="str">
        <f t="shared" si="100"/>
        <v/>
      </c>
      <c r="AM54" s="84" t="str">
        <f t="shared" si="101"/>
        <v/>
      </c>
      <c r="AN54" s="82" t="str">
        <f t="shared" si="102"/>
        <v/>
      </c>
      <c r="AO54" s="48" t="str">
        <f t="shared" si="103"/>
        <v/>
      </c>
      <c r="AP54" s="48" t="str">
        <f t="shared" si="104"/>
        <v/>
      </c>
      <c r="AQ54" s="84" t="str">
        <f t="shared" si="105"/>
        <v/>
      </c>
      <c r="AR54" s="82" t="str">
        <f t="shared" si="106"/>
        <v/>
      </c>
      <c r="AS54" s="48" t="str">
        <f t="shared" si="107"/>
        <v/>
      </c>
      <c r="AT54" s="48" t="str">
        <f t="shared" si="108"/>
        <v/>
      </c>
      <c r="AU54" s="84" t="str">
        <f t="shared" si="109"/>
        <v/>
      </c>
      <c r="AV54" s="82" t="str">
        <f t="shared" si="110"/>
        <v/>
      </c>
      <c r="AW54" s="48" t="str">
        <f t="shared" si="111"/>
        <v/>
      </c>
      <c r="AX54" s="48" t="str">
        <f t="shared" si="112"/>
        <v/>
      </c>
      <c r="AY54" s="84" t="str">
        <f t="shared" si="113"/>
        <v/>
      </c>
      <c r="AZ54" s="82" t="str">
        <f t="shared" si="114"/>
        <v/>
      </c>
      <c r="BA54" s="48" t="str">
        <f t="shared" si="115"/>
        <v/>
      </c>
      <c r="BB54" s="48" t="str">
        <f t="shared" si="116"/>
        <v/>
      </c>
      <c r="BC54" s="84" t="str">
        <f t="shared" si="117"/>
        <v/>
      </c>
      <c r="BD54" s="82" t="str">
        <f t="shared" si="118"/>
        <v/>
      </c>
      <c r="BE54" s="48" t="str">
        <f t="shared" si="119"/>
        <v/>
      </c>
      <c r="BF54" s="48" t="str">
        <f t="shared" si="120"/>
        <v/>
      </c>
      <c r="BG54" s="84" t="str">
        <f t="shared" si="121"/>
        <v/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>
      <c r="B55" s="81" t="str">
        <f>Weekly!B47</f>
        <v>01529</v>
      </c>
      <c r="C55" s="90" t="str">
        <f>Weekly!C47</f>
        <v>Natalie N.</v>
      </c>
      <c r="D55" s="90" t="str">
        <f>Weekly!D54</f>
        <v>Ma</v>
      </c>
      <c r="E55" s="91" t="str">
        <f>VLOOKUP(B55,Team!$B$4:$E$183,4,FALSE)</f>
        <v>L's</v>
      </c>
      <c r="F55" s="92">
        <f>Weekly!S47</f>
        <v>0.35416666666666602</v>
      </c>
      <c r="G55" s="92">
        <f>Weekly!T47</f>
        <v>0.687499999999999</v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>L's</v>
      </c>
      <c r="O55" s="84" t="str">
        <f t="shared" si="77"/>
        <v>L's</v>
      </c>
      <c r="P55" s="82" t="str">
        <f t="shared" si="78"/>
        <v>L's</v>
      </c>
      <c r="Q55" s="48" t="str">
        <f t="shared" si="79"/>
        <v>L's</v>
      </c>
      <c r="R55" s="48" t="str">
        <f t="shared" si="80"/>
        <v>L's</v>
      </c>
      <c r="S55" s="84" t="str">
        <f t="shared" si="81"/>
        <v>L's</v>
      </c>
      <c r="T55" s="82" t="str">
        <f t="shared" si="82"/>
        <v>L's</v>
      </c>
      <c r="U55" s="48" t="str">
        <f t="shared" si="83"/>
        <v>L's</v>
      </c>
      <c r="V55" s="48" t="str">
        <f t="shared" si="84"/>
        <v>L's</v>
      </c>
      <c r="W55" s="84" t="str">
        <f t="shared" si="85"/>
        <v>L's</v>
      </c>
      <c r="X55" s="82" t="str">
        <f t="shared" si="86"/>
        <v>L's</v>
      </c>
      <c r="Y55" s="48" t="str">
        <f t="shared" si="87"/>
        <v>L's</v>
      </c>
      <c r="Z55" s="48" t="str">
        <f t="shared" si="88"/>
        <v>L's</v>
      </c>
      <c r="AA55" s="84" t="str">
        <f t="shared" si="89"/>
        <v>L's</v>
      </c>
      <c r="AB55" s="82" t="str">
        <f t="shared" si="90"/>
        <v>L's</v>
      </c>
      <c r="AC55" s="48" t="str">
        <f t="shared" si="91"/>
        <v>L's</v>
      </c>
      <c r="AD55" s="48" t="str">
        <f t="shared" si="92"/>
        <v>L's</v>
      </c>
      <c r="AE55" s="84" t="str">
        <f t="shared" si="93"/>
        <v>L's</v>
      </c>
      <c r="AF55" s="82" t="str">
        <f t="shared" si="94"/>
        <v>L's</v>
      </c>
      <c r="AG55" s="48" t="str">
        <f t="shared" si="95"/>
        <v>L's</v>
      </c>
      <c r="AH55" s="48" t="str">
        <f t="shared" si="96"/>
        <v>L's</v>
      </c>
      <c r="AI55" s="84" t="str">
        <f t="shared" si="97"/>
        <v>L's</v>
      </c>
      <c r="AJ55" s="82" t="str">
        <f t="shared" si="98"/>
        <v>L's</v>
      </c>
      <c r="AK55" s="48" t="str">
        <f t="shared" si="99"/>
        <v>L's</v>
      </c>
      <c r="AL55" s="48" t="str">
        <f t="shared" si="100"/>
        <v>L's</v>
      </c>
      <c r="AM55" s="84" t="str">
        <f t="shared" si="101"/>
        <v>L's</v>
      </c>
      <c r="AN55" s="82" t="str">
        <f t="shared" si="102"/>
        <v>L's</v>
      </c>
      <c r="AO55" s="48" t="str">
        <f t="shared" si="103"/>
        <v>L's</v>
      </c>
      <c r="AP55" s="48" t="str">
        <f t="shared" si="104"/>
        <v>L's</v>
      </c>
      <c r="AQ55" s="84" t="str">
        <f t="shared" si="105"/>
        <v>L's</v>
      </c>
      <c r="AR55" s="82" t="str">
        <f t="shared" si="106"/>
        <v>L's</v>
      </c>
      <c r="AS55" s="48" t="str">
        <f t="shared" si="107"/>
        <v>L's</v>
      </c>
      <c r="AT55" s="48" t="str">
        <f t="shared" si="108"/>
        <v/>
      </c>
      <c r="AU55" s="84" t="str">
        <f t="shared" si="109"/>
        <v/>
      </c>
      <c r="AV55" s="82" t="str">
        <f t="shared" si="110"/>
        <v/>
      </c>
      <c r="AW55" s="48" t="str">
        <f t="shared" si="111"/>
        <v/>
      </c>
      <c r="AX55" s="48" t="str">
        <f t="shared" si="112"/>
        <v/>
      </c>
      <c r="AY55" s="84" t="str">
        <f t="shared" si="113"/>
        <v/>
      </c>
      <c r="AZ55" s="82" t="str">
        <f t="shared" si="114"/>
        <v/>
      </c>
      <c r="BA55" s="48" t="str">
        <f t="shared" si="115"/>
        <v/>
      </c>
      <c r="BB55" s="48" t="str">
        <f t="shared" si="116"/>
        <v/>
      </c>
      <c r="BC55" s="84" t="str">
        <f t="shared" si="117"/>
        <v/>
      </c>
      <c r="BD55" s="82" t="str">
        <f t="shared" si="118"/>
        <v/>
      </c>
      <c r="BE55" s="48" t="str">
        <f t="shared" si="119"/>
        <v/>
      </c>
      <c r="BF55" s="48" t="str">
        <f t="shared" si="120"/>
        <v/>
      </c>
      <c r="BG55" s="84" t="str">
        <f t="shared" si="121"/>
        <v/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>
      <c r="B56" s="81" t="str">
        <f>Weekly!B48</f>
        <v>1257</v>
      </c>
      <c r="C56" s="90" t="str">
        <f>Weekly!C48</f>
        <v>Noreen</v>
      </c>
      <c r="D56" s="90" t="str">
        <f>Weekly!D55</f>
        <v>Lee</v>
      </c>
      <c r="E56" s="91" t="str">
        <f>VLOOKUP(B56,Team!$B$4:$E$183,4,FALSE)</f>
        <v>L's</v>
      </c>
      <c r="F56" s="92" t="str">
        <f>Weekly!S48</f>
        <v/>
      </c>
      <c r="G56" s="92" t="str">
        <f>Weekly!T48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>
      <c r="B57" s="81" t="str">
        <f>Weekly!B49</f>
        <v>1287</v>
      </c>
      <c r="C57" s="90" t="str">
        <f>Weekly!C49</f>
        <v>Pearl</v>
      </c>
      <c r="D57" s="90" t="str">
        <f>Weekly!D56</f>
        <v>Lim</v>
      </c>
      <c r="E57" s="91" t="str">
        <f>VLOOKUP(B57,Team!$B$4:$E$183,4,FALSE)</f>
        <v>L's</v>
      </c>
      <c r="F57" s="92" t="str">
        <f>Weekly!S49</f>
        <v/>
      </c>
      <c r="G57" s="92" t="str">
        <f>Weekly!T49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>
      <c r="B58" s="81" t="str">
        <f>Weekly!B50</f>
        <v>1232</v>
      </c>
      <c r="C58" s="90" t="str">
        <f>Weekly!C50</f>
        <v>Penny</v>
      </c>
      <c r="D58" s="90" t="str">
        <f>Weekly!D57</f>
        <v>Turner</v>
      </c>
      <c r="E58" s="91" t="str">
        <f>VLOOKUP(B58,Team!$B$4:$E$183,4,FALSE)</f>
        <v>L's</v>
      </c>
      <c r="F58" s="92" t="str">
        <f>Weekly!S50</f>
        <v/>
      </c>
      <c r="G58" s="92" t="str">
        <f>Weekly!T50</f>
        <v/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/>
      </c>
      <c r="O58" s="84" t="str">
        <f t="shared" si="77"/>
        <v/>
      </c>
      <c r="P58" s="82" t="str">
        <f t="shared" si="78"/>
        <v/>
      </c>
      <c r="Q58" s="48" t="str">
        <f t="shared" si="79"/>
        <v/>
      </c>
      <c r="R58" s="48" t="str">
        <f t="shared" si="80"/>
        <v/>
      </c>
      <c r="S58" s="84" t="str">
        <f t="shared" si="81"/>
        <v/>
      </c>
      <c r="T58" s="82" t="str">
        <f t="shared" si="82"/>
        <v/>
      </c>
      <c r="U58" s="48" t="str">
        <f t="shared" si="83"/>
        <v/>
      </c>
      <c r="V58" s="48" t="str">
        <f t="shared" si="84"/>
        <v/>
      </c>
      <c r="W58" s="84" t="str">
        <f t="shared" si="85"/>
        <v/>
      </c>
      <c r="X58" s="82" t="str">
        <f t="shared" si="86"/>
        <v/>
      </c>
      <c r="Y58" s="48" t="str">
        <f t="shared" si="87"/>
        <v/>
      </c>
      <c r="Z58" s="48" t="str">
        <f t="shared" si="88"/>
        <v/>
      </c>
      <c r="AA58" s="84" t="str">
        <f t="shared" si="89"/>
        <v/>
      </c>
      <c r="AB58" s="82" t="str">
        <f t="shared" si="90"/>
        <v/>
      </c>
      <c r="AC58" s="48" t="str">
        <f t="shared" si="91"/>
        <v/>
      </c>
      <c r="AD58" s="48" t="str">
        <f t="shared" si="92"/>
        <v/>
      </c>
      <c r="AE58" s="84" t="str">
        <f t="shared" si="93"/>
        <v/>
      </c>
      <c r="AF58" s="82" t="str">
        <f t="shared" si="94"/>
        <v/>
      </c>
      <c r="AG58" s="48" t="str">
        <f t="shared" si="95"/>
        <v/>
      </c>
      <c r="AH58" s="48" t="str">
        <f t="shared" si="96"/>
        <v/>
      </c>
      <c r="AI58" s="84" t="str">
        <f t="shared" si="97"/>
        <v/>
      </c>
      <c r="AJ58" s="82" t="str">
        <f t="shared" si="98"/>
        <v/>
      </c>
      <c r="AK58" s="48" t="str">
        <f t="shared" si="99"/>
        <v/>
      </c>
      <c r="AL58" s="48" t="str">
        <f t="shared" si="100"/>
        <v/>
      </c>
      <c r="AM58" s="84" t="str">
        <f t="shared" si="101"/>
        <v/>
      </c>
      <c r="AN58" s="82" t="str">
        <f t="shared" si="102"/>
        <v/>
      </c>
      <c r="AO58" s="48" t="str">
        <f t="shared" si="103"/>
        <v/>
      </c>
      <c r="AP58" s="48" t="str">
        <f t="shared" si="104"/>
        <v/>
      </c>
      <c r="AQ58" s="84" t="str">
        <f t="shared" si="105"/>
        <v/>
      </c>
      <c r="AR58" s="82" t="str">
        <f t="shared" si="106"/>
        <v/>
      </c>
      <c r="AS58" s="48" t="str">
        <f t="shared" si="107"/>
        <v/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>
      <c r="B59" s="81" t="str">
        <f>Weekly!B51</f>
        <v>303</v>
      </c>
      <c r="C59" s="90" t="str">
        <f>Weekly!C51</f>
        <v>Rachel</v>
      </c>
      <c r="D59" s="90" t="str">
        <f>Weekly!D58</f>
        <v>Wu</v>
      </c>
      <c r="E59" s="91" t="str">
        <f>VLOOKUP(B59,Team!$B$4:$E$183,4,FALSE)</f>
        <v>ADM</v>
      </c>
      <c r="F59" s="92">
        <f>Weekly!S51</f>
        <v>0.35416666666666602</v>
      </c>
      <c r="G59" s="92">
        <f>Weekly!T51</f>
        <v>0.64583333333333304</v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>ADM</v>
      </c>
      <c r="O59" s="84" t="str">
        <f t="shared" si="77"/>
        <v>ADM</v>
      </c>
      <c r="P59" s="82" t="str">
        <f t="shared" si="78"/>
        <v>ADM</v>
      </c>
      <c r="Q59" s="48" t="str">
        <f t="shared" si="79"/>
        <v>ADM</v>
      </c>
      <c r="R59" s="48" t="str">
        <f t="shared" si="80"/>
        <v>ADM</v>
      </c>
      <c r="S59" s="84" t="str">
        <f t="shared" si="81"/>
        <v>ADM</v>
      </c>
      <c r="T59" s="82" t="str">
        <f t="shared" si="82"/>
        <v>ADM</v>
      </c>
      <c r="U59" s="48" t="str">
        <f t="shared" si="83"/>
        <v>ADM</v>
      </c>
      <c r="V59" s="48" t="str">
        <f t="shared" si="84"/>
        <v>ADM</v>
      </c>
      <c r="W59" s="84" t="str">
        <f t="shared" si="85"/>
        <v>ADM</v>
      </c>
      <c r="X59" s="82" t="str">
        <f t="shared" si="86"/>
        <v>ADM</v>
      </c>
      <c r="Y59" s="48" t="str">
        <f t="shared" si="87"/>
        <v>ADM</v>
      </c>
      <c r="Z59" s="48" t="str">
        <f t="shared" si="88"/>
        <v>ADM</v>
      </c>
      <c r="AA59" s="84" t="str">
        <f t="shared" si="89"/>
        <v>ADM</v>
      </c>
      <c r="AB59" s="82" t="str">
        <f t="shared" si="90"/>
        <v>ADM</v>
      </c>
      <c r="AC59" s="48" t="str">
        <f t="shared" si="91"/>
        <v>ADM</v>
      </c>
      <c r="AD59" s="48" t="str">
        <f t="shared" si="92"/>
        <v>ADM</v>
      </c>
      <c r="AE59" s="84" t="str">
        <f t="shared" si="93"/>
        <v>ADM</v>
      </c>
      <c r="AF59" s="82" t="str">
        <f t="shared" si="94"/>
        <v>ADM</v>
      </c>
      <c r="AG59" s="48" t="str">
        <f t="shared" si="95"/>
        <v>ADM</v>
      </c>
      <c r="AH59" s="48" t="str">
        <f t="shared" si="96"/>
        <v>ADM</v>
      </c>
      <c r="AI59" s="84" t="str">
        <f t="shared" si="97"/>
        <v>ADM</v>
      </c>
      <c r="AJ59" s="82" t="str">
        <f t="shared" si="98"/>
        <v>ADM</v>
      </c>
      <c r="AK59" s="48" t="str">
        <f t="shared" si="99"/>
        <v>ADM</v>
      </c>
      <c r="AL59" s="48" t="str">
        <f t="shared" si="100"/>
        <v>ADM</v>
      </c>
      <c r="AM59" s="84" t="str">
        <f t="shared" si="101"/>
        <v>ADM</v>
      </c>
      <c r="AN59" s="82" t="str">
        <f t="shared" si="102"/>
        <v>ADM</v>
      </c>
      <c r="AO59" s="48" t="str">
        <f t="shared" si="103"/>
        <v>ADM</v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>
      <c r="B60" s="81" t="str">
        <f>Weekly!B52</f>
        <v>1142</v>
      </c>
      <c r="C60" s="90" t="str">
        <f>Weekly!C52</f>
        <v>Ralph</v>
      </c>
      <c r="D60" s="90" t="str">
        <f>Weekly!D59</f>
        <v>Shimada</v>
      </c>
      <c r="E60" s="91" t="str">
        <f>VLOOKUP(B60,Team!$B$4:$E$183,4,FALSE)</f>
        <v>L's</v>
      </c>
      <c r="F60" s="92" t="str">
        <f>Weekly!S52</f>
        <v/>
      </c>
      <c r="G60" s="92" t="str">
        <f>Weekly!T52</f>
        <v/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/>
      </c>
      <c r="O60" s="84" t="str">
        <f t="shared" si="77"/>
        <v/>
      </c>
      <c r="P60" s="82" t="str">
        <f t="shared" si="78"/>
        <v/>
      </c>
      <c r="Q60" s="48" t="str">
        <f t="shared" si="79"/>
        <v/>
      </c>
      <c r="R60" s="48" t="str">
        <f t="shared" si="80"/>
        <v/>
      </c>
      <c r="S60" s="84" t="str">
        <f t="shared" si="81"/>
        <v/>
      </c>
      <c r="T60" s="82" t="str">
        <f t="shared" si="82"/>
        <v/>
      </c>
      <c r="U60" s="48" t="str">
        <f t="shared" si="83"/>
        <v/>
      </c>
      <c r="V60" s="48" t="str">
        <f t="shared" si="84"/>
        <v/>
      </c>
      <c r="W60" s="84" t="str">
        <f t="shared" si="85"/>
        <v/>
      </c>
      <c r="X60" s="82" t="str">
        <f t="shared" si="86"/>
        <v/>
      </c>
      <c r="Y60" s="48" t="str">
        <f t="shared" si="87"/>
        <v/>
      </c>
      <c r="Z60" s="48" t="str">
        <f t="shared" si="88"/>
        <v/>
      </c>
      <c r="AA60" s="84" t="str">
        <f t="shared" si="89"/>
        <v/>
      </c>
      <c r="AB60" s="82" t="str">
        <f t="shared" si="90"/>
        <v/>
      </c>
      <c r="AC60" s="48" t="str">
        <f t="shared" si="91"/>
        <v/>
      </c>
      <c r="AD60" s="48" t="str">
        <f t="shared" si="92"/>
        <v/>
      </c>
      <c r="AE60" s="84" t="str">
        <f t="shared" si="93"/>
        <v/>
      </c>
      <c r="AF60" s="82" t="str">
        <f t="shared" si="94"/>
        <v/>
      </c>
      <c r="AG60" s="48" t="str">
        <f t="shared" si="95"/>
        <v/>
      </c>
      <c r="AH60" s="48" t="str">
        <f t="shared" si="96"/>
        <v/>
      </c>
      <c r="AI60" s="84" t="str">
        <f t="shared" si="97"/>
        <v/>
      </c>
      <c r="AJ60" s="82" t="str">
        <f t="shared" si="98"/>
        <v/>
      </c>
      <c r="AK60" s="48" t="str">
        <f t="shared" si="99"/>
        <v/>
      </c>
      <c r="AL60" s="48" t="str">
        <f t="shared" si="100"/>
        <v/>
      </c>
      <c r="AM60" s="84" t="str">
        <f t="shared" si="101"/>
        <v/>
      </c>
      <c r="AN60" s="82" t="str">
        <f t="shared" si="102"/>
        <v/>
      </c>
      <c r="AO60" s="48" t="str">
        <f t="shared" si="103"/>
        <v/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>
      <c r="B61" s="81" t="str">
        <f>Weekly!B53</f>
        <v>01528</v>
      </c>
      <c r="C61" s="90" t="str">
        <f>Weekly!C53</f>
        <v>Rena</v>
      </c>
      <c r="D61" s="90" t="str">
        <f>Weekly!D60</f>
        <v>Kim</v>
      </c>
      <c r="E61" s="91" t="str">
        <f>VLOOKUP(B61,Team!$B$4:$E$183,4,FALSE)</f>
        <v>L's</v>
      </c>
      <c r="F61" s="92" t="str">
        <f>Weekly!S53</f>
        <v/>
      </c>
      <c r="G61" s="92" t="str">
        <f>Weekly!T53</f>
        <v/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/>
      </c>
      <c r="O61" s="84" t="str">
        <f t="shared" si="77"/>
        <v/>
      </c>
      <c r="P61" s="82" t="str">
        <f t="shared" si="78"/>
        <v/>
      </c>
      <c r="Q61" s="48" t="str">
        <f t="shared" si="79"/>
        <v/>
      </c>
      <c r="R61" s="48" t="str">
        <f t="shared" si="80"/>
        <v/>
      </c>
      <c r="S61" s="84" t="str">
        <f t="shared" si="81"/>
        <v/>
      </c>
      <c r="T61" s="82" t="str">
        <f t="shared" si="82"/>
        <v/>
      </c>
      <c r="U61" s="48" t="str">
        <f t="shared" si="83"/>
        <v/>
      </c>
      <c r="V61" s="48" t="str">
        <f t="shared" si="84"/>
        <v/>
      </c>
      <c r="W61" s="84" t="str">
        <f t="shared" si="85"/>
        <v/>
      </c>
      <c r="X61" s="82" t="str">
        <f t="shared" si="86"/>
        <v/>
      </c>
      <c r="Y61" s="48" t="str">
        <f t="shared" si="87"/>
        <v/>
      </c>
      <c r="Z61" s="48" t="str">
        <f t="shared" si="88"/>
        <v/>
      </c>
      <c r="AA61" s="84" t="str">
        <f t="shared" si="89"/>
        <v/>
      </c>
      <c r="AB61" s="82" t="str">
        <f t="shared" si="90"/>
        <v/>
      </c>
      <c r="AC61" s="48" t="str">
        <f t="shared" si="91"/>
        <v/>
      </c>
      <c r="AD61" s="48" t="str">
        <f t="shared" si="92"/>
        <v/>
      </c>
      <c r="AE61" s="84" t="str">
        <f t="shared" si="93"/>
        <v/>
      </c>
      <c r="AF61" s="82" t="str">
        <f t="shared" si="94"/>
        <v/>
      </c>
      <c r="AG61" s="48" t="str">
        <f t="shared" si="95"/>
        <v/>
      </c>
      <c r="AH61" s="48" t="str">
        <f t="shared" si="96"/>
        <v/>
      </c>
      <c r="AI61" s="84" t="str">
        <f t="shared" si="97"/>
        <v/>
      </c>
      <c r="AJ61" s="82" t="str">
        <f t="shared" si="98"/>
        <v/>
      </c>
      <c r="AK61" s="48" t="str">
        <f t="shared" si="99"/>
        <v/>
      </c>
      <c r="AL61" s="48" t="str">
        <f t="shared" si="100"/>
        <v/>
      </c>
      <c r="AM61" s="84" t="str">
        <f t="shared" si="101"/>
        <v/>
      </c>
      <c r="AN61" s="82" t="str">
        <f t="shared" si="102"/>
        <v/>
      </c>
      <c r="AO61" s="48" t="str">
        <f t="shared" si="103"/>
        <v/>
      </c>
      <c r="AP61" s="48" t="str">
        <f t="shared" si="104"/>
        <v/>
      </c>
      <c r="AQ61" s="84" t="str">
        <f t="shared" si="105"/>
        <v/>
      </c>
      <c r="AR61" s="82" t="str">
        <f t="shared" si="106"/>
        <v/>
      </c>
      <c r="AS61" s="48" t="str">
        <f t="shared" si="107"/>
        <v/>
      </c>
      <c r="AT61" s="48" t="str">
        <f t="shared" si="108"/>
        <v/>
      </c>
      <c r="AU61" s="84" t="str">
        <f t="shared" si="109"/>
        <v/>
      </c>
      <c r="AV61" s="82" t="str">
        <f t="shared" si="110"/>
        <v/>
      </c>
      <c r="AW61" s="48" t="str">
        <f t="shared" si="111"/>
        <v/>
      </c>
      <c r="AX61" s="48" t="str">
        <f t="shared" si="112"/>
        <v/>
      </c>
      <c r="AY61" s="84" t="str">
        <f t="shared" si="113"/>
        <v/>
      </c>
      <c r="AZ61" s="82" t="str">
        <f t="shared" si="114"/>
        <v/>
      </c>
      <c r="BA61" s="48" t="str">
        <f t="shared" si="115"/>
        <v/>
      </c>
      <c r="BB61" s="48" t="str">
        <f t="shared" si="116"/>
        <v/>
      </c>
      <c r="BC61" s="84" t="str">
        <f t="shared" si="117"/>
        <v/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>
      <c r="B62" s="81" t="str">
        <f>Weekly!B54</f>
        <v>1237</v>
      </c>
      <c r="C62" s="90" t="str">
        <f>Weekly!C54</f>
        <v>Rich</v>
      </c>
      <c r="D62" s="90" t="str">
        <f>Weekly!D61</f>
        <v>Sin</v>
      </c>
      <c r="E62" s="91" t="str">
        <f>VLOOKUP(B62,Team!$B$4:$E$183,4,FALSE)</f>
        <v>F</v>
      </c>
      <c r="F62" s="92">
        <f>Weekly!S54</f>
        <v>0.35416666666666602</v>
      </c>
      <c r="G62" s="92">
        <f>Weekly!T54</f>
        <v>0.687499999999999</v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>F</v>
      </c>
      <c r="O62" s="84" t="str">
        <f t="shared" si="77"/>
        <v>F</v>
      </c>
      <c r="P62" s="82" t="str">
        <f t="shared" si="78"/>
        <v>F</v>
      </c>
      <c r="Q62" s="48" t="str">
        <f t="shared" si="79"/>
        <v>F</v>
      </c>
      <c r="R62" s="48" t="str">
        <f t="shared" si="80"/>
        <v>F</v>
      </c>
      <c r="S62" s="84" t="str">
        <f t="shared" si="81"/>
        <v>F</v>
      </c>
      <c r="T62" s="82" t="str">
        <f t="shared" si="82"/>
        <v>F</v>
      </c>
      <c r="U62" s="48" t="str">
        <f t="shared" si="83"/>
        <v>F</v>
      </c>
      <c r="V62" s="48" t="str">
        <f t="shared" si="84"/>
        <v>F</v>
      </c>
      <c r="W62" s="84" t="str">
        <f t="shared" si="85"/>
        <v>F</v>
      </c>
      <c r="X62" s="82" t="str">
        <f t="shared" si="86"/>
        <v>F</v>
      </c>
      <c r="Y62" s="48" t="str">
        <f t="shared" si="87"/>
        <v>F</v>
      </c>
      <c r="Z62" s="48" t="str">
        <f t="shared" si="88"/>
        <v>F</v>
      </c>
      <c r="AA62" s="84" t="str">
        <f t="shared" si="89"/>
        <v>F</v>
      </c>
      <c r="AB62" s="82" t="str">
        <f t="shared" si="90"/>
        <v>F</v>
      </c>
      <c r="AC62" s="48" t="str">
        <f t="shared" si="91"/>
        <v>F</v>
      </c>
      <c r="AD62" s="48" t="str">
        <f t="shared" si="92"/>
        <v>F</v>
      </c>
      <c r="AE62" s="84" t="str">
        <f t="shared" si="93"/>
        <v>F</v>
      </c>
      <c r="AF62" s="82" t="str">
        <f t="shared" si="94"/>
        <v>F</v>
      </c>
      <c r="AG62" s="48" t="str">
        <f t="shared" si="95"/>
        <v>F</v>
      </c>
      <c r="AH62" s="48" t="str">
        <f t="shared" si="96"/>
        <v>F</v>
      </c>
      <c r="AI62" s="84" t="str">
        <f t="shared" si="97"/>
        <v>F</v>
      </c>
      <c r="AJ62" s="82" t="str">
        <f t="shared" si="98"/>
        <v>F</v>
      </c>
      <c r="AK62" s="48" t="str">
        <f t="shared" si="99"/>
        <v>F</v>
      </c>
      <c r="AL62" s="48" t="str">
        <f t="shared" si="100"/>
        <v>F</v>
      </c>
      <c r="AM62" s="84" t="str">
        <f t="shared" si="101"/>
        <v>F</v>
      </c>
      <c r="AN62" s="82" t="str">
        <f t="shared" si="102"/>
        <v>F</v>
      </c>
      <c r="AO62" s="48" t="str">
        <f t="shared" si="103"/>
        <v>F</v>
      </c>
      <c r="AP62" s="48" t="str">
        <f t="shared" si="104"/>
        <v>F</v>
      </c>
      <c r="AQ62" s="84" t="str">
        <f t="shared" si="105"/>
        <v>F</v>
      </c>
      <c r="AR62" s="82" t="str">
        <f t="shared" si="106"/>
        <v>F</v>
      </c>
      <c r="AS62" s="48" t="str">
        <f t="shared" si="107"/>
        <v>F</v>
      </c>
      <c r="AT62" s="48" t="str">
        <f t="shared" si="108"/>
        <v/>
      </c>
      <c r="AU62" s="84" t="str">
        <f t="shared" si="109"/>
        <v/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>
      <c r="B63" s="81" t="str">
        <f>Weekly!B55</f>
        <v>1133</v>
      </c>
      <c r="C63" s="90" t="str">
        <f>Weekly!C55</f>
        <v>Sarah</v>
      </c>
      <c r="D63" s="90">
        <f>Weekly!D62</f>
        <v>0</v>
      </c>
      <c r="E63" s="91" t="str">
        <f>VLOOKUP(B63,Team!$B$4:$E$183,4,FALSE)</f>
        <v>L's</v>
      </c>
      <c r="F63" s="92" t="str">
        <f>Weekly!S55</f>
        <v/>
      </c>
      <c r="G63" s="92" t="str">
        <f>Weekly!T55</f>
        <v/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/>
      </c>
      <c r="Q63" s="48" t="str">
        <f t="shared" si="79"/>
        <v/>
      </c>
      <c r="R63" s="48" t="str">
        <f t="shared" si="80"/>
        <v/>
      </c>
      <c r="S63" s="84" t="str">
        <f t="shared" si="81"/>
        <v/>
      </c>
      <c r="T63" s="82" t="str">
        <f t="shared" si="82"/>
        <v/>
      </c>
      <c r="U63" s="48" t="str">
        <f t="shared" si="83"/>
        <v/>
      </c>
      <c r="V63" s="48" t="str">
        <f t="shared" si="84"/>
        <v/>
      </c>
      <c r="W63" s="84" t="str">
        <f t="shared" si="85"/>
        <v/>
      </c>
      <c r="X63" s="82" t="str">
        <f t="shared" si="86"/>
        <v/>
      </c>
      <c r="Y63" s="48" t="str">
        <f t="shared" si="87"/>
        <v/>
      </c>
      <c r="Z63" s="48" t="str">
        <f t="shared" si="88"/>
        <v/>
      </c>
      <c r="AA63" s="84" t="str">
        <f t="shared" si="89"/>
        <v/>
      </c>
      <c r="AB63" s="82" t="str">
        <f t="shared" si="90"/>
        <v/>
      </c>
      <c r="AC63" s="48" t="str">
        <f t="shared" si="91"/>
        <v/>
      </c>
      <c r="AD63" s="48" t="str">
        <f t="shared" si="92"/>
        <v/>
      </c>
      <c r="AE63" s="84" t="str">
        <f t="shared" si="93"/>
        <v/>
      </c>
      <c r="AF63" s="82" t="str">
        <f t="shared" si="94"/>
        <v/>
      </c>
      <c r="AG63" s="48" t="str">
        <f t="shared" si="95"/>
        <v/>
      </c>
      <c r="AH63" s="48" t="str">
        <f t="shared" si="96"/>
        <v/>
      </c>
      <c r="AI63" s="84" t="str">
        <f t="shared" si="97"/>
        <v/>
      </c>
      <c r="AJ63" s="82" t="str">
        <f t="shared" si="98"/>
        <v/>
      </c>
      <c r="AK63" s="48" t="str">
        <f t="shared" si="99"/>
        <v/>
      </c>
      <c r="AL63" s="48" t="str">
        <f t="shared" si="100"/>
        <v/>
      </c>
      <c r="AM63" s="84" t="str">
        <f t="shared" si="101"/>
        <v/>
      </c>
      <c r="AN63" s="82" t="str">
        <f t="shared" si="102"/>
        <v/>
      </c>
      <c r="AO63" s="48" t="str">
        <f t="shared" si="103"/>
        <v/>
      </c>
      <c r="AP63" s="48" t="str">
        <f t="shared" si="104"/>
        <v/>
      </c>
      <c r="AQ63" s="84" t="str">
        <f t="shared" si="105"/>
        <v/>
      </c>
      <c r="AR63" s="82" t="str">
        <f t="shared" si="106"/>
        <v/>
      </c>
      <c r="AS63" s="48" t="str">
        <f t="shared" si="107"/>
        <v/>
      </c>
      <c r="AT63" s="48" t="str">
        <f t="shared" si="108"/>
        <v/>
      </c>
      <c r="AU63" s="84" t="str">
        <f t="shared" si="109"/>
        <v/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>
      <c r="B64" s="81" t="str">
        <f>Weekly!B56</f>
        <v>891</v>
      </c>
      <c r="C64" s="90" t="str">
        <f>Weekly!C56</f>
        <v>Sienna</v>
      </c>
      <c r="D64" s="90">
        <f>Weekly!D63</f>
        <v>0</v>
      </c>
      <c r="E64" s="91" t="str">
        <f>VLOOKUP(B64,Team!$B$4:$E$183,4,FALSE)</f>
        <v>Stat.</v>
      </c>
      <c r="F64" s="92" t="str">
        <f>Weekly!S56</f>
        <v/>
      </c>
      <c r="G64" s="92" t="str">
        <f>Weekly!T56</f>
        <v/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/>
      </c>
      <c r="Y64" s="48" t="str">
        <f t="shared" si="87"/>
        <v/>
      </c>
      <c r="Z64" s="48" t="str">
        <f t="shared" si="88"/>
        <v/>
      </c>
      <c r="AA64" s="84" t="str">
        <f t="shared" si="89"/>
        <v/>
      </c>
      <c r="AB64" s="82" t="str">
        <f t="shared" si="90"/>
        <v/>
      </c>
      <c r="AC64" s="48" t="str">
        <f t="shared" si="91"/>
        <v/>
      </c>
      <c r="AD64" s="48" t="str">
        <f t="shared" si="92"/>
        <v/>
      </c>
      <c r="AE64" s="84" t="str">
        <f t="shared" si="93"/>
        <v/>
      </c>
      <c r="AF64" s="82" t="str">
        <f t="shared" si="94"/>
        <v/>
      </c>
      <c r="AG64" s="48" t="str">
        <f t="shared" si="95"/>
        <v/>
      </c>
      <c r="AH64" s="48" t="str">
        <f t="shared" si="96"/>
        <v/>
      </c>
      <c r="AI64" s="84" t="str">
        <f t="shared" si="97"/>
        <v/>
      </c>
      <c r="AJ64" s="82" t="str">
        <f t="shared" si="98"/>
        <v/>
      </c>
      <c r="AK64" s="48" t="str">
        <f t="shared" si="99"/>
        <v/>
      </c>
      <c r="AL64" s="48" t="str">
        <f t="shared" si="100"/>
        <v/>
      </c>
      <c r="AM64" s="84" t="str">
        <f t="shared" si="101"/>
        <v/>
      </c>
      <c r="AN64" s="82" t="str">
        <f t="shared" si="102"/>
        <v/>
      </c>
      <c r="AO64" s="48" t="str">
        <f t="shared" si="103"/>
        <v/>
      </c>
      <c r="AP64" s="48" t="str">
        <f t="shared" si="104"/>
        <v/>
      </c>
      <c r="AQ64" s="84" t="str">
        <f t="shared" si="105"/>
        <v/>
      </c>
      <c r="AR64" s="82" t="str">
        <f t="shared" si="106"/>
        <v/>
      </c>
      <c r="AS64" s="48" t="str">
        <f t="shared" si="107"/>
        <v/>
      </c>
      <c r="AT64" s="48" t="str">
        <f t="shared" si="108"/>
        <v/>
      </c>
      <c r="AU64" s="84" t="str">
        <f t="shared" si="109"/>
        <v/>
      </c>
      <c r="AV64" s="82" t="str">
        <f t="shared" si="110"/>
        <v/>
      </c>
      <c r="AW64" s="48" t="str">
        <f t="shared" si="111"/>
        <v/>
      </c>
      <c r="AX64" s="48" t="str">
        <f t="shared" si="112"/>
        <v/>
      </c>
      <c r="AY64" s="84" t="str">
        <f t="shared" si="113"/>
        <v/>
      </c>
      <c r="AZ64" s="82" t="str">
        <f t="shared" si="114"/>
        <v/>
      </c>
      <c r="BA64" s="48" t="str">
        <f t="shared" si="115"/>
        <v/>
      </c>
      <c r="BB64" s="48" t="str">
        <f t="shared" si="116"/>
        <v/>
      </c>
      <c r="BC64" s="84" t="str">
        <f t="shared" si="117"/>
        <v/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>
      <c r="B65" s="81" t="str">
        <f>Weekly!B57</f>
        <v>1108</v>
      </c>
      <c r="C65" s="90" t="str">
        <f>Weekly!C57</f>
        <v>Tara</v>
      </c>
      <c r="D65" s="90">
        <f>Weekly!D64</f>
        <v>0</v>
      </c>
      <c r="E65" s="91" t="str">
        <f>VLOOKUP(B65,Team!$B$4:$E$183,4,FALSE)</f>
        <v>ASM</v>
      </c>
      <c r="F65" s="92">
        <f>Weekly!S57</f>
        <v>0.45833333333333298</v>
      </c>
      <c r="G65" s="92">
        <f>Weekly!T57</f>
        <v>0.79166666666666596</v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/>
      </c>
      <c r="Q65" s="48" t="str">
        <f t="shared" si="79"/>
        <v/>
      </c>
      <c r="R65" s="48" t="str">
        <f t="shared" si="80"/>
        <v/>
      </c>
      <c r="S65" s="84" t="str">
        <f t="shared" si="81"/>
        <v/>
      </c>
      <c r="T65" s="82" t="str">
        <f t="shared" si="82"/>
        <v/>
      </c>
      <c r="U65" s="48" t="str">
        <f t="shared" si="83"/>
        <v/>
      </c>
      <c r="V65" s="48" t="str">
        <f t="shared" si="84"/>
        <v/>
      </c>
      <c r="W65" s="84" t="str">
        <f t="shared" si="85"/>
        <v/>
      </c>
      <c r="X65" s="82" t="str">
        <f t="shared" si="86"/>
        <v>ASM</v>
      </c>
      <c r="Y65" s="48" t="str">
        <f t="shared" si="87"/>
        <v>ASM</v>
      </c>
      <c r="Z65" s="48" t="str">
        <f t="shared" si="88"/>
        <v>ASM</v>
      </c>
      <c r="AA65" s="84" t="str">
        <f t="shared" si="89"/>
        <v>ASM</v>
      </c>
      <c r="AB65" s="82" t="str">
        <f t="shared" si="90"/>
        <v>ASM</v>
      </c>
      <c r="AC65" s="48" t="str">
        <f t="shared" si="91"/>
        <v>ASM</v>
      </c>
      <c r="AD65" s="48" t="str">
        <f t="shared" si="92"/>
        <v>ASM</v>
      </c>
      <c r="AE65" s="84" t="str">
        <f t="shared" si="93"/>
        <v>ASM</v>
      </c>
      <c r="AF65" s="82" t="str">
        <f t="shared" si="94"/>
        <v>ASM</v>
      </c>
      <c r="AG65" s="48" t="str">
        <f t="shared" si="95"/>
        <v>ASM</v>
      </c>
      <c r="AH65" s="48" t="str">
        <f t="shared" si="96"/>
        <v>ASM</v>
      </c>
      <c r="AI65" s="84" t="str">
        <f t="shared" si="97"/>
        <v>ASM</v>
      </c>
      <c r="AJ65" s="82" t="str">
        <f t="shared" si="98"/>
        <v>ASM</v>
      </c>
      <c r="AK65" s="48" t="str">
        <f t="shared" si="99"/>
        <v>ASM</v>
      </c>
      <c r="AL65" s="48" t="str">
        <f t="shared" si="100"/>
        <v>ASM</v>
      </c>
      <c r="AM65" s="84" t="str">
        <f t="shared" si="101"/>
        <v>ASM</v>
      </c>
      <c r="AN65" s="82" t="str">
        <f t="shared" si="102"/>
        <v>ASM</v>
      </c>
      <c r="AO65" s="48" t="str">
        <f t="shared" si="103"/>
        <v>ASM</v>
      </c>
      <c r="AP65" s="48" t="str">
        <f t="shared" si="104"/>
        <v>ASM</v>
      </c>
      <c r="AQ65" s="84" t="str">
        <f t="shared" si="105"/>
        <v>ASM</v>
      </c>
      <c r="AR65" s="82" t="str">
        <f t="shared" si="106"/>
        <v>ASM</v>
      </c>
      <c r="AS65" s="48" t="str">
        <f t="shared" si="107"/>
        <v>ASM</v>
      </c>
      <c r="AT65" s="48" t="str">
        <f t="shared" si="108"/>
        <v>ASM</v>
      </c>
      <c r="AU65" s="84" t="str">
        <f t="shared" si="109"/>
        <v>ASM</v>
      </c>
      <c r="AV65" s="82" t="str">
        <f t="shared" si="110"/>
        <v>ASM</v>
      </c>
      <c r="AW65" s="48" t="str">
        <f t="shared" si="111"/>
        <v>ASM</v>
      </c>
      <c r="AX65" s="48" t="str">
        <f t="shared" si="112"/>
        <v>ASM</v>
      </c>
      <c r="AY65" s="84" t="str">
        <f t="shared" si="113"/>
        <v>ASM</v>
      </c>
      <c r="AZ65" s="82" t="str">
        <f t="shared" si="114"/>
        <v>ASM</v>
      </c>
      <c r="BA65" s="48" t="str">
        <f t="shared" si="115"/>
        <v>ASM</v>
      </c>
      <c r="BB65" s="48" t="str">
        <f t="shared" si="116"/>
        <v>ASM</v>
      </c>
      <c r="BC65" s="84" t="str">
        <f t="shared" si="117"/>
        <v>ASM</v>
      </c>
      <c r="BD65" s="82" t="str">
        <f t="shared" si="118"/>
        <v/>
      </c>
      <c r="BE65" s="48" t="str">
        <f t="shared" si="119"/>
        <v/>
      </c>
      <c r="BF65" s="48" t="str">
        <f t="shared" si="120"/>
        <v/>
      </c>
      <c r="BG65" s="84" t="str">
        <f t="shared" si="121"/>
        <v/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>
      <c r="B66" s="81" t="str">
        <f>Weekly!B58</f>
        <v>01521</v>
      </c>
      <c r="C66" s="90" t="str">
        <f>Weekly!C58</f>
        <v>Tom</v>
      </c>
      <c r="D66" s="90">
        <f>Weekly!D65</f>
        <v>0</v>
      </c>
      <c r="E66" s="91" t="str">
        <f>VLOOKUP(B66,Team!$B$4:$E$183,4,FALSE)</f>
        <v>M's</v>
      </c>
      <c r="F66" s="92" t="str">
        <f>Weekly!S58</f>
        <v/>
      </c>
      <c r="G66" s="92" t="str">
        <f>Weekly!T58</f>
        <v/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/>
      </c>
      <c r="Q66" s="48" t="str">
        <f t="shared" si="79"/>
        <v/>
      </c>
      <c r="R66" s="48" t="str">
        <f t="shared" si="80"/>
        <v/>
      </c>
      <c r="S66" s="84" t="str">
        <f t="shared" si="81"/>
        <v/>
      </c>
      <c r="T66" s="82" t="str">
        <f t="shared" si="82"/>
        <v/>
      </c>
      <c r="U66" s="48" t="str">
        <f t="shared" si="83"/>
        <v/>
      </c>
      <c r="V66" s="48" t="str">
        <f t="shared" si="84"/>
        <v/>
      </c>
      <c r="W66" s="84" t="str">
        <f t="shared" si="85"/>
        <v/>
      </c>
      <c r="X66" s="82" t="str">
        <f t="shared" si="86"/>
        <v/>
      </c>
      <c r="Y66" s="48" t="str">
        <f t="shared" si="87"/>
        <v/>
      </c>
      <c r="Z66" s="48" t="str">
        <f t="shared" si="88"/>
        <v/>
      </c>
      <c r="AA66" s="84" t="str">
        <f t="shared" si="89"/>
        <v/>
      </c>
      <c r="AB66" s="82" t="str">
        <f t="shared" si="90"/>
        <v/>
      </c>
      <c r="AC66" s="48" t="str">
        <f t="shared" si="91"/>
        <v/>
      </c>
      <c r="AD66" s="48" t="str">
        <f t="shared" si="92"/>
        <v/>
      </c>
      <c r="AE66" s="84" t="str">
        <f t="shared" si="93"/>
        <v/>
      </c>
      <c r="AF66" s="82" t="str">
        <f t="shared" si="94"/>
        <v/>
      </c>
      <c r="AG66" s="48" t="str">
        <f t="shared" si="95"/>
        <v/>
      </c>
      <c r="AH66" s="48" t="str">
        <f t="shared" si="96"/>
        <v/>
      </c>
      <c r="AI66" s="84" t="str">
        <f t="shared" si="97"/>
        <v/>
      </c>
      <c r="AJ66" s="82" t="str">
        <f t="shared" si="98"/>
        <v/>
      </c>
      <c r="AK66" s="48" t="str">
        <f t="shared" si="99"/>
        <v/>
      </c>
      <c r="AL66" s="48" t="str">
        <f t="shared" si="100"/>
        <v/>
      </c>
      <c r="AM66" s="84" t="str">
        <f t="shared" si="101"/>
        <v/>
      </c>
      <c r="AN66" s="82" t="str">
        <f t="shared" si="102"/>
        <v/>
      </c>
      <c r="AO66" s="48" t="str">
        <f t="shared" si="103"/>
        <v/>
      </c>
      <c r="AP66" s="48" t="str">
        <f t="shared" si="104"/>
        <v/>
      </c>
      <c r="AQ66" s="84" t="str">
        <f t="shared" si="105"/>
        <v/>
      </c>
      <c r="AR66" s="82" t="str">
        <f t="shared" si="106"/>
        <v/>
      </c>
      <c r="AS66" s="48" t="str">
        <f t="shared" si="107"/>
        <v/>
      </c>
      <c r="AT66" s="48" t="str">
        <f t="shared" si="108"/>
        <v/>
      </c>
      <c r="AU66" s="84" t="str">
        <f t="shared" si="109"/>
        <v/>
      </c>
      <c r="AV66" s="82" t="str">
        <f t="shared" si="110"/>
        <v/>
      </c>
      <c r="AW66" s="48" t="str">
        <f t="shared" si="111"/>
        <v/>
      </c>
      <c r="AX66" s="48" t="str">
        <f t="shared" si="112"/>
        <v/>
      </c>
      <c r="AY66" s="84" t="str">
        <f t="shared" si="113"/>
        <v/>
      </c>
      <c r="AZ66" s="82" t="str">
        <f t="shared" si="114"/>
        <v/>
      </c>
      <c r="BA66" s="48" t="str">
        <f t="shared" si="115"/>
        <v/>
      </c>
      <c r="BB66" s="48" t="str">
        <f t="shared" si="116"/>
        <v/>
      </c>
      <c r="BC66" s="84" t="str">
        <f t="shared" si="117"/>
        <v/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>
      <c r="B67" s="81" t="str">
        <f>Weekly!B59</f>
        <v>1062</v>
      </c>
      <c r="C67" s="90" t="str">
        <f>Weekly!C59</f>
        <v>Tomoko</v>
      </c>
      <c r="D67" s="90">
        <f>Weekly!D66</f>
        <v>0</v>
      </c>
      <c r="E67" s="91" t="str">
        <f>VLOOKUP(B67,Team!$B$4:$E$183,4,FALSE)</f>
        <v>L's</v>
      </c>
      <c r="F67" s="92">
        <f>Weekly!S59</f>
        <v>0.35416666666666602</v>
      </c>
      <c r="G67" s="92">
        <f>Weekly!T59</f>
        <v>0.687499999999999</v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>L's</v>
      </c>
      <c r="O67" s="84" t="str">
        <f t="shared" si="77"/>
        <v>L's</v>
      </c>
      <c r="P67" s="82" t="str">
        <f t="shared" si="78"/>
        <v>L's</v>
      </c>
      <c r="Q67" s="48" t="str">
        <f t="shared" si="79"/>
        <v>L's</v>
      </c>
      <c r="R67" s="48" t="str">
        <f t="shared" si="80"/>
        <v>L's</v>
      </c>
      <c r="S67" s="84" t="str">
        <f t="shared" si="81"/>
        <v>L's</v>
      </c>
      <c r="T67" s="82" t="str">
        <f t="shared" si="82"/>
        <v>L's</v>
      </c>
      <c r="U67" s="48" t="str">
        <f t="shared" si="83"/>
        <v>L's</v>
      </c>
      <c r="V67" s="48" t="str">
        <f t="shared" si="84"/>
        <v>L's</v>
      </c>
      <c r="W67" s="84" t="str">
        <f t="shared" si="85"/>
        <v>L's</v>
      </c>
      <c r="X67" s="82" t="str">
        <f t="shared" si="86"/>
        <v>L's</v>
      </c>
      <c r="Y67" s="48" t="str">
        <f t="shared" si="87"/>
        <v>L's</v>
      </c>
      <c r="Z67" s="48" t="str">
        <f t="shared" si="88"/>
        <v>L's</v>
      </c>
      <c r="AA67" s="84" t="str">
        <f t="shared" si="89"/>
        <v>L's</v>
      </c>
      <c r="AB67" s="82" t="str">
        <f t="shared" si="90"/>
        <v>L's</v>
      </c>
      <c r="AC67" s="48" t="str">
        <f t="shared" si="91"/>
        <v>L's</v>
      </c>
      <c r="AD67" s="48" t="str">
        <f t="shared" si="92"/>
        <v>L's</v>
      </c>
      <c r="AE67" s="84" t="str">
        <f t="shared" si="93"/>
        <v>L's</v>
      </c>
      <c r="AF67" s="82" t="str">
        <f t="shared" si="94"/>
        <v>L's</v>
      </c>
      <c r="AG67" s="48" t="str">
        <f t="shared" si="95"/>
        <v>L's</v>
      </c>
      <c r="AH67" s="48" t="str">
        <f t="shared" si="96"/>
        <v>L's</v>
      </c>
      <c r="AI67" s="84" t="str">
        <f t="shared" si="97"/>
        <v>L's</v>
      </c>
      <c r="AJ67" s="82" t="str">
        <f t="shared" si="98"/>
        <v>L's</v>
      </c>
      <c r="AK67" s="48" t="str">
        <f t="shared" si="99"/>
        <v>L's</v>
      </c>
      <c r="AL67" s="48" t="str">
        <f t="shared" si="100"/>
        <v>L's</v>
      </c>
      <c r="AM67" s="84" t="str">
        <f t="shared" si="101"/>
        <v>L's</v>
      </c>
      <c r="AN67" s="82" t="str">
        <f t="shared" si="102"/>
        <v>L's</v>
      </c>
      <c r="AO67" s="48" t="str">
        <f t="shared" si="103"/>
        <v>L's</v>
      </c>
      <c r="AP67" s="48" t="str">
        <f t="shared" si="104"/>
        <v>L's</v>
      </c>
      <c r="AQ67" s="84" t="str">
        <f t="shared" si="105"/>
        <v>L's</v>
      </c>
      <c r="AR67" s="82" t="str">
        <f t="shared" si="106"/>
        <v>L's</v>
      </c>
      <c r="AS67" s="48" t="str">
        <f t="shared" si="107"/>
        <v>L's</v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>
      <c r="B68" s="81" t="str">
        <f>Weekly!B60</f>
        <v>1149</v>
      </c>
      <c r="C68" s="90" t="str">
        <f>Weekly!C60</f>
        <v>Vera</v>
      </c>
      <c r="D68" s="90">
        <f>Weekly!D67</f>
        <v>0</v>
      </c>
      <c r="E68" s="91" t="str">
        <f>VLOOKUP(B68,Team!$B$4:$E$183,4,FALSE)</f>
        <v>L's</v>
      </c>
      <c r="F68" s="92" t="str">
        <f>Weekly!S60</f>
        <v/>
      </c>
      <c r="G68" s="92" t="str">
        <f>Weekly!T60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>
      <c r="B69" s="81" t="str">
        <f>Weekly!B61</f>
        <v>1160</v>
      </c>
      <c r="C69" s="90" t="str">
        <f>Weekly!C61</f>
        <v>Yura</v>
      </c>
      <c r="D69" s="90">
        <f>Weekly!D68</f>
        <v>0</v>
      </c>
      <c r="E69" s="91" t="str">
        <f>VLOOKUP(B69,Team!$B$4:$E$183,4,FALSE)</f>
        <v>SPV</v>
      </c>
      <c r="F69" s="92">
        <f>Weekly!S61</f>
        <v>0.35416666666666602</v>
      </c>
      <c r="G69" s="92">
        <f>Weekly!T61</f>
        <v>0.687499999999999</v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>SPV</v>
      </c>
      <c r="O69" s="84" t="str">
        <f t="shared" si="77"/>
        <v>SPV</v>
      </c>
      <c r="P69" s="82" t="str">
        <f t="shared" si="78"/>
        <v>SPV</v>
      </c>
      <c r="Q69" s="48" t="str">
        <f t="shared" si="79"/>
        <v>SPV</v>
      </c>
      <c r="R69" s="48" t="str">
        <f t="shared" si="80"/>
        <v>SPV</v>
      </c>
      <c r="S69" s="84" t="str">
        <f t="shared" si="81"/>
        <v>SPV</v>
      </c>
      <c r="T69" s="82" t="str">
        <f t="shared" si="82"/>
        <v>SPV</v>
      </c>
      <c r="U69" s="48" t="str">
        <f t="shared" si="83"/>
        <v>SPV</v>
      </c>
      <c r="V69" s="48" t="str">
        <f t="shared" si="84"/>
        <v>SPV</v>
      </c>
      <c r="W69" s="84" t="str">
        <f t="shared" si="85"/>
        <v>SPV</v>
      </c>
      <c r="X69" s="82" t="str">
        <f t="shared" si="86"/>
        <v>SPV</v>
      </c>
      <c r="Y69" s="48" t="str">
        <f t="shared" si="87"/>
        <v>SPV</v>
      </c>
      <c r="Z69" s="48" t="str">
        <f t="shared" si="88"/>
        <v>SPV</v>
      </c>
      <c r="AA69" s="84" t="str">
        <f t="shared" si="89"/>
        <v>SPV</v>
      </c>
      <c r="AB69" s="82" t="str">
        <f t="shared" si="90"/>
        <v>SPV</v>
      </c>
      <c r="AC69" s="48" t="str">
        <f t="shared" si="91"/>
        <v>SPV</v>
      </c>
      <c r="AD69" s="48" t="str">
        <f t="shared" si="92"/>
        <v>SPV</v>
      </c>
      <c r="AE69" s="84" t="str">
        <f t="shared" si="93"/>
        <v>SPV</v>
      </c>
      <c r="AF69" s="82" t="str">
        <f t="shared" si="94"/>
        <v>SPV</v>
      </c>
      <c r="AG69" s="48" t="str">
        <f t="shared" si="95"/>
        <v>SPV</v>
      </c>
      <c r="AH69" s="48" t="str">
        <f t="shared" si="96"/>
        <v>SPV</v>
      </c>
      <c r="AI69" s="84" t="str">
        <f t="shared" si="97"/>
        <v>SPV</v>
      </c>
      <c r="AJ69" s="82" t="str">
        <f t="shared" si="98"/>
        <v>SPV</v>
      </c>
      <c r="AK69" s="48" t="str">
        <f t="shared" si="99"/>
        <v>SPV</v>
      </c>
      <c r="AL69" s="48" t="str">
        <f t="shared" si="100"/>
        <v>SPV</v>
      </c>
      <c r="AM69" s="84" t="str">
        <f t="shared" si="101"/>
        <v>SPV</v>
      </c>
      <c r="AN69" s="82" t="str">
        <f t="shared" si="102"/>
        <v>SPV</v>
      </c>
      <c r="AO69" s="48" t="str">
        <f t="shared" si="103"/>
        <v>SPV</v>
      </c>
      <c r="AP69" s="48" t="str">
        <f t="shared" si="104"/>
        <v>SPV</v>
      </c>
      <c r="AQ69" s="84" t="str">
        <f t="shared" si="105"/>
        <v>SPV</v>
      </c>
      <c r="AR69" s="82" t="str">
        <f t="shared" si="106"/>
        <v>SPV</v>
      </c>
      <c r="AS69" s="48" t="str">
        <f t="shared" si="107"/>
        <v>SPV</v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>
      <c r="B70" s="81">
        <f>Weekly!B62</f>
        <v>0</v>
      </c>
      <c r="C70" s="90">
        <f>Weekly!C62</f>
        <v>0</v>
      </c>
      <c r="D70" s="90">
        <f>Weekly!D69</f>
        <v>0</v>
      </c>
      <c r="E70" s="91" t="e">
        <f>VLOOKUP(B70,Team!$B$4:$E$183,4,FALSE)</f>
        <v>#N/A</v>
      </c>
      <c r="F70" s="92" t="str">
        <f>Weekly!S62</f>
        <v/>
      </c>
      <c r="G70" s="92" t="str">
        <f>Weekly!T62</f>
        <v/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/>
      </c>
      <c r="O70" s="84" t="str">
        <f t="shared" si="77"/>
        <v/>
      </c>
      <c r="P70" s="82" t="str">
        <f t="shared" si="78"/>
        <v/>
      </c>
      <c r="Q70" s="48" t="str">
        <f t="shared" si="79"/>
        <v/>
      </c>
      <c r="R70" s="48" t="str">
        <f t="shared" si="80"/>
        <v/>
      </c>
      <c r="S70" s="84" t="str">
        <f t="shared" si="81"/>
        <v/>
      </c>
      <c r="T70" s="82" t="str">
        <f t="shared" si="82"/>
        <v/>
      </c>
      <c r="U70" s="48" t="str">
        <f t="shared" si="83"/>
        <v/>
      </c>
      <c r="V70" s="48" t="str">
        <f t="shared" si="84"/>
        <v/>
      </c>
      <c r="W70" s="84" t="str">
        <f t="shared" si="85"/>
        <v/>
      </c>
      <c r="X70" s="82" t="str">
        <f t="shared" si="86"/>
        <v/>
      </c>
      <c r="Y70" s="48" t="str">
        <f t="shared" si="87"/>
        <v/>
      </c>
      <c r="Z70" s="48" t="str">
        <f t="shared" si="88"/>
        <v/>
      </c>
      <c r="AA70" s="84" t="str">
        <f t="shared" si="89"/>
        <v/>
      </c>
      <c r="AB70" s="82" t="str">
        <f t="shared" si="90"/>
        <v/>
      </c>
      <c r="AC70" s="48" t="str">
        <f t="shared" si="91"/>
        <v/>
      </c>
      <c r="AD70" s="48" t="str">
        <f t="shared" si="92"/>
        <v/>
      </c>
      <c r="AE70" s="84" t="str">
        <f t="shared" si="93"/>
        <v/>
      </c>
      <c r="AF70" s="82" t="str">
        <f t="shared" si="94"/>
        <v/>
      </c>
      <c r="AG70" s="48" t="str">
        <f t="shared" si="95"/>
        <v/>
      </c>
      <c r="AH70" s="48" t="str">
        <f t="shared" si="96"/>
        <v/>
      </c>
      <c r="AI70" s="84" t="str">
        <f t="shared" si="97"/>
        <v/>
      </c>
      <c r="AJ70" s="82" t="str">
        <f t="shared" si="98"/>
        <v/>
      </c>
      <c r="AK70" s="48" t="str">
        <f t="shared" si="99"/>
        <v/>
      </c>
      <c r="AL70" s="48" t="str">
        <f t="shared" si="100"/>
        <v/>
      </c>
      <c r="AM70" s="84" t="str">
        <f t="shared" si="101"/>
        <v/>
      </c>
      <c r="AN70" s="82" t="str">
        <f t="shared" si="102"/>
        <v/>
      </c>
      <c r="AO70" s="48" t="str">
        <f t="shared" si="103"/>
        <v/>
      </c>
      <c r="AP70" s="48" t="str">
        <f t="shared" si="104"/>
        <v/>
      </c>
      <c r="AQ70" s="84" t="str">
        <f t="shared" si="105"/>
        <v/>
      </c>
      <c r="AR70" s="82" t="str">
        <f t="shared" si="106"/>
        <v/>
      </c>
      <c r="AS70" s="48" t="str">
        <f t="shared" si="107"/>
        <v/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>
      <c r="B71" s="81">
        <f>Weekly!B63</f>
        <v>0</v>
      </c>
      <c r="C71" s="90">
        <f>Weekly!C63</f>
        <v>0</v>
      </c>
      <c r="D71" s="90">
        <f>Weekly!D70</f>
        <v>0</v>
      </c>
      <c r="E71" s="91" t="e">
        <f>VLOOKUP(B71,Team!$B$4:$E$183,4,FALSE)</f>
        <v>#N/A</v>
      </c>
      <c r="F71" s="92" t="str">
        <f>Weekly!S63</f>
        <v/>
      </c>
      <c r="G71" s="92" t="str">
        <f>Weekly!T63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>
      <c r="B72" s="81">
        <f>Weekly!B64</f>
        <v>0</v>
      </c>
      <c r="C72" s="90">
        <f>Weekly!C64</f>
        <v>0</v>
      </c>
      <c r="D72" s="90">
        <f>Weekly!D71</f>
        <v>0</v>
      </c>
      <c r="E72" s="91" t="e">
        <f>VLOOKUP(B72,Team!$B$4:$E$183,4,FALSE)</f>
        <v>#N/A</v>
      </c>
      <c r="F72" s="92" t="str">
        <f>Weekly!S64</f>
        <v/>
      </c>
      <c r="G72" s="92" t="str">
        <f>Weekly!T64</f>
        <v/>
      </c>
      <c r="H72" s="48" t="str">
        <f t="shared" ref="H72:H80" si="135">IF(AND($H$12&gt;=$F72,$H$12&lt;$G72),$E72,"")</f>
        <v/>
      </c>
      <c r="I72" s="48" t="str">
        <f t="shared" ref="I72:I80" si="136">IF(AND($I$12&gt;=$F72,$I$12&lt;$G72),$E72,"")</f>
        <v/>
      </c>
      <c r="J72" s="48" t="str">
        <f t="shared" ref="J72:J80" si="137">IF(AND($J$12&gt;=$F72,$J$12&lt;$G72),$E72,"")</f>
        <v/>
      </c>
      <c r="K72" s="84" t="str">
        <f t="shared" ref="K72:K80" si="138">IF(AND($K$12&gt;=$F72,$K$12&lt;$G72),$E72,"")</f>
        <v/>
      </c>
      <c r="L72" s="82" t="str">
        <f t="shared" ref="L72:L80" si="139">IF(AND($L$12&gt;=$F72,$L$12&lt;$G72),$E72,"")</f>
        <v/>
      </c>
      <c r="M72" s="48" t="str">
        <f t="shared" ref="M72:M80" si="140">IF(AND($M$12&gt;=$F72,$M$12&lt;$G72),$E72,"")</f>
        <v/>
      </c>
      <c r="N72" s="48" t="str">
        <f t="shared" ref="N72:N80" si="141">IF(AND($N$12&gt;=$F72,$N$12&lt;$G72),$E72,"")</f>
        <v/>
      </c>
      <c r="O72" s="84" t="str">
        <f t="shared" ref="O72:O80" si="142">IF(AND($O$12&gt;=$F72,$O$12&lt;$G72),$E72,"")</f>
        <v/>
      </c>
      <c r="P72" s="82" t="str">
        <f t="shared" ref="P72:P80" si="143">IF(AND($P$12&gt;=$F72,$P$12&lt;$G72),$E72,"")</f>
        <v/>
      </c>
      <c r="Q72" s="48" t="str">
        <f t="shared" ref="Q72:Q80" si="144">IF(AND($Q$12&gt;=$F72,$Q$12&lt;$G72),$E72,"")</f>
        <v/>
      </c>
      <c r="R72" s="48" t="str">
        <f t="shared" ref="R72:R80" si="145">IF(AND($R$12&gt;=$F72,$R$12&lt;$G72),$E72,"")</f>
        <v/>
      </c>
      <c r="S72" s="84" t="str">
        <f t="shared" ref="S72:S80" si="146">IF(AND($S$12&gt;=$F72,$S$12&lt;$G72),$E72,"")</f>
        <v/>
      </c>
      <c r="T72" s="82" t="str">
        <f t="shared" ref="T72:T80" si="147">IF(AND($T$12&gt;=$F72,$T$12&lt;$G72),$E72,"")</f>
        <v/>
      </c>
      <c r="U72" s="48" t="str">
        <f t="shared" ref="U72:U80" si="148">IF(AND($U$12&gt;=$F72,$U$12&lt;$G72),$E72,"")</f>
        <v/>
      </c>
      <c r="V72" s="48" t="str">
        <f t="shared" ref="V72:V80" si="149">IF(AND($V$12&gt;=$F72,$V$12&lt;$G72),$E72,"")</f>
        <v/>
      </c>
      <c r="W72" s="84" t="str">
        <f t="shared" ref="W72:W80" si="150">IF(AND($W$12&gt;=$F72,$W$12&lt;$G72),$E72,"")</f>
        <v/>
      </c>
      <c r="X72" s="82" t="str">
        <f t="shared" ref="X72:X80" si="151">IF(AND($X$12&gt;=$F72,$X$12&lt;$G72),$E72,"")</f>
        <v/>
      </c>
      <c r="Y72" s="48" t="str">
        <f t="shared" ref="Y72:Y80" si="152">IF(AND($Y$12&gt;=$F72,$Y$12&lt;$G72),$E72,"")</f>
        <v/>
      </c>
      <c r="Z72" s="48" t="str">
        <f t="shared" ref="Z72:Z80" si="153">IF(AND($Z$12&gt;=$F72,$Z$12&lt;$G72),$E72,"")</f>
        <v/>
      </c>
      <c r="AA72" s="84" t="str">
        <f t="shared" ref="AA72:AA80" si="154">IF(AND($AA$12&gt;=$F72,$AA$12&lt;$G72),$E72,"")</f>
        <v/>
      </c>
      <c r="AB72" s="82" t="str">
        <f t="shared" ref="AB72:AB80" si="155">IF(AND($AB$12&gt;=$F72,$AB$12&lt;$G72),$E72,"")</f>
        <v/>
      </c>
      <c r="AC72" s="48" t="str">
        <f t="shared" ref="AC72:AC80" si="156">IF(AND($AC$12&gt;=$F72,$AC$12&lt;$G72),$E72,"")</f>
        <v/>
      </c>
      <c r="AD72" s="48" t="str">
        <f t="shared" ref="AD72:AD80" si="157">IF(AND($AD$12&gt;=$F72,$AD$12&lt;$G72),$E72,"")</f>
        <v/>
      </c>
      <c r="AE72" s="84" t="str">
        <f t="shared" ref="AE72:AE80" si="158">IF(AND($AE$12&gt;=$F72,$AE$12&lt;$G72),$E72,"")</f>
        <v/>
      </c>
      <c r="AF72" s="82" t="str">
        <f t="shared" ref="AF72:AF80" si="159">IF(AND($AF$12&gt;=$F72,$AF$12&lt;$G72),$E72,"")</f>
        <v/>
      </c>
      <c r="AG72" s="48" t="str">
        <f t="shared" ref="AG72:AG80" si="160">IF(AND($AG$12&gt;=$F72,$AG$12&lt;$G72),$E72,"")</f>
        <v/>
      </c>
      <c r="AH72" s="48" t="str">
        <f t="shared" ref="AH72:AH80" si="161">IF(AND($AH$12&gt;=$F72,$AH$12&lt;$G72),$E72,"")</f>
        <v/>
      </c>
      <c r="AI72" s="84" t="str">
        <f t="shared" ref="AI72:AI80" si="162">IF(AND($AI$12&gt;=$F72,$AI$12&lt;$G72),$E72,"")</f>
        <v/>
      </c>
      <c r="AJ72" s="82" t="str">
        <f t="shared" ref="AJ72:AJ80" si="163">IF(AND($AJ$12&gt;=$F72,$AJ$12&lt;$G72),$E72,"")</f>
        <v/>
      </c>
      <c r="AK72" s="48" t="str">
        <f t="shared" ref="AK72:AK80" si="164">IF(AND($AK$12&gt;=$F72,$AK$12&lt;$G72),$E72,"")</f>
        <v/>
      </c>
      <c r="AL72" s="48" t="str">
        <f t="shared" ref="AL72:AL80" si="165">IF(AND($AL$12&gt;=$F72,$AL$12&lt;$G72),$E72,"")</f>
        <v/>
      </c>
      <c r="AM72" s="84" t="str">
        <f t="shared" ref="AM72:AM80" si="166">IF(AND($AM$12&gt;=$F72,$AM$12&lt;$G72),$E72,"")</f>
        <v/>
      </c>
      <c r="AN72" s="82" t="str">
        <f t="shared" ref="AN72:AN80" si="167">IF(AND($AN$12&gt;=$F72,$AN$12&lt;$G72),$E72,"")</f>
        <v/>
      </c>
      <c r="AO72" s="48" t="str">
        <f t="shared" ref="AO72:AO80" si="168">IF(AND($AO$12&gt;=$F72,$AO$12&lt;$G72),$E72,"")</f>
        <v/>
      </c>
      <c r="AP72" s="48" t="str">
        <f t="shared" ref="AP72:AP80" si="169">IF(AND($AP$12&gt;=$F72,$AP$12&lt;$G72),$E72,"")</f>
        <v/>
      </c>
      <c r="AQ72" s="84" t="str">
        <f t="shared" ref="AQ72:AQ80" si="170">IF(AND($AQ$12&gt;=$F72,$AQ$12&lt;$G72),$E72,"")</f>
        <v/>
      </c>
      <c r="AR72" s="82" t="str">
        <f t="shared" ref="AR72:AR80" si="171">IF(AND($AR$12&gt;=$F72,$AR$12&lt;$G72),$E72,"")</f>
        <v/>
      </c>
      <c r="AS72" s="48" t="str">
        <f t="shared" ref="AS72:AS80" si="172">IF(AND($AS$12&gt;=$F72,$AS$12&lt;$G72),$E72,"")</f>
        <v/>
      </c>
      <c r="AT72" s="48" t="str">
        <f t="shared" ref="AT72:AT80" si="173">IF(AND($AT$12&gt;=$F72,$AT$12&lt;$G72),$E72,"")</f>
        <v/>
      </c>
      <c r="AU72" s="84" t="str">
        <f t="shared" ref="AU72:AU80" si="174">IF(AND($AU$12&gt;=$F72,$AU$12&lt;$G72),$E72,"")</f>
        <v/>
      </c>
      <c r="AV72" s="82" t="str">
        <f t="shared" ref="AV72:AV80" si="175">IF(AND($AV$12&gt;=$F72,$AV$12&lt;$G72),$E72,"")</f>
        <v/>
      </c>
      <c r="AW72" s="48" t="str">
        <f t="shared" ref="AW72:AW80" si="176">IF(AND($AW$12&gt;=$F72,$AW$12&lt;$G72),$E72,"")</f>
        <v/>
      </c>
      <c r="AX72" s="48" t="str">
        <f t="shared" ref="AX72:AX80" si="177">IF(AND($AX$12&gt;=$F72,$AX$12&lt;$G72),$E72,"")</f>
        <v/>
      </c>
      <c r="AY72" s="84" t="str">
        <f t="shared" ref="AY72:AY80" si="178">IF(AND($AY$12&gt;=$F72,$AY$12&lt;$G72),$E72,"")</f>
        <v/>
      </c>
      <c r="AZ72" s="82" t="str">
        <f t="shared" ref="AZ72:AZ80" si="179">IF(AND($AZ$12&gt;=$F72,$AZ$12&lt;$G72),$E72,"")</f>
        <v/>
      </c>
      <c r="BA72" s="48" t="str">
        <f t="shared" ref="BA72:BA80" si="180">IF(AND($BA$12&gt;=$F72,$BA$12&lt;$G72),$E72,"")</f>
        <v/>
      </c>
      <c r="BB72" s="48" t="str">
        <f t="shared" ref="BB72:BB80" si="181">IF(AND($BB$12&gt;=$F72,$BB$12&lt;$G72),$E72,"")</f>
        <v/>
      </c>
      <c r="BC72" s="84" t="str">
        <f t="shared" ref="BC72:BC80" si="182">IF(AND($BC$12&gt;=$F72,$BC$12&lt;$G72),$E72,"")</f>
        <v/>
      </c>
      <c r="BD72" s="82" t="str">
        <f t="shared" ref="BD72:BD80" si="183">IF(AND($BD$12&gt;=$F72,$BD$12&lt;$G72),$E72,"")</f>
        <v/>
      </c>
      <c r="BE72" s="48" t="str">
        <f t="shared" ref="BE72:BE80" si="184">IF(AND($BE$12&gt;=$F72,$BE$12&lt;$G72),$E72,"")</f>
        <v/>
      </c>
      <c r="BF72" s="48" t="str">
        <f t="shared" ref="BF72:BF80" si="185">IF(AND($BF$12&gt;=$F72,$BF$12&lt;$G72),$E72,"")</f>
        <v/>
      </c>
      <c r="BG72" s="84" t="str">
        <f t="shared" ref="BG72:BG80" si="186">IF(AND($BG$12&gt;=$F72,$BG$12&lt;$G72),$E72,"")</f>
        <v/>
      </c>
      <c r="BH72" s="87" t="str">
        <f t="shared" ref="BH72:BH80" si="187">IF(AND($BH$12&gt;=$F72,$BH$12&lt;$G72),$E72,"")</f>
        <v/>
      </c>
      <c r="BI72" s="49" t="str">
        <f t="shared" ref="BI72:BI80" si="188">IF(AND($BI$12&gt;=$F72,$BI$12&lt;$G72),$E72,"")</f>
        <v/>
      </c>
      <c r="BJ72" s="49" t="str">
        <f t="shared" ref="BJ72:BJ80" si="189">IF(AND($BJ$12&gt;=$F72,$BJ$12&lt;$G72),$E72,"")</f>
        <v/>
      </c>
      <c r="BK72" s="89" t="str">
        <f t="shared" ref="BK72:BK80" si="190">IF(AND($BK$12&gt;=$F72,$BK$12&lt;$G72),$E72,"")</f>
        <v/>
      </c>
      <c r="BL72" s="87" t="str">
        <f t="shared" ref="BL72:BL80" si="191">IF(AND($BL$12&gt;=$F72,$BL$12&lt;$G72),$E72,"")</f>
        <v/>
      </c>
      <c r="BM72" s="49" t="str">
        <f t="shared" ref="BM72:BM80" si="192">IF(AND($BM$12&gt;=$F72,$BM$12&lt;$G72),$E72,"")</f>
        <v/>
      </c>
      <c r="BN72" s="49" t="str">
        <f t="shared" ref="BN72:BN80" si="193">IF(AND($BN$12&gt;=$F72,$BN$12&lt;$G72),$E72,"")</f>
        <v/>
      </c>
      <c r="BO72" s="89" t="str">
        <f t="shared" ref="BO72:BO80" si="194">IF(AND($BO$12&gt;=$F72,$BO$12&lt;$G72),$E72,"")</f>
        <v/>
      </c>
      <c r="BP72" s="87" t="str">
        <f t="shared" ref="BP72:BP80" si="195">IF(AND($BP$12&gt;=$F72,$BP$12&lt;$G72),$E72,"")</f>
        <v/>
      </c>
      <c r="BQ72" s="49" t="str">
        <f t="shared" ref="BQ72:BQ80" si="196">IF(AND($BQ$12&gt;=$F72,$BQ$12&lt;$G72),$E72,"")</f>
        <v/>
      </c>
      <c r="BR72" s="49" t="str">
        <f t="shared" ref="BR72:BR80" si="197">IF(AND($BR$12&gt;=$F72,$BR$12&lt;$G72),$E72,"")</f>
        <v/>
      </c>
      <c r="BS72" s="89" t="str">
        <f t="shared" ref="BS72:BS80" si="198">IF(AND($BS$12&gt;=$F72,$BS$12&lt;$G72),$E72,"")</f>
        <v/>
      </c>
      <c r="BT72" s="87" t="str">
        <f t="shared" ref="BT72:BT80" si="199">IF(AND($BT$12&gt;=$F72,$BT$12&lt;$G72),$E72,"")</f>
        <v/>
      </c>
    </row>
    <row r="73" spans="2:72">
      <c r="B73" s="81">
        <f>Weekly!B65</f>
        <v>0</v>
      </c>
      <c r="C73" s="90">
        <f>Weekly!C65</f>
        <v>0</v>
      </c>
      <c r="D73" s="90">
        <f>Weekly!D72</f>
        <v>0</v>
      </c>
      <c r="E73" s="91" t="e">
        <f>VLOOKUP(B73,Team!$B$4:$E$183,4,FALSE)</f>
        <v>#N/A</v>
      </c>
      <c r="F73" s="92" t="str">
        <f>Weekly!S65</f>
        <v/>
      </c>
      <c r="G73" s="92" t="str">
        <f>Weekly!T65</f>
        <v/>
      </c>
      <c r="H73" s="48" t="str">
        <f t="shared" si="135"/>
        <v/>
      </c>
      <c r="I73" s="48" t="str">
        <f t="shared" si="136"/>
        <v/>
      </c>
      <c r="J73" s="48" t="str">
        <f t="shared" si="137"/>
        <v/>
      </c>
      <c r="K73" s="84" t="str">
        <f t="shared" si="138"/>
        <v/>
      </c>
      <c r="L73" s="82" t="str">
        <f t="shared" si="139"/>
        <v/>
      </c>
      <c r="M73" s="48" t="str">
        <f t="shared" si="140"/>
        <v/>
      </c>
      <c r="N73" s="48" t="str">
        <f t="shared" si="141"/>
        <v/>
      </c>
      <c r="O73" s="84" t="str">
        <f t="shared" si="142"/>
        <v/>
      </c>
      <c r="P73" s="82" t="str">
        <f t="shared" si="143"/>
        <v/>
      </c>
      <c r="Q73" s="48" t="str">
        <f t="shared" si="144"/>
        <v/>
      </c>
      <c r="R73" s="48" t="str">
        <f t="shared" si="145"/>
        <v/>
      </c>
      <c r="S73" s="84" t="str">
        <f t="shared" si="146"/>
        <v/>
      </c>
      <c r="T73" s="82" t="str">
        <f t="shared" si="147"/>
        <v/>
      </c>
      <c r="U73" s="48" t="str">
        <f t="shared" si="148"/>
        <v/>
      </c>
      <c r="V73" s="48" t="str">
        <f t="shared" si="149"/>
        <v/>
      </c>
      <c r="W73" s="84" t="str">
        <f t="shared" si="150"/>
        <v/>
      </c>
      <c r="X73" s="82" t="str">
        <f t="shared" si="151"/>
        <v/>
      </c>
      <c r="Y73" s="48" t="str">
        <f t="shared" si="152"/>
        <v/>
      </c>
      <c r="Z73" s="48" t="str">
        <f t="shared" si="153"/>
        <v/>
      </c>
      <c r="AA73" s="84" t="str">
        <f t="shared" si="154"/>
        <v/>
      </c>
      <c r="AB73" s="82" t="str">
        <f t="shared" si="155"/>
        <v/>
      </c>
      <c r="AC73" s="48" t="str">
        <f t="shared" si="156"/>
        <v/>
      </c>
      <c r="AD73" s="48" t="str">
        <f t="shared" si="157"/>
        <v/>
      </c>
      <c r="AE73" s="84" t="str">
        <f t="shared" si="158"/>
        <v/>
      </c>
      <c r="AF73" s="82" t="str">
        <f t="shared" si="159"/>
        <v/>
      </c>
      <c r="AG73" s="48" t="str">
        <f t="shared" si="160"/>
        <v/>
      </c>
      <c r="AH73" s="48" t="str">
        <f t="shared" si="161"/>
        <v/>
      </c>
      <c r="AI73" s="84" t="str">
        <f t="shared" si="162"/>
        <v/>
      </c>
      <c r="AJ73" s="82" t="str">
        <f t="shared" si="163"/>
        <v/>
      </c>
      <c r="AK73" s="48" t="str">
        <f t="shared" si="164"/>
        <v/>
      </c>
      <c r="AL73" s="48" t="str">
        <f t="shared" si="165"/>
        <v/>
      </c>
      <c r="AM73" s="84" t="str">
        <f t="shared" si="166"/>
        <v/>
      </c>
      <c r="AN73" s="82" t="str">
        <f t="shared" si="167"/>
        <v/>
      </c>
      <c r="AO73" s="48" t="str">
        <f t="shared" si="168"/>
        <v/>
      </c>
      <c r="AP73" s="48" t="str">
        <f t="shared" si="169"/>
        <v/>
      </c>
      <c r="AQ73" s="84" t="str">
        <f t="shared" si="170"/>
        <v/>
      </c>
      <c r="AR73" s="82" t="str">
        <f t="shared" si="171"/>
        <v/>
      </c>
      <c r="AS73" s="48" t="str">
        <f t="shared" si="172"/>
        <v/>
      </c>
      <c r="AT73" s="48" t="str">
        <f t="shared" si="173"/>
        <v/>
      </c>
      <c r="AU73" s="84" t="str">
        <f t="shared" si="174"/>
        <v/>
      </c>
      <c r="AV73" s="82" t="str">
        <f t="shared" si="175"/>
        <v/>
      </c>
      <c r="AW73" s="48" t="str">
        <f t="shared" si="176"/>
        <v/>
      </c>
      <c r="AX73" s="48" t="str">
        <f t="shared" si="177"/>
        <v/>
      </c>
      <c r="AY73" s="84" t="str">
        <f t="shared" si="178"/>
        <v/>
      </c>
      <c r="AZ73" s="82" t="str">
        <f t="shared" si="179"/>
        <v/>
      </c>
      <c r="BA73" s="48" t="str">
        <f t="shared" si="180"/>
        <v/>
      </c>
      <c r="BB73" s="48" t="str">
        <f t="shared" si="181"/>
        <v/>
      </c>
      <c r="BC73" s="84" t="str">
        <f t="shared" si="182"/>
        <v/>
      </c>
      <c r="BD73" s="82" t="str">
        <f t="shared" si="183"/>
        <v/>
      </c>
      <c r="BE73" s="48" t="str">
        <f t="shared" si="184"/>
        <v/>
      </c>
      <c r="BF73" s="48" t="str">
        <f t="shared" si="185"/>
        <v/>
      </c>
      <c r="BG73" s="84" t="str">
        <f t="shared" si="186"/>
        <v/>
      </c>
      <c r="BH73" s="87" t="str">
        <f t="shared" si="187"/>
        <v/>
      </c>
      <c r="BI73" s="49" t="str">
        <f t="shared" si="188"/>
        <v/>
      </c>
      <c r="BJ73" s="49" t="str">
        <f t="shared" si="189"/>
        <v/>
      </c>
      <c r="BK73" s="89" t="str">
        <f t="shared" si="190"/>
        <v/>
      </c>
      <c r="BL73" s="87" t="str">
        <f t="shared" si="191"/>
        <v/>
      </c>
      <c r="BM73" s="49" t="str">
        <f t="shared" si="192"/>
        <v/>
      </c>
      <c r="BN73" s="49" t="str">
        <f t="shared" si="193"/>
        <v/>
      </c>
      <c r="BO73" s="89" t="str">
        <f t="shared" si="194"/>
        <v/>
      </c>
      <c r="BP73" s="87" t="str">
        <f t="shared" si="195"/>
        <v/>
      </c>
      <c r="BQ73" s="49" t="str">
        <f t="shared" si="196"/>
        <v/>
      </c>
      <c r="BR73" s="49" t="str">
        <f t="shared" si="197"/>
        <v/>
      </c>
      <c r="BS73" s="89" t="str">
        <f t="shared" si="198"/>
        <v/>
      </c>
      <c r="BT73" s="87" t="str">
        <f t="shared" si="199"/>
        <v/>
      </c>
    </row>
    <row r="74" spans="2:72">
      <c r="B74" s="81">
        <f>Weekly!B66</f>
        <v>0</v>
      </c>
      <c r="C74" s="90">
        <f>Weekly!C66</f>
        <v>0</v>
      </c>
      <c r="D74" s="90">
        <f>Weekly!D73</f>
        <v>0</v>
      </c>
      <c r="E74" s="91" t="e">
        <f>VLOOKUP(B74,Team!$B$4:$E$183,4,FALSE)</f>
        <v>#N/A</v>
      </c>
      <c r="F74" s="92" t="str">
        <f>Weekly!S66</f>
        <v/>
      </c>
      <c r="G74" s="92" t="str">
        <f>Weekly!T66</f>
        <v/>
      </c>
      <c r="H74" s="48" t="str">
        <f t="shared" si="135"/>
        <v/>
      </c>
      <c r="I74" s="48" t="str">
        <f t="shared" si="136"/>
        <v/>
      </c>
      <c r="J74" s="48" t="str">
        <f t="shared" si="137"/>
        <v/>
      </c>
      <c r="K74" s="84" t="str">
        <f t="shared" si="138"/>
        <v/>
      </c>
      <c r="L74" s="82" t="str">
        <f t="shared" si="139"/>
        <v/>
      </c>
      <c r="M74" s="48" t="str">
        <f t="shared" si="140"/>
        <v/>
      </c>
      <c r="N74" s="48" t="str">
        <f t="shared" si="141"/>
        <v/>
      </c>
      <c r="O74" s="84" t="str">
        <f t="shared" si="142"/>
        <v/>
      </c>
      <c r="P74" s="82" t="str">
        <f t="shared" si="143"/>
        <v/>
      </c>
      <c r="Q74" s="48" t="str">
        <f t="shared" si="144"/>
        <v/>
      </c>
      <c r="R74" s="48" t="str">
        <f t="shared" si="145"/>
        <v/>
      </c>
      <c r="S74" s="84" t="str">
        <f t="shared" si="146"/>
        <v/>
      </c>
      <c r="T74" s="82" t="str">
        <f t="shared" si="147"/>
        <v/>
      </c>
      <c r="U74" s="48" t="str">
        <f t="shared" si="148"/>
        <v/>
      </c>
      <c r="V74" s="48" t="str">
        <f t="shared" si="149"/>
        <v/>
      </c>
      <c r="W74" s="84" t="str">
        <f t="shared" si="150"/>
        <v/>
      </c>
      <c r="X74" s="82" t="str">
        <f t="shared" si="151"/>
        <v/>
      </c>
      <c r="Y74" s="48" t="str">
        <f t="shared" si="152"/>
        <v/>
      </c>
      <c r="Z74" s="48" t="str">
        <f t="shared" si="153"/>
        <v/>
      </c>
      <c r="AA74" s="84" t="str">
        <f t="shared" si="154"/>
        <v/>
      </c>
      <c r="AB74" s="82" t="str">
        <f t="shared" si="155"/>
        <v/>
      </c>
      <c r="AC74" s="48" t="str">
        <f t="shared" si="156"/>
        <v/>
      </c>
      <c r="AD74" s="48" t="str">
        <f t="shared" si="157"/>
        <v/>
      </c>
      <c r="AE74" s="84" t="str">
        <f t="shared" si="158"/>
        <v/>
      </c>
      <c r="AF74" s="82" t="str">
        <f t="shared" si="159"/>
        <v/>
      </c>
      <c r="AG74" s="48" t="str">
        <f t="shared" si="160"/>
        <v/>
      </c>
      <c r="AH74" s="48" t="str">
        <f t="shared" si="161"/>
        <v/>
      </c>
      <c r="AI74" s="84" t="str">
        <f t="shared" si="162"/>
        <v/>
      </c>
      <c r="AJ74" s="82" t="str">
        <f t="shared" si="163"/>
        <v/>
      </c>
      <c r="AK74" s="48" t="str">
        <f t="shared" si="164"/>
        <v/>
      </c>
      <c r="AL74" s="48" t="str">
        <f t="shared" si="165"/>
        <v/>
      </c>
      <c r="AM74" s="84" t="str">
        <f t="shared" si="166"/>
        <v/>
      </c>
      <c r="AN74" s="82" t="str">
        <f t="shared" si="167"/>
        <v/>
      </c>
      <c r="AO74" s="48" t="str">
        <f t="shared" si="168"/>
        <v/>
      </c>
      <c r="AP74" s="48" t="str">
        <f t="shared" si="169"/>
        <v/>
      </c>
      <c r="AQ74" s="84" t="str">
        <f t="shared" si="170"/>
        <v/>
      </c>
      <c r="AR74" s="82" t="str">
        <f t="shared" si="171"/>
        <v/>
      </c>
      <c r="AS74" s="48" t="str">
        <f t="shared" si="172"/>
        <v/>
      </c>
      <c r="AT74" s="48" t="str">
        <f t="shared" si="173"/>
        <v/>
      </c>
      <c r="AU74" s="84" t="str">
        <f t="shared" si="174"/>
        <v/>
      </c>
      <c r="AV74" s="82" t="str">
        <f t="shared" si="175"/>
        <v/>
      </c>
      <c r="AW74" s="48" t="str">
        <f t="shared" si="176"/>
        <v/>
      </c>
      <c r="AX74" s="48" t="str">
        <f t="shared" si="177"/>
        <v/>
      </c>
      <c r="AY74" s="84" t="str">
        <f t="shared" si="178"/>
        <v/>
      </c>
      <c r="AZ74" s="82" t="str">
        <f t="shared" si="179"/>
        <v/>
      </c>
      <c r="BA74" s="48" t="str">
        <f t="shared" si="180"/>
        <v/>
      </c>
      <c r="BB74" s="48" t="str">
        <f t="shared" si="181"/>
        <v/>
      </c>
      <c r="BC74" s="84" t="str">
        <f t="shared" si="182"/>
        <v/>
      </c>
      <c r="BD74" s="82" t="str">
        <f t="shared" si="183"/>
        <v/>
      </c>
      <c r="BE74" s="48" t="str">
        <f t="shared" si="184"/>
        <v/>
      </c>
      <c r="BF74" s="48" t="str">
        <f t="shared" si="185"/>
        <v/>
      </c>
      <c r="BG74" s="84" t="str">
        <f t="shared" si="186"/>
        <v/>
      </c>
      <c r="BH74" s="87" t="str">
        <f t="shared" si="187"/>
        <v/>
      </c>
      <c r="BI74" s="49" t="str">
        <f t="shared" si="188"/>
        <v/>
      </c>
      <c r="BJ74" s="49" t="str">
        <f t="shared" si="189"/>
        <v/>
      </c>
      <c r="BK74" s="89" t="str">
        <f t="shared" si="190"/>
        <v/>
      </c>
      <c r="BL74" s="87" t="str">
        <f t="shared" si="191"/>
        <v/>
      </c>
      <c r="BM74" s="49" t="str">
        <f t="shared" si="192"/>
        <v/>
      </c>
      <c r="BN74" s="49" t="str">
        <f t="shared" si="193"/>
        <v/>
      </c>
      <c r="BO74" s="89" t="str">
        <f t="shared" si="194"/>
        <v/>
      </c>
      <c r="BP74" s="87" t="str">
        <f t="shared" si="195"/>
        <v/>
      </c>
      <c r="BQ74" s="49" t="str">
        <f t="shared" si="196"/>
        <v/>
      </c>
      <c r="BR74" s="49" t="str">
        <f t="shared" si="197"/>
        <v/>
      </c>
      <c r="BS74" s="89" t="str">
        <f t="shared" si="198"/>
        <v/>
      </c>
      <c r="BT74" s="87" t="str">
        <f t="shared" si="199"/>
        <v/>
      </c>
    </row>
    <row r="75" spans="2:72">
      <c r="B75" s="81">
        <f>Weekly!B67</f>
        <v>0</v>
      </c>
      <c r="C75" s="90">
        <f>Weekly!C67</f>
        <v>0</v>
      </c>
      <c r="D75" s="90">
        <f>Weekly!D74</f>
        <v>0</v>
      </c>
      <c r="E75" s="91" t="e">
        <f>VLOOKUP(B75,Team!$B$4:$E$183,4,FALSE)</f>
        <v>#N/A</v>
      </c>
      <c r="F75" s="92" t="str">
        <f>Weekly!S67</f>
        <v/>
      </c>
      <c r="G75" s="92" t="str">
        <f>Weekly!T67</f>
        <v/>
      </c>
      <c r="H75" s="48" t="str">
        <f t="shared" si="135"/>
        <v/>
      </c>
      <c r="I75" s="48" t="str">
        <f t="shared" si="136"/>
        <v/>
      </c>
      <c r="J75" s="48" t="str">
        <f t="shared" si="137"/>
        <v/>
      </c>
      <c r="K75" s="84" t="str">
        <f t="shared" si="138"/>
        <v/>
      </c>
      <c r="L75" s="82" t="str">
        <f t="shared" si="139"/>
        <v/>
      </c>
      <c r="M75" s="48" t="str">
        <f t="shared" si="140"/>
        <v/>
      </c>
      <c r="N75" s="48" t="str">
        <f t="shared" si="141"/>
        <v/>
      </c>
      <c r="O75" s="84" t="str">
        <f t="shared" si="142"/>
        <v/>
      </c>
      <c r="P75" s="82" t="str">
        <f t="shared" si="143"/>
        <v/>
      </c>
      <c r="Q75" s="48" t="str">
        <f t="shared" si="144"/>
        <v/>
      </c>
      <c r="R75" s="48" t="str">
        <f t="shared" si="145"/>
        <v/>
      </c>
      <c r="S75" s="84" t="str">
        <f t="shared" si="146"/>
        <v/>
      </c>
      <c r="T75" s="82" t="str">
        <f t="shared" si="147"/>
        <v/>
      </c>
      <c r="U75" s="48" t="str">
        <f t="shared" si="148"/>
        <v/>
      </c>
      <c r="V75" s="48" t="str">
        <f t="shared" si="149"/>
        <v/>
      </c>
      <c r="W75" s="84" t="str">
        <f t="shared" si="150"/>
        <v/>
      </c>
      <c r="X75" s="82" t="str">
        <f t="shared" si="151"/>
        <v/>
      </c>
      <c r="Y75" s="48" t="str">
        <f t="shared" si="152"/>
        <v/>
      </c>
      <c r="Z75" s="48" t="str">
        <f t="shared" si="153"/>
        <v/>
      </c>
      <c r="AA75" s="84" t="str">
        <f t="shared" si="154"/>
        <v/>
      </c>
      <c r="AB75" s="82" t="str">
        <f t="shared" si="155"/>
        <v/>
      </c>
      <c r="AC75" s="48" t="str">
        <f t="shared" si="156"/>
        <v/>
      </c>
      <c r="AD75" s="48" t="str">
        <f t="shared" si="157"/>
        <v/>
      </c>
      <c r="AE75" s="84" t="str">
        <f t="shared" si="158"/>
        <v/>
      </c>
      <c r="AF75" s="82" t="str">
        <f t="shared" si="159"/>
        <v/>
      </c>
      <c r="AG75" s="48" t="str">
        <f t="shared" si="160"/>
        <v/>
      </c>
      <c r="AH75" s="48" t="str">
        <f t="shared" si="161"/>
        <v/>
      </c>
      <c r="AI75" s="84" t="str">
        <f t="shared" si="162"/>
        <v/>
      </c>
      <c r="AJ75" s="82" t="str">
        <f t="shared" si="163"/>
        <v/>
      </c>
      <c r="AK75" s="48" t="str">
        <f t="shared" si="164"/>
        <v/>
      </c>
      <c r="AL75" s="48" t="str">
        <f t="shared" si="165"/>
        <v/>
      </c>
      <c r="AM75" s="84" t="str">
        <f t="shared" si="166"/>
        <v/>
      </c>
      <c r="AN75" s="82" t="str">
        <f t="shared" si="167"/>
        <v/>
      </c>
      <c r="AO75" s="48" t="str">
        <f t="shared" si="168"/>
        <v/>
      </c>
      <c r="AP75" s="48" t="str">
        <f t="shared" si="169"/>
        <v/>
      </c>
      <c r="AQ75" s="84" t="str">
        <f t="shared" si="170"/>
        <v/>
      </c>
      <c r="AR75" s="82" t="str">
        <f t="shared" si="171"/>
        <v/>
      </c>
      <c r="AS75" s="48" t="str">
        <f t="shared" si="172"/>
        <v/>
      </c>
      <c r="AT75" s="48" t="str">
        <f t="shared" si="173"/>
        <v/>
      </c>
      <c r="AU75" s="84" t="str">
        <f t="shared" si="174"/>
        <v/>
      </c>
      <c r="AV75" s="82" t="str">
        <f t="shared" si="175"/>
        <v/>
      </c>
      <c r="AW75" s="48" t="str">
        <f t="shared" si="176"/>
        <v/>
      </c>
      <c r="AX75" s="48" t="str">
        <f t="shared" si="177"/>
        <v/>
      </c>
      <c r="AY75" s="84" t="str">
        <f t="shared" si="178"/>
        <v/>
      </c>
      <c r="AZ75" s="82" t="str">
        <f t="shared" si="179"/>
        <v/>
      </c>
      <c r="BA75" s="48" t="str">
        <f t="shared" si="180"/>
        <v/>
      </c>
      <c r="BB75" s="48" t="str">
        <f t="shared" si="181"/>
        <v/>
      </c>
      <c r="BC75" s="84" t="str">
        <f t="shared" si="182"/>
        <v/>
      </c>
      <c r="BD75" s="82" t="str">
        <f t="shared" si="183"/>
        <v/>
      </c>
      <c r="BE75" s="48" t="str">
        <f t="shared" si="184"/>
        <v/>
      </c>
      <c r="BF75" s="48" t="str">
        <f t="shared" si="185"/>
        <v/>
      </c>
      <c r="BG75" s="84" t="str">
        <f t="shared" si="186"/>
        <v/>
      </c>
      <c r="BH75" s="87" t="str">
        <f t="shared" si="187"/>
        <v/>
      </c>
      <c r="BI75" s="49" t="str">
        <f t="shared" si="188"/>
        <v/>
      </c>
      <c r="BJ75" s="49" t="str">
        <f t="shared" si="189"/>
        <v/>
      </c>
      <c r="BK75" s="89" t="str">
        <f t="shared" si="190"/>
        <v/>
      </c>
      <c r="BL75" s="87" t="str">
        <f t="shared" si="191"/>
        <v/>
      </c>
      <c r="BM75" s="49" t="str">
        <f t="shared" si="192"/>
        <v/>
      </c>
      <c r="BN75" s="49" t="str">
        <f t="shared" si="193"/>
        <v/>
      </c>
      <c r="BO75" s="89" t="str">
        <f t="shared" si="194"/>
        <v/>
      </c>
      <c r="BP75" s="87" t="str">
        <f t="shared" si="195"/>
        <v/>
      </c>
      <c r="BQ75" s="49" t="str">
        <f t="shared" si="196"/>
        <v/>
      </c>
      <c r="BR75" s="49" t="str">
        <f t="shared" si="197"/>
        <v/>
      </c>
      <c r="BS75" s="89" t="str">
        <f t="shared" si="198"/>
        <v/>
      </c>
      <c r="BT75" s="87" t="str">
        <f t="shared" si="199"/>
        <v/>
      </c>
    </row>
    <row r="76" spans="2:72">
      <c r="B76" s="81">
        <f>Weekly!B68</f>
        <v>0</v>
      </c>
      <c r="C76" s="90">
        <f>Weekly!C68</f>
        <v>0</v>
      </c>
      <c r="D76" s="90">
        <f>Weekly!D75</f>
        <v>0</v>
      </c>
      <c r="E76" s="91" t="e">
        <f>VLOOKUP(B76,Team!$B$4:$E$183,4,FALSE)</f>
        <v>#N/A</v>
      </c>
      <c r="F76" s="92" t="str">
        <f>Weekly!S68</f>
        <v/>
      </c>
      <c r="G76" s="92" t="str">
        <f>Weekly!T68</f>
        <v/>
      </c>
      <c r="H76" s="48" t="str">
        <f t="shared" si="135"/>
        <v/>
      </c>
      <c r="I76" s="48" t="str">
        <f t="shared" si="136"/>
        <v/>
      </c>
      <c r="J76" s="48" t="str">
        <f t="shared" si="137"/>
        <v/>
      </c>
      <c r="K76" s="84" t="str">
        <f t="shared" si="138"/>
        <v/>
      </c>
      <c r="L76" s="82" t="str">
        <f t="shared" si="139"/>
        <v/>
      </c>
      <c r="M76" s="48" t="str">
        <f t="shared" si="140"/>
        <v/>
      </c>
      <c r="N76" s="48" t="str">
        <f t="shared" si="141"/>
        <v/>
      </c>
      <c r="O76" s="84" t="str">
        <f t="shared" si="142"/>
        <v/>
      </c>
      <c r="P76" s="82" t="str">
        <f t="shared" si="143"/>
        <v/>
      </c>
      <c r="Q76" s="48" t="str">
        <f t="shared" si="144"/>
        <v/>
      </c>
      <c r="R76" s="48" t="str">
        <f t="shared" si="145"/>
        <v/>
      </c>
      <c r="S76" s="84" t="str">
        <f t="shared" si="146"/>
        <v/>
      </c>
      <c r="T76" s="82" t="str">
        <f t="shared" si="147"/>
        <v/>
      </c>
      <c r="U76" s="48" t="str">
        <f t="shared" si="148"/>
        <v/>
      </c>
      <c r="V76" s="48" t="str">
        <f t="shared" si="149"/>
        <v/>
      </c>
      <c r="W76" s="84" t="str">
        <f t="shared" si="150"/>
        <v/>
      </c>
      <c r="X76" s="82" t="str">
        <f t="shared" si="151"/>
        <v/>
      </c>
      <c r="Y76" s="48" t="str">
        <f t="shared" si="152"/>
        <v/>
      </c>
      <c r="Z76" s="48" t="str">
        <f t="shared" si="153"/>
        <v/>
      </c>
      <c r="AA76" s="84" t="str">
        <f t="shared" si="154"/>
        <v/>
      </c>
      <c r="AB76" s="82" t="str">
        <f t="shared" si="155"/>
        <v/>
      </c>
      <c r="AC76" s="48" t="str">
        <f t="shared" si="156"/>
        <v/>
      </c>
      <c r="AD76" s="48" t="str">
        <f t="shared" si="157"/>
        <v/>
      </c>
      <c r="AE76" s="84" t="str">
        <f t="shared" si="158"/>
        <v/>
      </c>
      <c r="AF76" s="82" t="str">
        <f t="shared" si="159"/>
        <v/>
      </c>
      <c r="AG76" s="48" t="str">
        <f t="shared" si="160"/>
        <v/>
      </c>
      <c r="AH76" s="48" t="str">
        <f t="shared" si="161"/>
        <v/>
      </c>
      <c r="AI76" s="84" t="str">
        <f t="shared" si="162"/>
        <v/>
      </c>
      <c r="AJ76" s="82" t="str">
        <f t="shared" si="163"/>
        <v/>
      </c>
      <c r="AK76" s="48" t="str">
        <f t="shared" si="164"/>
        <v/>
      </c>
      <c r="AL76" s="48" t="str">
        <f t="shared" si="165"/>
        <v/>
      </c>
      <c r="AM76" s="84" t="str">
        <f t="shared" si="166"/>
        <v/>
      </c>
      <c r="AN76" s="82" t="str">
        <f t="shared" si="167"/>
        <v/>
      </c>
      <c r="AO76" s="48" t="str">
        <f t="shared" si="168"/>
        <v/>
      </c>
      <c r="AP76" s="48" t="str">
        <f t="shared" si="169"/>
        <v/>
      </c>
      <c r="AQ76" s="84" t="str">
        <f t="shared" si="170"/>
        <v/>
      </c>
      <c r="AR76" s="82" t="str">
        <f t="shared" si="171"/>
        <v/>
      </c>
      <c r="AS76" s="48" t="str">
        <f t="shared" si="172"/>
        <v/>
      </c>
      <c r="AT76" s="48" t="str">
        <f t="shared" si="173"/>
        <v/>
      </c>
      <c r="AU76" s="84" t="str">
        <f t="shared" si="174"/>
        <v/>
      </c>
      <c r="AV76" s="82" t="str">
        <f t="shared" si="175"/>
        <v/>
      </c>
      <c r="AW76" s="48" t="str">
        <f t="shared" si="176"/>
        <v/>
      </c>
      <c r="AX76" s="48" t="str">
        <f t="shared" si="177"/>
        <v/>
      </c>
      <c r="AY76" s="84" t="str">
        <f t="shared" si="178"/>
        <v/>
      </c>
      <c r="AZ76" s="82" t="str">
        <f t="shared" si="179"/>
        <v/>
      </c>
      <c r="BA76" s="48" t="str">
        <f t="shared" si="180"/>
        <v/>
      </c>
      <c r="BB76" s="48" t="str">
        <f t="shared" si="181"/>
        <v/>
      </c>
      <c r="BC76" s="84" t="str">
        <f t="shared" si="182"/>
        <v/>
      </c>
      <c r="BD76" s="82" t="str">
        <f t="shared" si="183"/>
        <v/>
      </c>
      <c r="BE76" s="48" t="str">
        <f t="shared" si="184"/>
        <v/>
      </c>
      <c r="BF76" s="48" t="str">
        <f t="shared" si="185"/>
        <v/>
      </c>
      <c r="BG76" s="84" t="str">
        <f t="shared" si="186"/>
        <v/>
      </c>
      <c r="BH76" s="87" t="str">
        <f t="shared" si="187"/>
        <v/>
      </c>
      <c r="BI76" s="49" t="str">
        <f t="shared" si="188"/>
        <v/>
      </c>
      <c r="BJ76" s="49" t="str">
        <f t="shared" si="189"/>
        <v/>
      </c>
      <c r="BK76" s="89" t="str">
        <f t="shared" si="190"/>
        <v/>
      </c>
      <c r="BL76" s="87" t="str">
        <f t="shared" si="191"/>
        <v/>
      </c>
      <c r="BM76" s="49" t="str">
        <f t="shared" si="192"/>
        <v/>
      </c>
      <c r="BN76" s="49" t="str">
        <f t="shared" si="193"/>
        <v/>
      </c>
      <c r="BO76" s="89" t="str">
        <f t="shared" si="194"/>
        <v/>
      </c>
      <c r="BP76" s="87" t="str">
        <f t="shared" si="195"/>
        <v/>
      </c>
      <c r="BQ76" s="49" t="str">
        <f t="shared" si="196"/>
        <v/>
      </c>
      <c r="BR76" s="49" t="str">
        <f t="shared" si="197"/>
        <v/>
      </c>
      <c r="BS76" s="89" t="str">
        <f t="shared" si="198"/>
        <v/>
      </c>
      <c r="BT76" s="87" t="str">
        <f t="shared" si="199"/>
        <v/>
      </c>
    </row>
    <row r="77" spans="2:72">
      <c r="B77" s="81">
        <f>Weekly!B69</f>
        <v>0</v>
      </c>
      <c r="C77" s="90">
        <f>Weekly!C69</f>
        <v>0</v>
      </c>
      <c r="D77" s="90">
        <f>Weekly!D76</f>
        <v>0</v>
      </c>
      <c r="E77" s="91" t="e">
        <f>VLOOKUP(B77,Team!$B$4:$E$183,4,FALSE)</f>
        <v>#N/A</v>
      </c>
      <c r="F77" s="92" t="str">
        <f>Weekly!S69</f>
        <v/>
      </c>
      <c r="G77" s="92" t="str">
        <f>Weekly!T69</f>
        <v/>
      </c>
      <c r="H77" s="48" t="str">
        <f t="shared" si="135"/>
        <v/>
      </c>
      <c r="I77" s="48" t="str">
        <f t="shared" si="136"/>
        <v/>
      </c>
      <c r="J77" s="48" t="str">
        <f t="shared" si="137"/>
        <v/>
      </c>
      <c r="K77" s="84" t="str">
        <f t="shared" si="138"/>
        <v/>
      </c>
      <c r="L77" s="82" t="str">
        <f t="shared" si="139"/>
        <v/>
      </c>
      <c r="M77" s="48" t="str">
        <f t="shared" si="140"/>
        <v/>
      </c>
      <c r="N77" s="48" t="str">
        <f t="shared" si="141"/>
        <v/>
      </c>
      <c r="O77" s="84" t="str">
        <f t="shared" si="142"/>
        <v/>
      </c>
      <c r="P77" s="82" t="str">
        <f t="shared" si="143"/>
        <v/>
      </c>
      <c r="Q77" s="48" t="str">
        <f t="shared" si="144"/>
        <v/>
      </c>
      <c r="R77" s="48" t="str">
        <f t="shared" si="145"/>
        <v/>
      </c>
      <c r="S77" s="84" t="str">
        <f t="shared" si="146"/>
        <v/>
      </c>
      <c r="T77" s="82" t="str">
        <f t="shared" si="147"/>
        <v/>
      </c>
      <c r="U77" s="48" t="str">
        <f t="shared" si="148"/>
        <v/>
      </c>
      <c r="V77" s="48" t="str">
        <f t="shared" si="149"/>
        <v/>
      </c>
      <c r="W77" s="84" t="str">
        <f t="shared" si="150"/>
        <v/>
      </c>
      <c r="X77" s="82" t="str">
        <f t="shared" si="151"/>
        <v/>
      </c>
      <c r="Y77" s="48" t="str">
        <f t="shared" si="152"/>
        <v/>
      </c>
      <c r="Z77" s="48" t="str">
        <f t="shared" si="153"/>
        <v/>
      </c>
      <c r="AA77" s="84" t="str">
        <f t="shared" si="154"/>
        <v/>
      </c>
      <c r="AB77" s="82" t="str">
        <f t="shared" si="155"/>
        <v/>
      </c>
      <c r="AC77" s="48" t="str">
        <f t="shared" si="156"/>
        <v/>
      </c>
      <c r="AD77" s="48" t="str">
        <f t="shared" si="157"/>
        <v/>
      </c>
      <c r="AE77" s="84" t="str">
        <f t="shared" si="158"/>
        <v/>
      </c>
      <c r="AF77" s="82" t="str">
        <f t="shared" si="159"/>
        <v/>
      </c>
      <c r="AG77" s="48" t="str">
        <f t="shared" si="160"/>
        <v/>
      </c>
      <c r="AH77" s="48" t="str">
        <f t="shared" si="161"/>
        <v/>
      </c>
      <c r="AI77" s="84" t="str">
        <f t="shared" si="162"/>
        <v/>
      </c>
      <c r="AJ77" s="82" t="str">
        <f t="shared" si="163"/>
        <v/>
      </c>
      <c r="AK77" s="48" t="str">
        <f t="shared" si="164"/>
        <v/>
      </c>
      <c r="AL77" s="48" t="str">
        <f t="shared" si="165"/>
        <v/>
      </c>
      <c r="AM77" s="84" t="str">
        <f t="shared" si="166"/>
        <v/>
      </c>
      <c r="AN77" s="82" t="str">
        <f t="shared" si="167"/>
        <v/>
      </c>
      <c r="AO77" s="48" t="str">
        <f t="shared" si="168"/>
        <v/>
      </c>
      <c r="AP77" s="48" t="str">
        <f t="shared" si="169"/>
        <v/>
      </c>
      <c r="AQ77" s="84" t="str">
        <f t="shared" si="170"/>
        <v/>
      </c>
      <c r="AR77" s="82" t="str">
        <f t="shared" si="171"/>
        <v/>
      </c>
      <c r="AS77" s="48" t="str">
        <f t="shared" si="172"/>
        <v/>
      </c>
      <c r="AT77" s="48" t="str">
        <f t="shared" si="173"/>
        <v/>
      </c>
      <c r="AU77" s="84" t="str">
        <f t="shared" si="174"/>
        <v/>
      </c>
      <c r="AV77" s="82" t="str">
        <f t="shared" si="175"/>
        <v/>
      </c>
      <c r="AW77" s="48" t="str">
        <f t="shared" si="176"/>
        <v/>
      </c>
      <c r="AX77" s="48" t="str">
        <f t="shared" si="177"/>
        <v/>
      </c>
      <c r="AY77" s="84" t="str">
        <f t="shared" si="178"/>
        <v/>
      </c>
      <c r="AZ77" s="82" t="str">
        <f t="shared" si="179"/>
        <v/>
      </c>
      <c r="BA77" s="48" t="str">
        <f t="shared" si="180"/>
        <v/>
      </c>
      <c r="BB77" s="48" t="str">
        <f t="shared" si="181"/>
        <v/>
      </c>
      <c r="BC77" s="84" t="str">
        <f t="shared" si="182"/>
        <v/>
      </c>
      <c r="BD77" s="82" t="str">
        <f t="shared" si="183"/>
        <v/>
      </c>
      <c r="BE77" s="48" t="str">
        <f t="shared" si="184"/>
        <v/>
      </c>
      <c r="BF77" s="48" t="str">
        <f t="shared" si="185"/>
        <v/>
      </c>
      <c r="BG77" s="84" t="str">
        <f t="shared" si="186"/>
        <v/>
      </c>
      <c r="BH77" s="87" t="str">
        <f t="shared" si="187"/>
        <v/>
      </c>
      <c r="BI77" s="49" t="str">
        <f t="shared" si="188"/>
        <v/>
      </c>
      <c r="BJ77" s="49" t="str">
        <f t="shared" si="189"/>
        <v/>
      </c>
      <c r="BK77" s="89" t="str">
        <f t="shared" si="190"/>
        <v/>
      </c>
      <c r="BL77" s="87" t="str">
        <f t="shared" si="191"/>
        <v/>
      </c>
      <c r="BM77" s="49" t="str">
        <f t="shared" si="192"/>
        <v/>
      </c>
      <c r="BN77" s="49" t="str">
        <f t="shared" si="193"/>
        <v/>
      </c>
      <c r="BO77" s="89" t="str">
        <f t="shared" si="194"/>
        <v/>
      </c>
      <c r="BP77" s="87" t="str">
        <f t="shared" si="195"/>
        <v/>
      </c>
      <c r="BQ77" s="49" t="str">
        <f t="shared" si="196"/>
        <v/>
      </c>
      <c r="BR77" s="49" t="str">
        <f t="shared" si="197"/>
        <v/>
      </c>
      <c r="BS77" s="89" t="str">
        <f t="shared" si="198"/>
        <v/>
      </c>
      <c r="BT77" s="87" t="str">
        <f t="shared" si="199"/>
        <v/>
      </c>
    </row>
    <row r="78" spans="2:72">
      <c r="B78" s="81">
        <f>Weekly!B70</f>
        <v>0</v>
      </c>
      <c r="C78" s="90">
        <f>Weekly!C70</f>
        <v>0</v>
      </c>
      <c r="D78" s="90">
        <f>Weekly!D77</f>
        <v>0</v>
      </c>
      <c r="E78" s="91" t="e">
        <f>VLOOKUP(B78,Team!$B$4:$E$183,4,FALSE)</f>
        <v>#N/A</v>
      </c>
      <c r="F78" s="92" t="str">
        <f>Weekly!S70</f>
        <v/>
      </c>
      <c r="G78" s="92" t="str">
        <f>Weekly!T70</f>
        <v/>
      </c>
      <c r="H78" s="48" t="str">
        <f t="shared" si="135"/>
        <v/>
      </c>
      <c r="I78" s="48" t="str">
        <f t="shared" si="136"/>
        <v/>
      </c>
      <c r="J78" s="48" t="str">
        <f t="shared" si="137"/>
        <v/>
      </c>
      <c r="K78" s="84" t="str">
        <f t="shared" si="138"/>
        <v/>
      </c>
      <c r="L78" s="82" t="str">
        <f t="shared" si="139"/>
        <v/>
      </c>
      <c r="M78" s="48" t="str">
        <f t="shared" si="140"/>
        <v/>
      </c>
      <c r="N78" s="48" t="str">
        <f t="shared" si="141"/>
        <v/>
      </c>
      <c r="O78" s="84" t="str">
        <f t="shared" si="142"/>
        <v/>
      </c>
      <c r="P78" s="82" t="str">
        <f t="shared" si="143"/>
        <v/>
      </c>
      <c r="Q78" s="48" t="str">
        <f t="shared" si="144"/>
        <v/>
      </c>
      <c r="R78" s="48" t="str">
        <f t="shared" si="145"/>
        <v/>
      </c>
      <c r="S78" s="84" t="str">
        <f t="shared" si="146"/>
        <v/>
      </c>
      <c r="T78" s="82" t="str">
        <f t="shared" si="147"/>
        <v/>
      </c>
      <c r="U78" s="48" t="str">
        <f t="shared" si="148"/>
        <v/>
      </c>
      <c r="V78" s="48" t="str">
        <f t="shared" si="149"/>
        <v/>
      </c>
      <c r="W78" s="84" t="str">
        <f t="shared" si="150"/>
        <v/>
      </c>
      <c r="X78" s="82" t="str">
        <f t="shared" si="151"/>
        <v/>
      </c>
      <c r="Y78" s="48" t="str">
        <f t="shared" si="152"/>
        <v/>
      </c>
      <c r="Z78" s="48" t="str">
        <f t="shared" si="153"/>
        <v/>
      </c>
      <c r="AA78" s="84" t="str">
        <f t="shared" si="154"/>
        <v/>
      </c>
      <c r="AB78" s="82" t="str">
        <f t="shared" si="155"/>
        <v/>
      </c>
      <c r="AC78" s="48" t="str">
        <f t="shared" si="156"/>
        <v/>
      </c>
      <c r="AD78" s="48" t="str">
        <f t="shared" si="157"/>
        <v/>
      </c>
      <c r="AE78" s="84" t="str">
        <f t="shared" si="158"/>
        <v/>
      </c>
      <c r="AF78" s="82" t="str">
        <f t="shared" si="159"/>
        <v/>
      </c>
      <c r="AG78" s="48" t="str">
        <f t="shared" si="160"/>
        <v/>
      </c>
      <c r="AH78" s="48" t="str">
        <f t="shared" si="161"/>
        <v/>
      </c>
      <c r="AI78" s="84" t="str">
        <f t="shared" si="162"/>
        <v/>
      </c>
      <c r="AJ78" s="82" t="str">
        <f t="shared" si="163"/>
        <v/>
      </c>
      <c r="AK78" s="48" t="str">
        <f t="shared" si="164"/>
        <v/>
      </c>
      <c r="AL78" s="48" t="str">
        <f t="shared" si="165"/>
        <v/>
      </c>
      <c r="AM78" s="84" t="str">
        <f t="shared" si="166"/>
        <v/>
      </c>
      <c r="AN78" s="82" t="str">
        <f t="shared" si="167"/>
        <v/>
      </c>
      <c r="AO78" s="48" t="str">
        <f t="shared" si="168"/>
        <v/>
      </c>
      <c r="AP78" s="48" t="str">
        <f t="shared" si="169"/>
        <v/>
      </c>
      <c r="AQ78" s="84" t="str">
        <f t="shared" si="170"/>
        <v/>
      </c>
      <c r="AR78" s="82" t="str">
        <f t="shared" si="171"/>
        <v/>
      </c>
      <c r="AS78" s="48" t="str">
        <f t="shared" si="172"/>
        <v/>
      </c>
      <c r="AT78" s="48" t="str">
        <f t="shared" si="173"/>
        <v/>
      </c>
      <c r="AU78" s="84" t="str">
        <f t="shared" si="174"/>
        <v/>
      </c>
      <c r="AV78" s="82" t="str">
        <f t="shared" si="175"/>
        <v/>
      </c>
      <c r="AW78" s="48" t="str">
        <f t="shared" si="176"/>
        <v/>
      </c>
      <c r="AX78" s="48" t="str">
        <f t="shared" si="177"/>
        <v/>
      </c>
      <c r="AY78" s="84" t="str">
        <f t="shared" si="178"/>
        <v/>
      </c>
      <c r="AZ78" s="82" t="str">
        <f t="shared" si="179"/>
        <v/>
      </c>
      <c r="BA78" s="48" t="str">
        <f t="shared" si="180"/>
        <v/>
      </c>
      <c r="BB78" s="48" t="str">
        <f t="shared" si="181"/>
        <v/>
      </c>
      <c r="BC78" s="84" t="str">
        <f t="shared" si="182"/>
        <v/>
      </c>
      <c r="BD78" s="82" t="str">
        <f t="shared" si="183"/>
        <v/>
      </c>
      <c r="BE78" s="48" t="str">
        <f t="shared" si="184"/>
        <v/>
      </c>
      <c r="BF78" s="48" t="str">
        <f t="shared" si="185"/>
        <v/>
      </c>
      <c r="BG78" s="84" t="str">
        <f t="shared" si="186"/>
        <v/>
      </c>
      <c r="BH78" s="87" t="str">
        <f t="shared" si="187"/>
        <v/>
      </c>
      <c r="BI78" s="49" t="str">
        <f t="shared" si="188"/>
        <v/>
      </c>
      <c r="BJ78" s="49" t="str">
        <f t="shared" si="189"/>
        <v/>
      </c>
      <c r="BK78" s="89" t="str">
        <f t="shared" si="190"/>
        <v/>
      </c>
      <c r="BL78" s="87" t="str">
        <f t="shared" si="191"/>
        <v/>
      </c>
      <c r="BM78" s="49" t="str">
        <f t="shared" si="192"/>
        <v/>
      </c>
      <c r="BN78" s="49" t="str">
        <f t="shared" si="193"/>
        <v/>
      </c>
      <c r="BO78" s="89" t="str">
        <f t="shared" si="194"/>
        <v/>
      </c>
      <c r="BP78" s="87" t="str">
        <f t="shared" si="195"/>
        <v/>
      </c>
      <c r="BQ78" s="49" t="str">
        <f t="shared" si="196"/>
        <v/>
      </c>
      <c r="BR78" s="49" t="str">
        <f t="shared" si="197"/>
        <v/>
      </c>
      <c r="BS78" s="89" t="str">
        <f t="shared" si="198"/>
        <v/>
      </c>
      <c r="BT78" s="87" t="str">
        <f t="shared" si="199"/>
        <v/>
      </c>
    </row>
    <row r="79" spans="2:72">
      <c r="B79" s="81">
        <f>Weekly!B71</f>
        <v>0</v>
      </c>
      <c r="C79" s="90">
        <f>Weekly!C71</f>
        <v>0</v>
      </c>
      <c r="D79" s="90">
        <f>Weekly!D78</f>
        <v>0</v>
      </c>
      <c r="E79" s="91" t="e">
        <f>VLOOKUP(B79,Team!$B$4:$E$183,4,FALSE)</f>
        <v>#N/A</v>
      </c>
      <c r="F79" s="92" t="str">
        <f>Weekly!S71</f>
        <v/>
      </c>
      <c r="G79" s="92" t="str">
        <f>Weekly!T71</f>
        <v/>
      </c>
      <c r="H79" s="48" t="str">
        <f t="shared" si="135"/>
        <v/>
      </c>
      <c r="I79" s="48" t="str">
        <f t="shared" si="136"/>
        <v/>
      </c>
      <c r="J79" s="48" t="str">
        <f t="shared" si="137"/>
        <v/>
      </c>
      <c r="K79" s="84" t="str">
        <f t="shared" si="138"/>
        <v/>
      </c>
      <c r="L79" s="82" t="str">
        <f t="shared" si="139"/>
        <v/>
      </c>
      <c r="M79" s="48" t="str">
        <f t="shared" si="140"/>
        <v/>
      </c>
      <c r="N79" s="48" t="str">
        <f t="shared" si="141"/>
        <v/>
      </c>
      <c r="O79" s="84" t="str">
        <f t="shared" si="142"/>
        <v/>
      </c>
      <c r="P79" s="82" t="str">
        <f t="shared" si="143"/>
        <v/>
      </c>
      <c r="Q79" s="48" t="str">
        <f t="shared" si="144"/>
        <v/>
      </c>
      <c r="R79" s="48" t="str">
        <f t="shared" si="145"/>
        <v/>
      </c>
      <c r="S79" s="84" t="str">
        <f t="shared" si="146"/>
        <v/>
      </c>
      <c r="T79" s="82" t="str">
        <f t="shared" si="147"/>
        <v/>
      </c>
      <c r="U79" s="48" t="str">
        <f t="shared" si="148"/>
        <v/>
      </c>
      <c r="V79" s="48" t="str">
        <f t="shared" si="149"/>
        <v/>
      </c>
      <c r="W79" s="84" t="str">
        <f t="shared" si="150"/>
        <v/>
      </c>
      <c r="X79" s="82" t="str">
        <f t="shared" si="151"/>
        <v/>
      </c>
      <c r="Y79" s="48" t="str">
        <f t="shared" si="152"/>
        <v/>
      </c>
      <c r="Z79" s="48" t="str">
        <f t="shared" si="153"/>
        <v/>
      </c>
      <c r="AA79" s="84" t="str">
        <f t="shared" si="154"/>
        <v/>
      </c>
      <c r="AB79" s="82" t="str">
        <f t="shared" si="155"/>
        <v/>
      </c>
      <c r="AC79" s="48" t="str">
        <f t="shared" si="156"/>
        <v/>
      </c>
      <c r="AD79" s="48" t="str">
        <f t="shared" si="157"/>
        <v/>
      </c>
      <c r="AE79" s="84" t="str">
        <f t="shared" si="158"/>
        <v/>
      </c>
      <c r="AF79" s="82" t="str">
        <f t="shared" si="159"/>
        <v/>
      </c>
      <c r="AG79" s="48" t="str">
        <f t="shared" si="160"/>
        <v/>
      </c>
      <c r="AH79" s="48" t="str">
        <f t="shared" si="161"/>
        <v/>
      </c>
      <c r="AI79" s="84" t="str">
        <f t="shared" si="162"/>
        <v/>
      </c>
      <c r="AJ79" s="82" t="str">
        <f t="shared" si="163"/>
        <v/>
      </c>
      <c r="AK79" s="48" t="str">
        <f t="shared" si="164"/>
        <v/>
      </c>
      <c r="AL79" s="48" t="str">
        <f t="shared" si="165"/>
        <v/>
      </c>
      <c r="AM79" s="84" t="str">
        <f t="shared" si="166"/>
        <v/>
      </c>
      <c r="AN79" s="82" t="str">
        <f t="shared" si="167"/>
        <v/>
      </c>
      <c r="AO79" s="48" t="str">
        <f t="shared" si="168"/>
        <v/>
      </c>
      <c r="AP79" s="48" t="str">
        <f t="shared" si="169"/>
        <v/>
      </c>
      <c r="AQ79" s="84" t="str">
        <f t="shared" si="170"/>
        <v/>
      </c>
      <c r="AR79" s="82" t="str">
        <f t="shared" si="171"/>
        <v/>
      </c>
      <c r="AS79" s="48" t="str">
        <f t="shared" si="172"/>
        <v/>
      </c>
      <c r="AT79" s="48" t="str">
        <f t="shared" si="173"/>
        <v/>
      </c>
      <c r="AU79" s="84" t="str">
        <f t="shared" si="174"/>
        <v/>
      </c>
      <c r="AV79" s="82" t="str">
        <f t="shared" si="175"/>
        <v/>
      </c>
      <c r="AW79" s="48" t="str">
        <f t="shared" si="176"/>
        <v/>
      </c>
      <c r="AX79" s="48" t="str">
        <f t="shared" si="177"/>
        <v/>
      </c>
      <c r="AY79" s="84" t="str">
        <f t="shared" si="178"/>
        <v/>
      </c>
      <c r="AZ79" s="82" t="str">
        <f t="shared" si="179"/>
        <v/>
      </c>
      <c r="BA79" s="48" t="str">
        <f t="shared" si="180"/>
        <v/>
      </c>
      <c r="BB79" s="48" t="str">
        <f t="shared" si="181"/>
        <v/>
      </c>
      <c r="BC79" s="84" t="str">
        <f t="shared" si="182"/>
        <v/>
      </c>
      <c r="BD79" s="82" t="str">
        <f t="shared" si="183"/>
        <v/>
      </c>
      <c r="BE79" s="48" t="str">
        <f t="shared" si="184"/>
        <v/>
      </c>
      <c r="BF79" s="48" t="str">
        <f t="shared" si="185"/>
        <v/>
      </c>
      <c r="BG79" s="84" t="str">
        <f t="shared" si="186"/>
        <v/>
      </c>
      <c r="BH79" s="87" t="str">
        <f t="shared" si="187"/>
        <v/>
      </c>
      <c r="BI79" s="49" t="str">
        <f t="shared" si="188"/>
        <v/>
      </c>
      <c r="BJ79" s="49" t="str">
        <f t="shared" si="189"/>
        <v/>
      </c>
      <c r="BK79" s="89" t="str">
        <f t="shared" si="190"/>
        <v/>
      </c>
      <c r="BL79" s="87" t="str">
        <f t="shared" si="191"/>
        <v/>
      </c>
      <c r="BM79" s="49" t="str">
        <f t="shared" si="192"/>
        <v/>
      </c>
      <c r="BN79" s="49" t="str">
        <f t="shared" si="193"/>
        <v/>
      </c>
      <c r="BO79" s="89" t="str">
        <f t="shared" si="194"/>
        <v/>
      </c>
      <c r="BP79" s="87" t="str">
        <f t="shared" si="195"/>
        <v/>
      </c>
      <c r="BQ79" s="49" t="str">
        <f t="shared" si="196"/>
        <v/>
      </c>
      <c r="BR79" s="49" t="str">
        <f t="shared" si="197"/>
        <v/>
      </c>
      <c r="BS79" s="89" t="str">
        <f t="shared" si="198"/>
        <v/>
      </c>
      <c r="BT79" s="87" t="str">
        <f t="shared" si="199"/>
        <v/>
      </c>
    </row>
    <row r="80" spans="2:72">
      <c r="B80" s="81">
        <f>Weekly!B72</f>
        <v>0</v>
      </c>
      <c r="C80" s="90">
        <f>Weekly!C72</f>
        <v>0</v>
      </c>
      <c r="D80" s="90">
        <f>Weekly!D79</f>
        <v>0</v>
      </c>
      <c r="E80" s="91" t="e">
        <f>VLOOKUP(B80,Team!$B$4:$E$183,4,FALSE)</f>
        <v>#N/A</v>
      </c>
      <c r="F80" s="92" t="str">
        <f>Weekly!S72</f>
        <v/>
      </c>
      <c r="G80" s="92" t="str">
        <f>Weekly!T72</f>
        <v/>
      </c>
      <c r="H80" s="48" t="str">
        <f t="shared" si="135"/>
        <v/>
      </c>
      <c r="I80" s="48" t="str">
        <f t="shared" si="136"/>
        <v/>
      </c>
      <c r="J80" s="48" t="str">
        <f t="shared" si="137"/>
        <v/>
      </c>
      <c r="K80" s="84" t="str">
        <f t="shared" si="138"/>
        <v/>
      </c>
      <c r="L80" s="82" t="str">
        <f t="shared" si="139"/>
        <v/>
      </c>
      <c r="M80" s="48" t="str">
        <f t="shared" si="140"/>
        <v/>
      </c>
      <c r="N80" s="48" t="str">
        <f t="shared" si="141"/>
        <v/>
      </c>
      <c r="O80" s="84" t="str">
        <f t="shared" si="142"/>
        <v/>
      </c>
      <c r="P80" s="82" t="str">
        <f t="shared" si="143"/>
        <v/>
      </c>
      <c r="Q80" s="48" t="str">
        <f t="shared" si="144"/>
        <v/>
      </c>
      <c r="R80" s="48" t="str">
        <f t="shared" si="145"/>
        <v/>
      </c>
      <c r="S80" s="84" t="str">
        <f t="shared" si="146"/>
        <v/>
      </c>
      <c r="T80" s="82" t="str">
        <f t="shared" si="147"/>
        <v/>
      </c>
      <c r="U80" s="48" t="str">
        <f t="shared" si="148"/>
        <v/>
      </c>
      <c r="V80" s="48" t="str">
        <f t="shared" si="149"/>
        <v/>
      </c>
      <c r="W80" s="84" t="str">
        <f t="shared" si="150"/>
        <v/>
      </c>
      <c r="X80" s="82" t="str">
        <f t="shared" si="151"/>
        <v/>
      </c>
      <c r="Y80" s="48" t="str">
        <f t="shared" si="152"/>
        <v/>
      </c>
      <c r="Z80" s="48" t="str">
        <f t="shared" si="153"/>
        <v/>
      </c>
      <c r="AA80" s="84" t="str">
        <f t="shared" si="154"/>
        <v/>
      </c>
      <c r="AB80" s="82" t="str">
        <f t="shared" si="155"/>
        <v/>
      </c>
      <c r="AC80" s="48" t="str">
        <f t="shared" si="156"/>
        <v/>
      </c>
      <c r="AD80" s="48" t="str">
        <f t="shared" si="157"/>
        <v/>
      </c>
      <c r="AE80" s="84" t="str">
        <f t="shared" si="158"/>
        <v/>
      </c>
      <c r="AF80" s="82" t="str">
        <f t="shared" si="159"/>
        <v/>
      </c>
      <c r="AG80" s="48" t="str">
        <f t="shared" si="160"/>
        <v/>
      </c>
      <c r="AH80" s="48" t="str">
        <f t="shared" si="161"/>
        <v/>
      </c>
      <c r="AI80" s="84" t="str">
        <f t="shared" si="162"/>
        <v/>
      </c>
      <c r="AJ80" s="82" t="str">
        <f t="shared" si="163"/>
        <v/>
      </c>
      <c r="AK80" s="48" t="str">
        <f t="shared" si="164"/>
        <v/>
      </c>
      <c r="AL80" s="48" t="str">
        <f t="shared" si="165"/>
        <v/>
      </c>
      <c r="AM80" s="84" t="str">
        <f t="shared" si="166"/>
        <v/>
      </c>
      <c r="AN80" s="82" t="str">
        <f t="shared" si="167"/>
        <v/>
      </c>
      <c r="AO80" s="48" t="str">
        <f t="shared" si="168"/>
        <v/>
      </c>
      <c r="AP80" s="48" t="str">
        <f t="shared" si="169"/>
        <v/>
      </c>
      <c r="AQ80" s="84" t="str">
        <f t="shared" si="170"/>
        <v/>
      </c>
      <c r="AR80" s="82" t="str">
        <f t="shared" si="171"/>
        <v/>
      </c>
      <c r="AS80" s="48" t="str">
        <f t="shared" si="172"/>
        <v/>
      </c>
      <c r="AT80" s="48" t="str">
        <f t="shared" si="173"/>
        <v/>
      </c>
      <c r="AU80" s="84" t="str">
        <f t="shared" si="174"/>
        <v/>
      </c>
      <c r="AV80" s="82" t="str">
        <f t="shared" si="175"/>
        <v/>
      </c>
      <c r="AW80" s="48" t="str">
        <f t="shared" si="176"/>
        <v/>
      </c>
      <c r="AX80" s="48" t="str">
        <f t="shared" si="177"/>
        <v/>
      </c>
      <c r="AY80" s="84" t="str">
        <f t="shared" si="178"/>
        <v/>
      </c>
      <c r="AZ80" s="82" t="str">
        <f t="shared" si="179"/>
        <v/>
      </c>
      <c r="BA80" s="48" t="str">
        <f t="shared" si="180"/>
        <v/>
      </c>
      <c r="BB80" s="48" t="str">
        <f t="shared" si="181"/>
        <v/>
      </c>
      <c r="BC80" s="84" t="str">
        <f t="shared" si="182"/>
        <v/>
      </c>
      <c r="BD80" s="82" t="str">
        <f t="shared" si="183"/>
        <v/>
      </c>
      <c r="BE80" s="48" t="str">
        <f t="shared" si="184"/>
        <v/>
      </c>
      <c r="BF80" s="48" t="str">
        <f t="shared" si="185"/>
        <v/>
      </c>
      <c r="BG80" s="84" t="str">
        <f t="shared" si="186"/>
        <v/>
      </c>
      <c r="BH80" s="87" t="str">
        <f t="shared" si="187"/>
        <v/>
      </c>
      <c r="BI80" s="49" t="str">
        <f t="shared" si="188"/>
        <v/>
      </c>
      <c r="BJ80" s="49" t="str">
        <f t="shared" si="189"/>
        <v/>
      </c>
      <c r="BK80" s="89" t="str">
        <f t="shared" si="190"/>
        <v/>
      </c>
      <c r="BL80" s="87" t="str">
        <f t="shared" si="191"/>
        <v/>
      </c>
      <c r="BM80" s="49" t="str">
        <f t="shared" si="192"/>
        <v/>
      </c>
      <c r="BN80" s="49" t="str">
        <f t="shared" si="193"/>
        <v/>
      </c>
      <c r="BO80" s="89" t="str">
        <f t="shared" si="194"/>
        <v/>
      </c>
      <c r="BP80" s="87" t="str">
        <f t="shared" si="195"/>
        <v/>
      </c>
      <c r="BQ80" s="49" t="str">
        <f t="shared" si="196"/>
        <v/>
      </c>
      <c r="BR80" s="49" t="str">
        <f t="shared" si="197"/>
        <v/>
      </c>
      <c r="BS80" s="89" t="str">
        <f t="shared" si="198"/>
        <v/>
      </c>
      <c r="BT80" s="87" t="str">
        <f t="shared" si="199"/>
        <v/>
      </c>
    </row>
    <row r="81" spans="2:72">
      <c r="B81" s="81">
        <f>Weekly!B73</f>
        <v>0</v>
      </c>
      <c r="C81" s="90">
        <f>Weekly!C73</f>
        <v>0</v>
      </c>
      <c r="D81" s="90">
        <f>Weekly!D80</f>
        <v>0</v>
      </c>
      <c r="E81" s="91" t="e">
        <f>VLOOKUP(B81,Team!$B$4:$E$183,4,FALSE)</f>
        <v>#N/A</v>
      </c>
      <c r="F81" s="92" t="str">
        <f>Weekly!S73</f>
        <v/>
      </c>
      <c r="G81" s="92" t="str">
        <f>Weekly!T73</f>
        <v/>
      </c>
      <c r="H81" s="48" t="str">
        <f t="shared" ref="H81:H103" si="200">IF(AND($H$12&gt;=$F81,$H$12&lt;$G81),$E81,"")</f>
        <v/>
      </c>
      <c r="I81" s="48" t="str">
        <f t="shared" ref="I81:I103" si="201">IF(AND($I$12&gt;=$F81,$I$12&lt;$G81),$E81,"")</f>
        <v/>
      </c>
      <c r="J81" s="48" t="str">
        <f t="shared" ref="J81:J103" si="202">IF(AND($J$12&gt;=$F81,$J$12&lt;$G81),$E81,"")</f>
        <v/>
      </c>
      <c r="K81" s="84" t="str">
        <f t="shared" ref="K81:K103" si="203">IF(AND($K$12&gt;=$F81,$K$12&lt;$G81),$E81,"")</f>
        <v/>
      </c>
      <c r="L81" s="82" t="str">
        <f t="shared" ref="L81:L103" si="204">IF(AND($L$12&gt;=$F81,$L$12&lt;$G81),$E81,"")</f>
        <v/>
      </c>
      <c r="M81" s="48" t="str">
        <f t="shared" ref="M81:M103" si="205">IF(AND($M$12&gt;=$F81,$M$12&lt;$G81),$E81,"")</f>
        <v/>
      </c>
      <c r="N81" s="48" t="str">
        <f t="shared" ref="N81:N103" si="206">IF(AND($N$12&gt;=$F81,$N$12&lt;$G81),$E81,"")</f>
        <v/>
      </c>
      <c r="O81" s="84" t="str">
        <f t="shared" ref="O81:O103" si="207">IF(AND($O$12&gt;=$F81,$O$12&lt;$G81),$E81,"")</f>
        <v/>
      </c>
      <c r="P81" s="82" t="str">
        <f t="shared" ref="P81:P103" si="208">IF(AND($P$12&gt;=$F81,$P$12&lt;$G81),$E81,"")</f>
        <v/>
      </c>
      <c r="Q81" s="48" t="str">
        <f t="shared" ref="Q81:Q103" si="209">IF(AND($Q$12&gt;=$F81,$Q$12&lt;$G81),$E81,"")</f>
        <v/>
      </c>
      <c r="R81" s="48" t="str">
        <f t="shared" ref="R81:R103" si="210">IF(AND($R$12&gt;=$F81,$R$12&lt;$G81),$E81,"")</f>
        <v/>
      </c>
      <c r="S81" s="84" t="str">
        <f t="shared" ref="S81:S103" si="211">IF(AND($S$12&gt;=$F81,$S$12&lt;$G81),$E81,"")</f>
        <v/>
      </c>
      <c r="T81" s="82" t="str">
        <f t="shared" ref="T81:T103" si="212">IF(AND($T$12&gt;=$F81,$T$12&lt;$G81),$E81,"")</f>
        <v/>
      </c>
      <c r="U81" s="48" t="str">
        <f t="shared" ref="U81:U103" si="213">IF(AND($U$12&gt;=$F81,$U$12&lt;$G81),$E81,"")</f>
        <v/>
      </c>
      <c r="V81" s="48" t="str">
        <f t="shared" ref="V81:V103" si="214">IF(AND($V$12&gt;=$F81,$V$12&lt;$G81),$E81,"")</f>
        <v/>
      </c>
      <c r="W81" s="84" t="str">
        <f t="shared" ref="W81:W103" si="215">IF(AND($W$12&gt;=$F81,$W$12&lt;$G81),$E81,"")</f>
        <v/>
      </c>
      <c r="X81" s="82" t="str">
        <f t="shared" ref="X81:X103" si="216">IF(AND($X$12&gt;=$F81,$X$12&lt;$G81),$E81,"")</f>
        <v/>
      </c>
      <c r="Y81" s="48" t="str">
        <f t="shared" ref="Y81:Y103" si="217">IF(AND($Y$12&gt;=$F81,$Y$12&lt;$G81),$E81,"")</f>
        <v/>
      </c>
      <c r="Z81" s="48" t="str">
        <f t="shared" ref="Z81:Z103" si="218">IF(AND($Z$12&gt;=$F81,$Z$12&lt;$G81),$E81,"")</f>
        <v/>
      </c>
      <c r="AA81" s="84" t="str">
        <f t="shared" ref="AA81:AA103" si="219">IF(AND($AA$12&gt;=$F81,$AA$12&lt;$G81),$E81,"")</f>
        <v/>
      </c>
      <c r="AB81" s="82" t="str">
        <f t="shared" ref="AB81:AB103" si="220">IF(AND($AB$12&gt;=$F81,$AB$12&lt;$G81),$E81,"")</f>
        <v/>
      </c>
      <c r="AC81" s="48" t="str">
        <f t="shared" ref="AC81:AC103" si="221">IF(AND($AC$12&gt;=$F81,$AC$12&lt;$G81),$E81,"")</f>
        <v/>
      </c>
      <c r="AD81" s="48" t="str">
        <f t="shared" ref="AD81:AD103" si="222">IF(AND($AD$12&gt;=$F81,$AD$12&lt;$G81),$E81,"")</f>
        <v/>
      </c>
      <c r="AE81" s="84" t="str">
        <f t="shared" ref="AE81:AE103" si="223">IF(AND($AE$12&gt;=$F81,$AE$12&lt;$G81),$E81,"")</f>
        <v/>
      </c>
      <c r="AF81" s="82" t="str">
        <f t="shared" ref="AF81:AF103" si="224">IF(AND($AF$12&gt;=$F81,$AF$12&lt;$G81),$E81,"")</f>
        <v/>
      </c>
      <c r="AG81" s="48" t="str">
        <f t="shared" ref="AG81:AG103" si="225">IF(AND($AG$12&gt;=$F81,$AG$12&lt;$G81),$E81,"")</f>
        <v/>
      </c>
      <c r="AH81" s="48" t="str">
        <f t="shared" ref="AH81:AH103" si="226">IF(AND($AH$12&gt;=$F81,$AH$12&lt;$G81),$E81,"")</f>
        <v/>
      </c>
      <c r="AI81" s="84" t="str">
        <f t="shared" ref="AI81:AI103" si="227">IF(AND($AI$12&gt;=$F81,$AI$12&lt;$G81),$E81,"")</f>
        <v/>
      </c>
      <c r="AJ81" s="82" t="str">
        <f t="shared" ref="AJ81:AJ103" si="228">IF(AND($AJ$12&gt;=$F81,$AJ$12&lt;$G81),$E81,"")</f>
        <v/>
      </c>
      <c r="AK81" s="48" t="str">
        <f t="shared" ref="AK81:AK103" si="229">IF(AND($AK$12&gt;=$F81,$AK$12&lt;$G81),$E81,"")</f>
        <v/>
      </c>
      <c r="AL81" s="48" t="str">
        <f t="shared" ref="AL81:AL103" si="230">IF(AND($AL$12&gt;=$F81,$AL$12&lt;$G81),$E81,"")</f>
        <v/>
      </c>
      <c r="AM81" s="84" t="str">
        <f t="shared" ref="AM81:AM103" si="231">IF(AND($AM$12&gt;=$F81,$AM$12&lt;$G81),$E81,"")</f>
        <v/>
      </c>
      <c r="AN81" s="82" t="str">
        <f t="shared" ref="AN81:AN103" si="232">IF(AND($AN$12&gt;=$F81,$AN$12&lt;$G81),$E81,"")</f>
        <v/>
      </c>
      <c r="AO81" s="48" t="str">
        <f t="shared" ref="AO81:AO103" si="233">IF(AND($AO$12&gt;=$F81,$AO$12&lt;$G81),$E81,"")</f>
        <v/>
      </c>
      <c r="AP81" s="48" t="str">
        <f t="shared" ref="AP81:AP103" si="234">IF(AND($AP$12&gt;=$F81,$AP$12&lt;$G81),$E81,"")</f>
        <v/>
      </c>
      <c r="AQ81" s="84" t="str">
        <f t="shared" ref="AQ81:AQ103" si="235">IF(AND($AQ$12&gt;=$F81,$AQ$12&lt;$G81),$E81,"")</f>
        <v/>
      </c>
      <c r="AR81" s="82" t="str">
        <f t="shared" ref="AR81:AR103" si="236">IF(AND($AR$12&gt;=$F81,$AR$12&lt;$G81),$E81,"")</f>
        <v/>
      </c>
      <c r="AS81" s="48" t="str">
        <f t="shared" ref="AS81:AS103" si="237">IF(AND($AS$12&gt;=$F81,$AS$12&lt;$G81),$E81,"")</f>
        <v/>
      </c>
      <c r="AT81" s="48" t="str">
        <f t="shared" ref="AT81:AT103" si="238">IF(AND($AT$12&gt;=$F81,$AT$12&lt;$G81),$E81,"")</f>
        <v/>
      </c>
      <c r="AU81" s="84" t="str">
        <f t="shared" ref="AU81:AU103" si="239">IF(AND($AU$12&gt;=$F81,$AU$12&lt;$G81),$E81,"")</f>
        <v/>
      </c>
      <c r="AV81" s="82" t="str">
        <f t="shared" ref="AV81:AV103" si="240">IF(AND($AV$12&gt;=$F81,$AV$12&lt;$G81),$E81,"")</f>
        <v/>
      </c>
      <c r="AW81" s="48" t="str">
        <f t="shared" ref="AW81:AW103" si="241">IF(AND($AW$12&gt;=$F81,$AW$12&lt;$G81),$E81,"")</f>
        <v/>
      </c>
      <c r="AX81" s="48" t="str">
        <f t="shared" ref="AX81:AX103" si="242">IF(AND($AX$12&gt;=$F81,$AX$12&lt;$G81),$E81,"")</f>
        <v/>
      </c>
      <c r="AY81" s="84" t="str">
        <f t="shared" ref="AY81:AY103" si="243">IF(AND($AY$12&gt;=$F81,$AY$12&lt;$G81),$E81,"")</f>
        <v/>
      </c>
      <c r="AZ81" s="82" t="str">
        <f t="shared" ref="AZ81:AZ103" si="244">IF(AND($AZ$12&gt;=$F81,$AZ$12&lt;$G81),$E81,"")</f>
        <v/>
      </c>
      <c r="BA81" s="48" t="str">
        <f t="shared" ref="BA81:BA103" si="245">IF(AND($BA$12&gt;=$F81,$BA$12&lt;$G81),$E81,"")</f>
        <v/>
      </c>
      <c r="BB81" s="48" t="str">
        <f t="shared" ref="BB81:BB103" si="246">IF(AND($BB$12&gt;=$F81,$BB$12&lt;$G81),$E81,"")</f>
        <v/>
      </c>
      <c r="BC81" s="84" t="str">
        <f t="shared" ref="BC81:BC103" si="247">IF(AND($BC$12&gt;=$F81,$BC$12&lt;$G81),$E81,"")</f>
        <v/>
      </c>
      <c r="BD81" s="82" t="str">
        <f t="shared" ref="BD81:BD103" si="248">IF(AND($BD$12&gt;=$F81,$BD$12&lt;$G81),$E81,"")</f>
        <v/>
      </c>
      <c r="BE81" s="48" t="str">
        <f t="shared" ref="BE81:BE103" si="249">IF(AND($BE$12&gt;=$F81,$BE$12&lt;$G81),$E81,"")</f>
        <v/>
      </c>
      <c r="BF81" s="48" t="str">
        <f t="shared" ref="BF81:BF103" si="250">IF(AND($BF$12&gt;=$F81,$BF$12&lt;$G81),$E81,"")</f>
        <v/>
      </c>
      <c r="BG81" s="84" t="str">
        <f t="shared" ref="BG81:BG103" si="251">IF(AND($BG$12&gt;=$F81,$BG$12&lt;$G81),$E81,"")</f>
        <v/>
      </c>
      <c r="BH81" s="87" t="str">
        <f t="shared" ref="BH81:BH103" si="252">IF(AND($BH$12&gt;=$F81,$BH$12&lt;$G81),$E81,"")</f>
        <v/>
      </c>
      <c r="BI81" s="49" t="str">
        <f t="shared" ref="BI81:BI103" si="253">IF(AND($BI$12&gt;=$F81,$BI$12&lt;$G81),$E81,"")</f>
        <v/>
      </c>
      <c r="BJ81" s="49" t="str">
        <f t="shared" ref="BJ81:BJ103" si="254">IF(AND($BJ$12&gt;=$F81,$BJ$12&lt;$G81),$E81,"")</f>
        <v/>
      </c>
      <c r="BK81" s="89" t="str">
        <f t="shared" ref="BK81:BK103" si="255">IF(AND($BK$12&gt;=$F81,$BK$12&lt;$G81),$E81,"")</f>
        <v/>
      </c>
      <c r="BL81" s="87" t="str">
        <f t="shared" ref="BL81:BL103" si="256">IF(AND($BL$12&gt;=$F81,$BL$12&lt;$G81),$E81,"")</f>
        <v/>
      </c>
      <c r="BM81" s="49" t="str">
        <f t="shared" ref="BM81:BM103" si="257">IF(AND($BM$12&gt;=$F81,$BM$12&lt;$G81),$E81,"")</f>
        <v/>
      </c>
      <c r="BN81" s="49" t="str">
        <f t="shared" ref="BN81:BN103" si="258">IF(AND($BN$12&gt;=$F81,$BN$12&lt;$G81),$E81,"")</f>
        <v/>
      </c>
      <c r="BO81" s="89" t="str">
        <f t="shared" ref="BO81:BO103" si="259">IF(AND($BO$12&gt;=$F81,$BO$12&lt;$G81),$E81,"")</f>
        <v/>
      </c>
      <c r="BP81" s="87" t="str">
        <f t="shared" ref="BP81:BP103" si="260">IF(AND($BP$12&gt;=$F81,$BP$12&lt;$G81),$E81,"")</f>
        <v/>
      </c>
      <c r="BQ81" s="49" t="str">
        <f t="shared" ref="BQ81:BQ103" si="261">IF(AND($BQ$12&gt;=$F81,$BQ$12&lt;$G81),$E81,"")</f>
        <v/>
      </c>
      <c r="BR81" s="49" t="str">
        <f t="shared" ref="BR81:BR103" si="262">IF(AND($BR$12&gt;=$F81,$BR$12&lt;$G81),$E81,"")</f>
        <v/>
      </c>
      <c r="BS81" s="89" t="str">
        <f t="shared" ref="BS81:BS103" si="263">IF(AND($BS$12&gt;=$F81,$BS$12&lt;$G81),$E81,"")</f>
        <v/>
      </c>
      <c r="BT81" s="87" t="str">
        <f t="shared" ref="BT81:BT103" si="264">IF(AND($BT$12&gt;=$F81,$BT$12&lt;$G81),$E81,"")</f>
        <v/>
      </c>
    </row>
    <row r="82" spans="2:72">
      <c r="B82" s="81">
        <f>Weekly!B74</f>
        <v>0</v>
      </c>
      <c r="C82" s="90">
        <f>Weekly!C74</f>
        <v>0</v>
      </c>
      <c r="D82" s="90">
        <f>Weekly!D81</f>
        <v>0</v>
      </c>
      <c r="E82" s="91" t="e">
        <f>VLOOKUP(B82,Team!$B$4:$E$183,4,FALSE)</f>
        <v>#N/A</v>
      </c>
      <c r="F82" s="92" t="str">
        <f>Weekly!S74</f>
        <v/>
      </c>
      <c r="G82" s="92" t="str">
        <f>Weekly!T74</f>
        <v/>
      </c>
      <c r="H82" s="48" t="str">
        <f t="shared" si="200"/>
        <v/>
      </c>
      <c r="I82" s="48" t="str">
        <f t="shared" si="201"/>
        <v/>
      </c>
      <c r="J82" s="48" t="str">
        <f t="shared" si="202"/>
        <v/>
      </c>
      <c r="K82" s="84" t="str">
        <f t="shared" si="203"/>
        <v/>
      </c>
      <c r="L82" s="82" t="str">
        <f t="shared" si="204"/>
        <v/>
      </c>
      <c r="M82" s="48" t="str">
        <f t="shared" si="205"/>
        <v/>
      </c>
      <c r="N82" s="48" t="str">
        <f t="shared" si="206"/>
        <v/>
      </c>
      <c r="O82" s="84" t="str">
        <f t="shared" si="207"/>
        <v/>
      </c>
      <c r="P82" s="82" t="str">
        <f t="shared" si="208"/>
        <v/>
      </c>
      <c r="Q82" s="48" t="str">
        <f t="shared" si="209"/>
        <v/>
      </c>
      <c r="R82" s="48" t="str">
        <f t="shared" si="210"/>
        <v/>
      </c>
      <c r="S82" s="84" t="str">
        <f t="shared" si="211"/>
        <v/>
      </c>
      <c r="T82" s="82" t="str">
        <f t="shared" si="212"/>
        <v/>
      </c>
      <c r="U82" s="48" t="str">
        <f t="shared" si="213"/>
        <v/>
      </c>
      <c r="V82" s="48" t="str">
        <f t="shared" si="214"/>
        <v/>
      </c>
      <c r="W82" s="84" t="str">
        <f t="shared" si="215"/>
        <v/>
      </c>
      <c r="X82" s="82" t="str">
        <f t="shared" si="216"/>
        <v/>
      </c>
      <c r="Y82" s="48" t="str">
        <f t="shared" si="217"/>
        <v/>
      </c>
      <c r="Z82" s="48" t="str">
        <f t="shared" si="218"/>
        <v/>
      </c>
      <c r="AA82" s="84" t="str">
        <f t="shared" si="219"/>
        <v/>
      </c>
      <c r="AB82" s="82" t="str">
        <f t="shared" si="220"/>
        <v/>
      </c>
      <c r="AC82" s="48" t="str">
        <f t="shared" si="221"/>
        <v/>
      </c>
      <c r="AD82" s="48" t="str">
        <f t="shared" si="222"/>
        <v/>
      </c>
      <c r="AE82" s="84" t="str">
        <f t="shared" si="223"/>
        <v/>
      </c>
      <c r="AF82" s="82" t="str">
        <f t="shared" si="224"/>
        <v/>
      </c>
      <c r="AG82" s="48" t="str">
        <f t="shared" si="225"/>
        <v/>
      </c>
      <c r="AH82" s="48" t="str">
        <f t="shared" si="226"/>
        <v/>
      </c>
      <c r="AI82" s="84" t="str">
        <f t="shared" si="227"/>
        <v/>
      </c>
      <c r="AJ82" s="82" t="str">
        <f t="shared" si="228"/>
        <v/>
      </c>
      <c r="AK82" s="48" t="str">
        <f t="shared" si="229"/>
        <v/>
      </c>
      <c r="AL82" s="48" t="str">
        <f t="shared" si="230"/>
        <v/>
      </c>
      <c r="AM82" s="84" t="str">
        <f t="shared" si="231"/>
        <v/>
      </c>
      <c r="AN82" s="82" t="str">
        <f t="shared" si="232"/>
        <v/>
      </c>
      <c r="AO82" s="48" t="str">
        <f t="shared" si="233"/>
        <v/>
      </c>
      <c r="AP82" s="48" t="str">
        <f t="shared" si="234"/>
        <v/>
      </c>
      <c r="AQ82" s="84" t="str">
        <f t="shared" si="235"/>
        <v/>
      </c>
      <c r="AR82" s="82" t="str">
        <f t="shared" si="236"/>
        <v/>
      </c>
      <c r="AS82" s="48" t="str">
        <f t="shared" si="237"/>
        <v/>
      </c>
      <c r="AT82" s="48" t="str">
        <f t="shared" si="238"/>
        <v/>
      </c>
      <c r="AU82" s="84" t="str">
        <f t="shared" si="239"/>
        <v/>
      </c>
      <c r="AV82" s="82" t="str">
        <f t="shared" si="240"/>
        <v/>
      </c>
      <c r="AW82" s="48" t="str">
        <f t="shared" si="241"/>
        <v/>
      </c>
      <c r="AX82" s="48" t="str">
        <f t="shared" si="242"/>
        <v/>
      </c>
      <c r="AY82" s="84" t="str">
        <f t="shared" si="243"/>
        <v/>
      </c>
      <c r="AZ82" s="82" t="str">
        <f t="shared" si="244"/>
        <v/>
      </c>
      <c r="BA82" s="48" t="str">
        <f t="shared" si="245"/>
        <v/>
      </c>
      <c r="BB82" s="48" t="str">
        <f t="shared" si="246"/>
        <v/>
      </c>
      <c r="BC82" s="84" t="str">
        <f t="shared" si="247"/>
        <v/>
      </c>
      <c r="BD82" s="82" t="str">
        <f t="shared" si="248"/>
        <v/>
      </c>
      <c r="BE82" s="48" t="str">
        <f t="shared" si="249"/>
        <v/>
      </c>
      <c r="BF82" s="48" t="str">
        <f t="shared" si="250"/>
        <v/>
      </c>
      <c r="BG82" s="84" t="str">
        <f t="shared" si="251"/>
        <v/>
      </c>
      <c r="BH82" s="87" t="str">
        <f t="shared" si="252"/>
        <v/>
      </c>
      <c r="BI82" s="49" t="str">
        <f t="shared" si="253"/>
        <v/>
      </c>
      <c r="BJ82" s="49" t="str">
        <f t="shared" si="254"/>
        <v/>
      </c>
      <c r="BK82" s="89" t="str">
        <f t="shared" si="255"/>
        <v/>
      </c>
      <c r="BL82" s="87" t="str">
        <f t="shared" si="256"/>
        <v/>
      </c>
      <c r="BM82" s="49" t="str">
        <f t="shared" si="257"/>
        <v/>
      </c>
      <c r="BN82" s="49" t="str">
        <f t="shared" si="258"/>
        <v/>
      </c>
      <c r="BO82" s="89" t="str">
        <f t="shared" si="259"/>
        <v/>
      </c>
      <c r="BP82" s="87" t="str">
        <f t="shared" si="260"/>
        <v/>
      </c>
      <c r="BQ82" s="49" t="str">
        <f t="shared" si="261"/>
        <v/>
      </c>
      <c r="BR82" s="49" t="str">
        <f t="shared" si="262"/>
        <v/>
      </c>
      <c r="BS82" s="89" t="str">
        <f t="shared" si="263"/>
        <v/>
      </c>
      <c r="BT82" s="87" t="str">
        <f t="shared" si="264"/>
        <v/>
      </c>
    </row>
    <row r="83" spans="2:72">
      <c r="B83" s="81">
        <f>Weekly!B75</f>
        <v>0</v>
      </c>
      <c r="C83" s="90">
        <f>Weekly!C75</f>
        <v>0</v>
      </c>
      <c r="D83" s="90">
        <f>Weekly!D82</f>
        <v>0</v>
      </c>
      <c r="E83" s="91" t="e">
        <f>VLOOKUP(B83,Team!$B$4:$E$183,4,FALSE)</f>
        <v>#N/A</v>
      </c>
      <c r="F83" s="92" t="str">
        <f>Weekly!S75</f>
        <v/>
      </c>
      <c r="G83" s="92" t="str">
        <f>Weekly!T75</f>
        <v/>
      </c>
      <c r="H83" s="48" t="str">
        <f t="shared" si="200"/>
        <v/>
      </c>
      <c r="I83" s="48" t="str">
        <f t="shared" si="201"/>
        <v/>
      </c>
      <c r="J83" s="48" t="str">
        <f t="shared" si="202"/>
        <v/>
      </c>
      <c r="K83" s="84" t="str">
        <f t="shared" si="203"/>
        <v/>
      </c>
      <c r="L83" s="82" t="str">
        <f t="shared" si="204"/>
        <v/>
      </c>
      <c r="M83" s="48" t="str">
        <f t="shared" si="205"/>
        <v/>
      </c>
      <c r="N83" s="48" t="str">
        <f t="shared" si="206"/>
        <v/>
      </c>
      <c r="O83" s="84" t="str">
        <f t="shared" si="207"/>
        <v/>
      </c>
      <c r="P83" s="82" t="str">
        <f t="shared" si="208"/>
        <v/>
      </c>
      <c r="Q83" s="48" t="str">
        <f t="shared" si="209"/>
        <v/>
      </c>
      <c r="R83" s="48" t="str">
        <f t="shared" si="210"/>
        <v/>
      </c>
      <c r="S83" s="84" t="str">
        <f t="shared" si="211"/>
        <v/>
      </c>
      <c r="T83" s="82" t="str">
        <f t="shared" si="212"/>
        <v/>
      </c>
      <c r="U83" s="48" t="str">
        <f t="shared" si="213"/>
        <v/>
      </c>
      <c r="V83" s="48" t="str">
        <f t="shared" si="214"/>
        <v/>
      </c>
      <c r="W83" s="84" t="str">
        <f t="shared" si="215"/>
        <v/>
      </c>
      <c r="X83" s="82" t="str">
        <f t="shared" si="216"/>
        <v/>
      </c>
      <c r="Y83" s="48" t="str">
        <f t="shared" si="217"/>
        <v/>
      </c>
      <c r="Z83" s="48" t="str">
        <f t="shared" si="218"/>
        <v/>
      </c>
      <c r="AA83" s="84" t="str">
        <f t="shared" si="219"/>
        <v/>
      </c>
      <c r="AB83" s="82" t="str">
        <f t="shared" si="220"/>
        <v/>
      </c>
      <c r="AC83" s="48" t="str">
        <f t="shared" si="221"/>
        <v/>
      </c>
      <c r="AD83" s="48" t="str">
        <f t="shared" si="222"/>
        <v/>
      </c>
      <c r="AE83" s="84" t="str">
        <f t="shared" si="223"/>
        <v/>
      </c>
      <c r="AF83" s="82" t="str">
        <f t="shared" si="224"/>
        <v/>
      </c>
      <c r="AG83" s="48" t="str">
        <f t="shared" si="225"/>
        <v/>
      </c>
      <c r="AH83" s="48" t="str">
        <f t="shared" si="226"/>
        <v/>
      </c>
      <c r="AI83" s="84" t="str">
        <f t="shared" si="227"/>
        <v/>
      </c>
      <c r="AJ83" s="82" t="str">
        <f t="shared" si="228"/>
        <v/>
      </c>
      <c r="AK83" s="48" t="str">
        <f t="shared" si="229"/>
        <v/>
      </c>
      <c r="AL83" s="48" t="str">
        <f t="shared" si="230"/>
        <v/>
      </c>
      <c r="AM83" s="84" t="str">
        <f t="shared" si="231"/>
        <v/>
      </c>
      <c r="AN83" s="82" t="str">
        <f t="shared" si="232"/>
        <v/>
      </c>
      <c r="AO83" s="48" t="str">
        <f t="shared" si="233"/>
        <v/>
      </c>
      <c r="AP83" s="48" t="str">
        <f t="shared" si="234"/>
        <v/>
      </c>
      <c r="AQ83" s="84" t="str">
        <f t="shared" si="235"/>
        <v/>
      </c>
      <c r="AR83" s="82" t="str">
        <f t="shared" si="236"/>
        <v/>
      </c>
      <c r="AS83" s="48" t="str">
        <f t="shared" si="237"/>
        <v/>
      </c>
      <c r="AT83" s="48" t="str">
        <f t="shared" si="238"/>
        <v/>
      </c>
      <c r="AU83" s="84" t="str">
        <f t="shared" si="239"/>
        <v/>
      </c>
      <c r="AV83" s="82" t="str">
        <f t="shared" si="240"/>
        <v/>
      </c>
      <c r="AW83" s="48" t="str">
        <f t="shared" si="241"/>
        <v/>
      </c>
      <c r="AX83" s="48" t="str">
        <f t="shared" si="242"/>
        <v/>
      </c>
      <c r="AY83" s="84" t="str">
        <f t="shared" si="243"/>
        <v/>
      </c>
      <c r="AZ83" s="82" t="str">
        <f t="shared" si="244"/>
        <v/>
      </c>
      <c r="BA83" s="48" t="str">
        <f t="shared" si="245"/>
        <v/>
      </c>
      <c r="BB83" s="48" t="str">
        <f t="shared" si="246"/>
        <v/>
      </c>
      <c r="BC83" s="84" t="str">
        <f t="shared" si="247"/>
        <v/>
      </c>
      <c r="BD83" s="82" t="str">
        <f t="shared" si="248"/>
        <v/>
      </c>
      <c r="BE83" s="48" t="str">
        <f t="shared" si="249"/>
        <v/>
      </c>
      <c r="BF83" s="48" t="str">
        <f t="shared" si="250"/>
        <v/>
      </c>
      <c r="BG83" s="84" t="str">
        <f t="shared" si="251"/>
        <v/>
      </c>
      <c r="BH83" s="87" t="str">
        <f t="shared" si="252"/>
        <v/>
      </c>
      <c r="BI83" s="49" t="str">
        <f t="shared" si="253"/>
        <v/>
      </c>
      <c r="BJ83" s="49" t="str">
        <f t="shared" si="254"/>
        <v/>
      </c>
      <c r="BK83" s="89" t="str">
        <f t="shared" si="255"/>
        <v/>
      </c>
      <c r="BL83" s="87" t="str">
        <f t="shared" si="256"/>
        <v/>
      </c>
      <c r="BM83" s="49" t="str">
        <f t="shared" si="257"/>
        <v/>
      </c>
      <c r="BN83" s="49" t="str">
        <f t="shared" si="258"/>
        <v/>
      </c>
      <c r="BO83" s="89" t="str">
        <f t="shared" si="259"/>
        <v/>
      </c>
      <c r="BP83" s="87" t="str">
        <f t="shared" si="260"/>
        <v/>
      </c>
      <c r="BQ83" s="49" t="str">
        <f t="shared" si="261"/>
        <v/>
      </c>
      <c r="BR83" s="49" t="str">
        <f t="shared" si="262"/>
        <v/>
      </c>
      <c r="BS83" s="89" t="str">
        <f t="shared" si="263"/>
        <v/>
      </c>
      <c r="BT83" s="87" t="str">
        <f t="shared" si="264"/>
        <v/>
      </c>
    </row>
    <row r="84" spans="2:72">
      <c r="B84" s="81">
        <f>Weekly!B76</f>
        <v>0</v>
      </c>
      <c r="C84" s="90">
        <f>Weekly!C76</f>
        <v>0</v>
      </c>
      <c r="D84" s="90">
        <f>Weekly!D83</f>
        <v>0</v>
      </c>
      <c r="E84" s="91" t="e">
        <f>VLOOKUP(B84,Team!$B$4:$E$183,4,FALSE)</f>
        <v>#N/A</v>
      </c>
      <c r="F84" s="92" t="str">
        <f>Weekly!S76</f>
        <v/>
      </c>
      <c r="G84" s="92" t="str">
        <f>Weekly!T76</f>
        <v/>
      </c>
      <c r="H84" s="48" t="str">
        <f t="shared" si="200"/>
        <v/>
      </c>
      <c r="I84" s="48" t="str">
        <f t="shared" si="201"/>
        <v/>
      </c>
      <c r="J84" s="48" t="str">
        <f t="shared" si="202"/>
        <v/>
      </c>
      <c r="K84" s="84" t="str">
        <f t="shared" si="203"/>
        <v/>
      </c>
      <c r="L84" s="82" t="str">
        <f t="shared" si="204"/>
        <v/>
      </c>
      <c r="M84" s="48" t="str">
        <f t="shared" si="205"/>
        <v/>
      </c>
      <c r="N84" s="48" t="str">
        <f t="shared" si="206"/>
        <v/>
      </c>
      <c r="O84" s="84" t="str">
        <f t="shared" si="207"/>
        <v/>
      </c>
      <c r="P84" s="82" t="str">
        <f t="shared" si="208"/>
        <v/>
      </c>
      <c r="Q84" s="48" t="str">
        <f t="shared" si="209"/>
        <v/>
      </c>
      <c r="R84" s="48" t="str">
        <f t="shared" si="210"/>
        <v/>
      </c>
      <c r="S84" s="84" t="str">
        <f t="shared" si="211"/>
        <v/>
      </c>
      <c r="T84" s="82" t="str">
        <f t="shared" si="212"/>
        <v/>
      </c>
      <c r="U84" s="48" t="str">
        <f t="shared" si="213"/>
        <v/>
      </c>
      <c r="V84" s="48" t="str">
        <f t="shared" si="214"/>
        <v/>
      </c>
      <c r="W84" s="84" t="str">
        <f t="shared" si="215"/>
        <v/>
      </c>
      <c r="X84" s="82" t="str">
        <f t="shared" si="216"/>
        <v/>
      </c>
      <c r="Y84" s="48" t="str">
        <f t="shared" si="217"/>
        <v/>
      </c>
      <c r="Z84" s="48" t="str">
        <f t="shared" si="218"/>
        <v/>
      </c>
      <c r="AA84" s="84" t="str">
        <f t="shared" si="219"/>
        <v/>
      </c>
      <c r="AB84" s="82" t="str">
        <f t="shared" si="220"/>
        <v/>
      </c>
      <c r="AC84" s="48" t="str">
        <f t="shared" si="221"/>
        <v/>
      </c>
      <c r="AD84" s="48" t="str">
        <f t="shared" si="222"/>
        <v/>
      </c>
      <c r="AE84" s="84" t="str">
        <f t="shared" si="223"/>
        <v/>
      </c>
      <c r="AF84" s="82" t="str">
        <f t="shared" si="224"/>
        <v/>
      </c>
      <c r="AG84" s="48" t="str">
        <f t="shared" si="225"/>
        <v/>
      </c>
      <c r="AH84" s="48" t="str">
        <f t="shared" si="226"/>
        <v/>
      </c>
      <c r="AI84" s="84" t="str">
        <f t="shared" si="227"/>
        <v/>
      </c>
      <c r="AJ84" s="82" t="str">
        <f t="shared" si="228"/>
        <v/>
      </c>
      <c r="AK84" s="48" t="str">
        <f t="shared" si="229"/>
        <v/>
      </c>
      <c r="AL84" s="48" t="str">
        <f t="shared" si="230"/>
        <v/>
      </c>
      <c r="AM84" s="84" t="str">
        <f t="shared" si="231"/>
        <v/>
      </c>
      <c r="AN84" s="82" t="str">
        <f t="shared" si="232"/>
        <v/>
      </c>
      <c r="AO84" s="48" t="str">
        <f t="shared" si="233"/>
        <v/>
      </c>
      <c r="AP84" s="48" t="str">
        <f t="shared" si="234"/>
        <v/>
      </c>
      <c r="AQ84" s="84" t="str">
        <f t="shared" si="235"/>
        <v/>
      </c>
      <c r="AR84" s="82" t="str">
        <f t="shared" si="236"/>
        <v/>
      </c>
      <c r="AS84" s="48" t="str">
        <f t="shared" si="237"/>
        <v/>
      </c>
      <c r="AT84" s="48" t="str">
        <f t="shared" si="238"/>
        <v/>
      </c>
      <c r="AU84" s="84" t="str">
        <f t="shared" si="239"/>
        <v/>
      </c>
      <c r="AV84" s="82" t="str">
        <f t="shared" si="240"/>
        <v/>
      </c>
      <c r="AW84" s="48" t="str">
        <f t="shared" si="241"/>
        <v/>
      </c>
      <c r="AX84" s="48" t="str">
        <f t="shared" si="242"/>
        <v/>
      </c>
      <c r="AY84" s="84" t="str">
        <f t="shared" si="243"/>
        <v/>
      </c>
      <c r="AZ84" s="82" t="str">
        <f t="shared" si="244"/>
        <v/>
      </c>
      <c r="BA84" s="48" t="str">
        <f t="shared" si="245"/>
        <v/>
      </c>
      <c r="BB84" s="48" t="str">
        <f t="shared" si="246"/>
        <v/>
      </c>
      <c r="BC84" s="84" t="str">
        <f t="shared" si="247"/>
        <v/>
      </c>
      <c r="BD84" s="82" t="str">
        <f t="shared" si="248"/>
        <v/>
      </c>
      <c r="BE84" s="48" t="str">
        <f t="shared" si="249"/>
        <v/>
      </c>
      <c r="BF84" s="48" t="str">
        <f t="shared" si="250"/>
        <v/>
      </c>
      <c r="BG84" s="84" t="str">
        <f t="shared" si="251"/>
        <v/>
      </c>
      <c r="BH84" s="87" t="str">
        <f t="shared" si="252"/>
        <v/>
      </c>
      <c r="BI84" s="49" t="str">
        <f t="shared" si="253"/>
        <v/>
      </c>
      <c r="BJ84" s="49" t="str">
        <f t="shared" si="254"/>
        <v/>
      </c>
      <c r="BK84" s="89" t="str">
        <f t="shared" si="255"/>
        <v/>
      </c>
      <c r="BL84" s="87" t="str">
        <f t="shared" si="256"/>
        <v/>
      </c>
      <c r="BM84" s="49" t="str">
        <f t="shared" si="257"/>
        <v/>
      </c>
      <c r="BN84" s="49" t="str">
        <f t="shared" si="258"/>
        <v/>
      </c>
      <c r="BO84" s="89" t="str">
        <f t="shared" si="259"/>
        <v/>
      </c>
      <c r="BP84" s="87" t="str">
        <f t="shared" si="260"/>
        <v/>
      </c>
      <c r="BQ84" s="49" t="str">
        <f t="shared" si="261"/>
        <v/>
      </c>
      <c r="BR84" s="49" t="str">
        <f t="shared" si="262"/>
        <v/>
      </c>
      <c r="BS84" s="89" t="str">
        <f t="shared" si="263"/>
        <v/>
      </c>
      <c r="BT84" s="87" t="str">
        <f t="shared" si="264"/>
        <v/>
      </c>
    </row>
    <row r="85" spans="2:72">
      <c r="B85" s="81">
        <f>Weekly!B77</f>
        <v>0</v>
      </c>
      <c r="C85" s="90">
        <f>Weekly!C77</f>
        <v>0</v>
      </c>
      <c r="D85" s="90">
        <f>Weekly!D84</f>
        <v>0</v>
      </c>
      <c r="E85" s="91" t="e">
        <f>VLOOKUP(B85,Team!$B$4:$E$183,4,FALSE)</f>
        <v>#N/A</v>
      </c>
      <c r="F85" s="92" t="str">
        <f>Weekly!S77</f>
        <v/>
      </c>
      <c r="G85" s="92" t="str">
        <f>Weekly!T77</f>
        <v/>
      </c>
      <c r="H85" s="48" t="str">
        <f t="shared" si="200"/>
        <v/>
      </c>
      <c r="I85" s="48" t="str">
        <f t="shared" si="201"/>
        <v/>
      </c>
      <c r="J85" s="48" t="str">
        <f t="shared" si="202"/>
        <v/>
      </c>
      <c r="K85" s="84" t="str">
        <f t="shared" si="203"/>
        <v/>
      </c>
      <c r="L85" s="82" t="str">
        <f t="shared" si="204"/>
        <v/>
      </c>
      <c r="M85" s="48" t="str">
        <f t="shared" si="205"/>
        <v/>
      </c>
      <c r="N85" s="48" t="str">
        <f t="shared" si="206"/>
        <v/>
      </c>
      <c r="O85" s="84" t="str">
        <f t="shared" si="207"/>
        <v/>
      </c>
      <c r="P85" s="82" t="str">
        <f t="shared" si="208"/>
        <v/>
      </c>
      <c r="Q85" s="48" t="str">
        <f t="shared" si="209"/>
        <v/>
      </c>
      <c r="R85" s="48" t="str">
        <f t="shared" si="210"/>
        <v/>
      </c>
      <c r="S85" s="84" t="str">
        <f t="shared" si="211"/>
        <v/>
      </c>
      <c r="T85" s="82" t="str">
        <f t="shared" si="212"/>
        <v/>
      </c>
      <c r="U85" s="48" t="str">
        <f t="shared" si="213"/>
        <v/>
      </c>
      <c r="V85" s="48" t="str">
        <f t="shared" si="214"/>
        <v/>
      </c>
      <c r="W85" s="84" t="str">
        <f t="shared" si="215"/>
        <v/>
      </c>
      <c r="X85" s="82" t="str">
        <f t="shared" si="216"/>
        <v/>
      </c>
      <c r="Y85" s="48" t="str">
        <f t="shared" si="217"/>
        <v/>
      </c>
      <c r="Z85" s="48" t="str">
        <f t="shared" si="218"/>
        <v/>
      </c>
      <c r="AA85" s="84" t="str">
        <f t="shared" si="219"/>
        <v/>
      </c>
      <c r="AB85" s="82" t="str">
        <f t="shared" si="220"/>
        <v/>
      </c>
      <c r="AC85" s="48" t="str">
        <f t="shared" si="221"/>
        <v/>
      </c>
      <c r="AD85" s="48" t="str">
        <f t="shared" si="222"/>
        <v/>
      </c>
      <c r="AE85" s="84" t="str">
        <f t="shared" si="223"/>
        <v/>
      </c>
      <c r="AF85" s="82" t="str">
        <f t="shared" si="224"/>
        <v/>
      </c>
      <c r="AG85" s="48" t="str">
        <f t="shared" si="225"/>
        <v/>
      </c>
      <c r="AH85" s="48" t="str">
        <f t="shared" si="226"/>
        <v/>
      </c>
      <c r="AI85" s="84" t="str">
        <f t="shared" si="227"/>
        <v/>
      </c>
      <c r="AJ85" s="82" t="str">
        <f t="shared" si="228"/>
        <v/>
      </c>
      <c r="AK85" s="48" t="str">
        <f t="shared" si="229"/>
        <v/>
      </c>
      <c r="AL85" s="48" t="str">
        <f t="shared" si="230"/>
        <v/>
      </c>
      <c r="AM85" s="84" t="str">
        <f t="shared" si="231"/>
        <v/>
      </c>
      <c r="AN85" s="82" t="str">
        <f t="shared" si="232"/>
        <v/>
      </c>
      <c r="AO85" s="48" t="str">
        <f t="shared" si="233"/>
        <v/>
      </c>
      <c r="AP85" s="48" t="str">
        <f t="shared" si="234"/>
        <v/>
      </c>
      <c r="AQ85" s="84" t="str">
        <f t="shared" si="235"/>
        <v/>
      </c>
      <c r="AR85" s="82" t="str">
        <f t="shared" si="236"/>
        <v/>
      </c>
      <c r="AS85" s="48" t="str">
        <f t="shared" si="237"/>
        <v/>
      </c>
      <c r="AT85" s="48" t="str">
        <f t="shared" si="238"/>
        <v/>
      </c>
      <c r="AU85" s="84" t="str">
        <f t="shared" si="239"/>
        <v/>
      </c>
      <c r="AV85" s="82" t="str">
        <f t="shared" si="240"/>
        <v/>
      </c>
      <c r="AW85" s="48" t="str">
        <f t="shared" si="241"/>
        <v/>
      </c>
      <c r="AX85" s="48" t="str">
        <f t="shared" si="242"/>
        <v/>
      </c>
      <c r="AY85" s="84" t="str">
        <f t="shared" si="243"/>
        <v/>
      </c>
      <c r="AZ85" s="82" t="str">
        <f t="shared" si="244"/>
        <v/>
      </c>
      <c r="BA85" s="48" t="str">
        <f t="shared" si="245"/>
        <v/>
      </c>
      <c r="BB85" s="48" t="str">
        <f t="shared" si="246"/>
        <v/>
      </c>
      <c r="BC85" s="84" t="str">
        <f t="shared" si="247"/>
        <v/>
      </c>
      <c r="BD85" s="82" t="str">
        <f t="shared" si="248"/>
        <v/>
      </c>
      <c r="BE85" s="48" t="str">
        <f t="shared" si="249"/>
        <v/>
      </c>
      <c r="BF85" s="48" t="str">
        <f t="shared" si="250"/>
        <v/>
      </c>
      <c r="BG85" s="84" t="str">
        <f t="shared" si="251"/>
        <v/>
      </c>
      <c r="BH85" s="87" t="str">
        <f t="shared" si="252"/>
        <v/>
      </c>
      <c r="BI85" s="49" t="str">
        <f t="shared" si="253"/>
        <v/>
      </c>
      <c r="BJ85" s="49" t="str">
        <f t="shared" si="254"/>
        <v/>
      </c>
      <c r="BK85" s="89" t="str">
        <f t="shared" si="255"/>
        <v/>
      </c>
      <c r="BL85" s="87" t="str">
        <f t="shared" si="256"/>
        <v/>
      </c>
      <c r="BM85" s="49" t="str">
        <f t="shared" si="257"/>
        <v/>
      </c>
      <c r="BN85" s="49" t="str">
        <f t="shared" si="258"/>
        <v/>
      </c>
      <c r="BO85" s="89" t="str">
        <f t="shared" si="259"/>
        <v/>
      </c>
      <c r="BP85" s="87" t="str">
        <f t="shared" si="260"/>
        <v/>
      </c>
      <c r="BQ85" s="49" t="str">
        <f t="shared" si="261"/>
        <v/>
      </c>
      <c r="BR85" s="49" t="str">
        <f t="shared" si="262"/>
        <v/>
      </c>
      <c r="BS85" s="89" t="str">
        <f t="shared" si="263"/>
        <v/>
      </c>
      <c r="BT85" s="87" t="str">
        <f t="shared" si="264"/>
        <v/>
      </c>
    </row>
    <row r="86" spans="2:72">
      <c r="B86" s="81">
        <f>Weekly!B78</f>
        <v>0</v>
      </c>
      <c r="C86" s="90">
        <f>Weekly!C78</f>
        <v>0</v>
      </c>
      <c r="D86" s="90">
        <f>Weekly!D85</f>
        <v>0</v>
      </c>
      <c r="E86" s="91" t="e">
        <f>VLOOKUP(B86,Team!$B$4:$E$183,4,FALSE)</f>
        <v>#N/A</v>
      </c>
      <c r="F86" s="92" t="str">
        <f>Weekly!S78</f>
        <v/>
      </c>
      <c r="G86" s="92" t="str">
        <f>Weekly!T78</f>
        <v/>
      </c>
      <c r="H86" s="48" t="str">
        <f t="shared" si="200"/>
        <v/>
      </c>
      <c r="I86" s="48" t="str">
        <f t="shared" si="201"/>
        <v/>
      </c>
      <c r="J86" s="48" t="str">
        <f t="shared" si="202"/>
        <v/>
      </c>
      <c r="K86" s="84" t="str">
        <f t="shared" si="203"/>
        <v/>
      </c>
      <c r="L86" s="82" t="str">
        <f t="shared" si="204"/>
        <v/>
      </c>
      <c r="M86" s="48" t="str">
        <f t="shared" si="205"/>
        <v/>
      </c>
      <c r="N86" s="48" t="str">
        <f t="shared" si="206"/>
        <v/>
      </c>
      <c r="O86" s="84" t="str">
        <f t="shared" si="207"/>
        <v/>
      </c>
      <c r="P86" s="82" t="str">
        <f t="shared" si="208"/>
        <v/>
      </c>
      <c r="Q86" s="48" t="str">
        <f t="shared" si="209"/>
        <v/>
      </c>
      <c r="R86" s="48" t="str">
        <f t="shared" si="210"/>
        <v/>
      </c>
      <c r="S86" s="84" t="str">
        <f t="shared" si="211"/>
        <v/>
      </c>
      <c r="T86" s="82" t="str">
        <f t="shared" si="212"/>
        <v/>
      </c>
      <c r="U86" s="48" t="str">
        <f t="shared" si="213"/>
        <v/>
      </c>
      <c r="V86" s="48" t="str">
        <f t="shared" si="214"/>
        <v/>
      </c>
      <c r="W86" s="84" t="str">
        <f t="shared" si="215"/>
        <v/>
      </c>
      <c r="X86" s="82" t="str">
        <f t="shared" si="216"/>
        <v/>
      </c>
      <c r="Y86" s="48" t="str">
        <f t="shared" si="217"/>
        <v/>
      </c>
      <c r="Z86" s="48" t="str">
        <f t="shared" si="218"/>
        <v/>
      </c>
      <c r="AA86" s="84" t="str">
        <f t="shared" si="219"/>
        <v/>
      </c>
      <c r="AB86" s="82" t="str">
        <f t="shared" si="220"/>
        <v/>
      </c>
      <c r="AC86" s="48" t="str">
        <f t="shared" si="221"/>
        <v/>
      </c>
      <c r="AD86" s="48" t="str">
        <f t="shared" si="222"/>
        <v/>
      </c>
      <c r="AE86" s="84" t="str">
        <f t="shared" si="223"/>
        <v/>
      </c>
      <c r="AF86" s="82" t="str">
        <f t="shared" si="224"/>
        <v/>
      </c>
      <c r="AG86" s="48" t="str">
        <f t="shared" si="225"/>
        <v/>
      </c>
      <c r="AH86" s="48" t="str">
        <f t="shared" si="226"/>
        <v/>
      </c>
      <c r="AI86" s="84" t="str">
        <f t="shared" si="227"/>
        <v/>
      </c>
      <c r="AJ86" s="82" t="str">
        <f t="shared" si="228"/>
        <v/>
      </c>
      <c r="AK86" s="48" t="str">
        <f t="shared" si="229"/>
        <v/>
      </c>
      <c r="AL86" s="48" t="str">
        <f t="shared" si="230"/>
        <v/>
      </c>
      <c r="AM86" s="84" t="str">
        <f t="shared" si="231"/>
        <v/>
      </c>
      <c r="AN86" s="82" t="str">
        <f t="shared" si="232"/>
        <v/>
      </c>
      <c r="AO86" s="48" t="str">
        <f t="shared" si="233"/>
        <v/>
      </c>
      <c r="AP86" s="48" t="str">
        <f t="shared" si="234"/>
        <v/>
      </c>
      <c r="AQ86" s="84" t="str">
        <f t="shared" si="235"/>
        <v/>
      </c>
      <c r="AR86" s="82" t="str">
        <f t="shared" si="236"/>
        <v/>
      </c>
      <c r="AS86" s="48" t="str">
        <f t="shared" si="237"/>
        <v/>
      </c>
      <c r="AT86" s="48" t="str">
        <f t="shared" si="238"/>
        <v/>
      </c>
      <c r="AU86" s="84" t="str">
        <f t="shared" si="239"/>
        <v/>
      </c>
      <c r="AV86" s="82" t="str">
        <f t="shared" si="240"/>
        <v/>
      </c>
      <c r="AW86" s="48" t="str">
        <f t="shared" si="241"/>
        <v/>
      </c>
      <c r="AX86" s="48" t="str">
        <f t="shared" si="242"/>
        <v/>
      </c>
      <c r="AY86" s="84" t="str">
        <f t="shared" si="243"/>
        <v/>
      </c>
      <c r="AZ86" s="82" t="str">
        <f t="shared" si="244"/>
        <v/>
      </c>
      <c r="BA86" s="48" t="str">
        <f t="shared" si="245"/>
        <v/>
      </c>
      <c r="BB86" s="48" t="str">
        <f t="shared" si="246"/>
        <v/>
      </c>
      <c r="BC86" s="84" t="str">
        <f t="shared" si="247"/>
        <v/>
      </c>
      <c r="BD86" s="82" t="str">
        <f t="shared" si="248"/>
        <v/>
      </c>
      <c r="BE86" s="48" t="str">
        <f t="shared" si="249"/>
        <v/>
      </c>
      <c r="BF86" s="48" t="str">
        <f t="shared" si="250"/>
        <v/>
      </c>
      <c r="BG86" s="84" t="str">
        <f t="shared" si="251"/>
        <v/>
      </c>
      <c r="BH86" s="87" t="str">
        <f t="shared" si="252"/>
        <v/>
      </c>
      <c r="BI86" s="49" t="str">
        <f t="shared" si="253"/>
        <v/>
      </c>
      <c r="BJ86" s="49" t="str">
        <f t="shared" si="254"/>
        <v/>
      </c>
      <c r="BK86" s="89" t="str">
        <f t="shared" si="255"/>
        <v/>
      </c>
      <c r="BL86" s="87" t="str">
        <f t="shared" si="256"/>
        <v/>
      </c>
      <c r="BM86" s="49" t="str">
        <f t="shared" si="257"/>
        <v/>
      </c>
      <c r="BN86" s="49" t="str">
        <f t="shared" si="258"/>
        <v/>
      </c>
      <c r="BO86" s="89" t="str">
        <f t="shared" si="259"/>
        <v/>
      </c>
      <c r="BP86" s="87" t="str">
        <f t="shared" si="260"/>
        <v/>
      </c>
      <c r="BQ86" s="49" t="str">
        <f t="shared" si="261"/>
        <v/>
      </c>
      <c r="BR86" s="49" t="str">
        <f t="shared" si="262"/>
        <v/>
      </c>
      <c r="BS86" s="89" t="str">
        <f t="shared" si="263"/>
        <v/>
      </c>
      <c r="BT86" s="87" t="str">
        <f t="shared" si="264"/>
        <v/>
      </c>
    </row>
    <row r="87" spans="2:72">
      <c r="B87" s="81">
        <f>Weekly!B79</f>
        <v>0</v>
      </c>
      <c r="C87" s="90">
        <f>Weekly!C79</f>
        <v>0</v>
      </c>
      <c r="D87" s="90">
        <f>Weekly!D86</f>
        <v>0</v>
      </c>
      <c r="E87" s="91" t="e">
        <f>VLOOKUP(B87,Team!$B$4:$E$183,4,FALSE)</f>
        <v>#N/A</v>
      </c>
      <c r="F87" s="92" t="str">
        <f>Weekly!S79</f>
        <v/>
      </c>
      <c r="G87" s="92" t="str">
        <f>Weekly!T79</f>
        <v/>
      </c>
      <c r="H87" s="48" t="str">
        <f t="shared" si="200"/>
        <v/>
      </c>
      <c r="I87" s="48" t="str">
        <f t="shared" si="201"/>
        <v/>
      </c>
      <c r="J87" s="48" t="str">
        <f t="shared" si="202"/>
        <v/>
      </c>
      <c r="K87" s="84" t="str">
        <f t="shared" si="203"/>
        <v/>
      </c>
      <c r="L87" s="82" t="str">
        <f t="shared" si="204"/>
        <v/>
      </c>
      <c r="M87" s="48" t="str">
        <f t="shared" si="205"/>
        <v/>
      </c>
      <c r="N87" s="48" t="str">
        <f t="shared" si="206"/>
        <v/>
      </c>
      <c r="O87" s="84" t="str">
        <f t="shared" si="207"/>
        <v/>
      </c>
      <c r="P87" s="82" t="str">
        <f t="shared" si="208"/>
        <v/>
      </c>
      <c r="Q87" s="48" t="str">
        <f t="shared" si="209"/>
        <v/>
      </c>
      <c r="R87" s="48" t="str">
        <f t="shared" si="210"/>
        <v/>
      </c>
      <c r="S87" s="84" t="str">
        <f t="shared" si="211"/>
        <v/>
      </c>
      <c r="T87" s="82" t="str">
        <f t="shared" si="212"/>
        <v/>
      </c>
      <c r="U87" s="48" t="str">
        <f t="shared" si="213"/>
        <v/>
      </c>
      <c r="V87" s="48" t="str">
        <f t="shared" si="214"/>
        <v/>
      </c>
      <c r="W87" s="84" t="str">
        <f t="shared" si="215"/>
        <v/>
      </c>
      <c r="X87" s="82" t="str">
        <f t="shared" si="216"/>
        <v/>
      </c>
      <c r="Y87" s="48" t="str">
        <f t="shared" si="217"/>
        <v/>
      </c>
      <c r="Z87" s="48" t="str">
        <f t="shared" si="218"/>
        <v/>
      </c>
      <c r="AA87" s="84" t="str">
        <f t="shared" si="219"/>
        <v/>
      </c>
      <c r="AB87" s="82" t="str">
        <f t="shared" si="220"/>
        <v/>
      </c>
      <c r="AC87" s="48" t="str">
        <f t="shared" si="221"/>
        <v/>
      </c>
      <c r="AD87" s="48" t="str">
        <f t="shared" si="222"/>
        <v/>
      </c>
      <c r="AE87" s="84" t="str">
        <f t="shared" si="223"/>
        <v/>
      </c>
      <c r="AF87" s="82" t="str">
        <f t="shared" si="224"/>
        <v/>
      </c>
      <c r="AG87" s="48" t="str">
        <f t="shared" si="225"/>
        <v/>
      </c>
      <c r="AH87" s="48" t="str">
        <f t="shared" si="226"/>
        <v/>
      </c>
      <c r="AI87" s="84" t="str">
        <f t="shared" si="227"/>
        <v/>
      </c>
      <c r="AJ87" s="82" t="str">
        <f t="shared" si="228"/>
        <v/>
      </c>
      <c r="AK87" s="48" t="str">
        <f t="shared" si="229"/>
        <v/>
      </c>
      <c r="AL87" s="48" t="str">
        <f t="shared" si="230"/>
        <v/>
      </c>
      <c r="AM87" s="84" t="str">
        <f t="shared" si="231"/>
        <v/>
      </c>
      <c r="AN87" s="82" t="str">
        <f t="shared" si="232"/>
        <v/>
      </c>
      <c r="AO87" s="48" t="str">
        <f t="shared" si="233"/>
        <v/>
      </c>
      <c r="AP87" s="48" t="str">
        <f t="shared" si="234"/>
        <v/>
      </c>
      <c r="AQ87" s="84" t="str">
        <f t="shared" si="235"/>
        <v/>
      </c>
      <c r="AR87" s="82" t="str">
        <f t="shared" si="236"/>
        <v/>
      </c>
      <c r="AS87" s="48" t="str">
        <f t="shared" si="237"/>
        <v/>
      </c>
      <c r="AT87" s="48" t="str">
        <f t="shared" si="238"/>
        <v/>
      </c>
      <c r="AU87" s="84" t="str">
        <f t="shared" si="239"/>
        <v/>
      </c>
      <c r="AV87" s="82" t="str">
        <f t="shared" si="240"/>
        <v/>
      </c>
      <c r="AW87" s="48" t="str">
        <f t="shared" si="241"/>
        <v/>
      </c>
      <c r="AX87" s="48" t="str">
        <f t="shared" si="242"/>
        <v/>
      </c>
      <c r="AY87" s="84" t="str">
        <f t="shared" si="243"/>
        <v/>
      </c>
      <c r="AZ87" s="82" t="str">
        <f t="shared" si="244"/>
        <v/>
      </c>
      <c r="BA87" s="48" t="str">
        <f t="shared" si="245"/>
        <v/>
      </c>
      <c r="BB87" s="48" t="str">
        <f t="shared" si="246"/>
        <v/>
      </c>
      <c r="BC87" s="84" t="str">
        <f t="shared" si="247"/>
        <v/>
      </c>
      <c r="BD87" s="82" t="str">
        <f t="shared" si="248"/>
        <v/>
      </c>
      <c r="BE87" s="48" t="str">
        <f t="shared" si="249"/>
        <v/>
      </c>
      <c r="BF87" s="48" t="str">
        <f t="shared" si="250"/>
        <v/>
      </c>
      <c r="BG87" s="84" t="str">
        <f t="shared" si="251"/>
        <v/>
      </c>
      <c r="BH87" s="87" t="str">
        <f t="shared" si="252"/>
        <v/>
      </c>
      <c r="BI87" s="49" t="str">
        <f t="shared" si="253"/>
        <v/>
      </c>
      <c r="BJ87" s="49" t="str">
        <f t="shared" si="254"/>
        <v/>
      </c>
      <c r="BK87" s="89" t="str">
        <f t="shared" si="255"/>
        <v/>
      </c>
      <c r="BL87" s="87" t="str">
        <f t="shared" si="256"/>
        <v/>
      </c>
      <c r="BM87" s="49" t="str">
        <f t="shared" si="257"/>
        <v/>
      </c>
      <c r="BN87" s="49" t="str">
        <f t="shared" si="258"/>
        <v/>
      </c>
      <c r="BO87" s="89" t="str">
        <f t="shared" si="259"/>
        <v/>
      </c>
      <c r="BP87" s="87" t="str">
        <f t="shared" si="260"/>
        <v/>
      </c>
      <c r="BQ87" s="49" t="str">
        <f t="shared" si="261"/>
        <v/>
      </c>
      <c r="BR87" s="49" t="str">
        <f t="shared" si="262"/>
        <v/>
      </c>
      <c r="BS87" s="89" t="str">
        <f t="shared" si="263"/>
        <v/>
      </c>
      <c r="BT87" s="87" t="str">
        <f t="shared" si="264"/>
        <v/>
      </c>
    </row>
    <row r="88" spans="2:72">
      <c r="B88" s="81">
        <f>Weekly!B80</f>
        <v>0</v>
      </c>
      <c r="C88" s="90">
        <f>Weekly!C80</f>
        <v>0</v>
      </c>
      <c r="D88" s="90">
        <f>Weekly!D87</f>
        <v>0</v>
      </c>
      <c r="E88" s="91" t="e">
        <f>VLOOKUP(B88,Team!$B$4:$E$183,4,FALSE)</f>
        <v>#N/A</v>
      </c>
      <c r="F88" s="92" t="str">
        <f>Weekly!S80</f>
        <v/>
      </c>
      <c r="G88" s="92" t="str">
        <f>Weekly!T80</f>
        <v/>
      </c>
      <c r="H88" s="48" t="str">
        <f t="shared" si="200"/>
        <v/>
      </c>
      <c r="I88" s="48" t="str">
        <f t="shared" si="201"/>
        <v/>
      </c>
      <c r="J88" s="48" t="str">
        <f t="shared" si="202"/>
        <v/>
      </c>
      <c r="K88" s="84" t="str">
        <f t="shared" si="203"/>
        <v/>
      </c>
      <c r="L88" s="82" t="str">
        <f t="shared" si="204"/>
        <v/>
      </c>
      <c r="M88" s="48" t="str">
        <f t="shared" si="205"/>
        <v/>
      </c>
      <c r="N88" s="48" t="str">
        <f t="shared" si="206"/>
        <v/>
      </c>
      <c r="O88" s="84" t="str">
        <f t="shared" si="207"/>
        <v/>
      </c>
      <c r="P88" s="82" t="str">
        <f t="shared" si="208"/>
        <v/>
      </c>
      <c r="Q88" s="48" t="str">
        <f t="shared" si="209"/>
        <v/>
      </c>
      <c r="R88" s="48" t="str">
        <f t="shared" si="210"/>
        <v/>
      </c>
      <c r="S88" s="84" t="str">
        <f t="shared" si="211"/>
        <v/>
      </c>
      <c r="T88" s="82" t="str">
        <f t="shared" si="212"/>
        <v/>
      </c>
      <c r="U88" s="48" t="str">
        <f t="shared" si="213"/>
        <v/>
      </c>
      <c r="V88" s="48" t="str">
        <f t="shared" si="214"/>
        <v/>
      </c>
      <c r="W88" s="84" t="str">
        <f t="shared" si="215"/>
        <v/>
      </c>
      <c r="X88" s="82" t="str">
        <f t="shared" si="216"/>
        <v/>
      </c>
      <c r="Y88" s="48" t="str">
        <f t="shared" si="217"/>
        <v/>
      </c>
      <c r="Z88" s="48" t="str">
        <f t="shared" si="218"/>
        <v/>
      </c>
      <c r="AA88" s="84" t="str">
        <f t="shared" si="219"/>
        <v/>
      </c>
      <c r="AB88" s="82" t="str">
        <f t="shared" si="220"/>
        <v/>
      </c>
      <c r="AC88" s="48" t="str">
        <f t="shared" si="221"/>
        <v/>
      </c>
      <c r="AD88" s="48" t="str">
        <f t="shared" si="222"/>
        <v/>
      </c>
      <c r="AE88" s="84" t="str">
        <f t="shared" si="223"/>
        <v/>
      </c>
      <c r="AF88" s="82" t="str">
        <f t="shared" si="224"/>
        <v/>
      </c>
      <c r="AG88" s="48" t="str">
        <f t="shared" si="225"/>
        <v/>
      </c>
      <c r="AH88" s="48" t="str">
        <f t="shared" si="226"/>
        <v/>
      </c>
      <c r="AI88" s="84" t="str">
        <f t="shared" si="227"/>
        <v/>
      </c>
      <c r="AJ88" s="82" t="str">
        <f t="shared" si="228"/>
        <v/>
      </c>
      <c r="AK88" s="48" t="str">
        <f t="shared" si="229"/>
        <v/>
      </c>
      <c r="AL88" s="48" t="str">
        <f t="shared" si="230"/>
        <v/>
      </c>
      <c r="AM88" s="84" t="str">
        <f t="shared" si="231"/>
        <v/>
      </c>
      <c r="AN88" s="82" t="str">
        <f t="shared" si="232"/>
        <v/>
      </c>
      <c r="AO88" s="48" t="str">
        <f t="shared" si="233"/>
        <v/>
      </c>
      <c r="AP88" s="48" t="str">
        <f t="shared" si="234"/>
        <v/>
      </c>
      <c r="AQ88" s="84" t="str">
        <f t="shared" si="235"/>
        <v/>
      </c>
      <c r="AR88" s="82" t="str">
        <f t="shared" si="236"/>
        <v/>
      </c>
      <c r="AS88" s="48" t="str">
        <f t="shared" si="237"/>
        <v/>
      </c>
      <c r="AT88" s="48" t="str">
        <f t="shared" si="238"/>
        <v/>
      </c>
      <c r="AU88" s="84" t="str">
        <f t="shared" si="239"/>
        <v/>
      </c>
      <c r="AV88" s="82" t="str">
        <f t="shared" si="240"/>
        <v/>
      </c>
      <c r="AW88" s="48" t="str">
        <f t="shared" si="241"/>
        <v/>
      </c>
      <c r="AX88" s="48" t="str">
        <f t="shared" si="242"/>
        <v/>
      </c>
      <c r="AY88" s="84" t="str">
        <f t="shared" si="243"/>
        <v/>
      </c>
      <c r="AZ88" s="82" t="str">
        <f t="shared" si="244"/>
        <v/>
      </c>
      <c r="BA88" s="48" t="str">
        <f t="shared" si="245"/>
        <v/>
      </c>
      <c r="BB88" s="48" t="str">
        <f t="shared" si="246"/>
        <v/>
      </c>
      <c r="BC88" s="84" t="str">
        <f t="shared" si="247"/>
        <v/>
      </c>
      <c r="BD88" s="82" t="str">
        <f t="shared" si="248"/>
        <v/>
      </c>
      <c r="BE88" s="48" t="str">
        <f t="shared" si="249"/>
        <v/>
      </c>
      <c r="BF88" s="48" t="str">
        <f t="shared" si="250"/>
        <v/>
      </c>
      <c r="BG88" s="84" t="str">
        <f t="shared" si="251"/>
        <v/>
      </c>
      <c r="BH88" s="87" t="str">
        <f t="shared" si="252"/>
        <v/>
      </c>
      <c r="BI88" s="49" t="str">
        <f t="shared" si="253"/>
        <v/>
      </c>
      <c r="BJ88" s="49" t="str">
        <f t="shared" si="254"/>
        <v/>
      </c>
      <c r="BK88" s="89" t="str">
        <f t="shared" si="255"/>
        <v/>
      </c>
      <c r="BL88" s="87" t="str">
        <f t="shared" si="256"/>
        <v/>
      </c>
      <c r="BM88" s="49" t="str">
        <f t="shared" si="257"/>
        <v/>
      </c>
      <c r="BN88" s="49" t="str">
        <f t="shared" si="258"/>
        <v/>
      </c>
      <c r="BO88" s="89" t="str">
        <f t="shared" si="259"/>
        <v/>
      </c>
      <c r="BP88" s="87" t="str">
        <f t="shared" si="260"/>
        <v/>
      </c>
      <c r="BQ88" s="49" t="str">
        <f t="shared" si="261"/>
        <v/>
      </c>
      <c r="BR88" s="49" t="str">
        <f t="shared" si="262"/>
        <v/>
      </c>
      <c r="BS88" s="89" t="str">
        <f t="shared" si="263"/>
        <v/>
      </c>
      <c r="BT88" s="87" t="str">
        <f t="shared" si="264"/>
        <v/>
      </c>
    </row>
    <row r="89" spans="2:72">
      <c r="B89" s="81">
        <f>Weekly!B81</f>
        <v>0</v>
      </c>
      <c r="C89" s="90">
        <f>Weekly!C81</f>
        <v>0</v>
      </c>
      <c r="D89" s="90">
        <f>Weekly!D88</f>
        <v>0</v>
      </c>
      <c r="E89" s="91" t="e">
        <f>VLOOKUP(B89,Team!$B$4:$E$183,4,FALSE)</f>
        <v>#N/A</v>
      </c>
      <c r="F89" s="92" t="str">
        <f>Weekly!S81</f>
        <v/>
      </c>
      <c r="G89" s="92" t="str">
        <f>Weekly!T81</f>
        <v/>
      </c>
      <c r="H89" s="48" t="str">
        <f t="shared" si="200"/>
        <v/>
      </c>
      <c r="I89" s="48" t="str">
        <f t="shared" si="201"/>
        <v/>
      </c>
      <c r="J89" s="48" t="str">
        <f t="shared" si="202"/>
        <v/>
      </c>
      <c r="K89" s="84" t="str">
        <f t="shared" si="203"/>
        <v/>
      </c>
      <c r="L89" s="82" t="str">
        <f t="shared" si="204"/>
        <v/>
      </c>
      <c r="M89" s="48" t="str">
        <f t="shared" si="205"/>
        <v/>
      </c>
      <c r="N89" s="48" t="str">
        <f t="shared" si="206"/>
        <v/>
      </c>
      <c r="O89" s="84" t="str">
        <f t="shared" si="207"/>
        <v/>
      </c>
      <c r="P89" s="82" t="str">
        <f t="shared" si="208"/>
        <v/>
      </c>
      <c r="Q89" s="48" t="str">
        <f t="shared" si="209"/>
        <v/>
      </c>
      <c r="R89" s="48" t="str">
        <f t="shared" si="210"/>
        <v/>
      </c>
      <c r="S89" s="84" t="str">
        <f t="shared" si="211"/>
        <v/>
      </c>
      <c r="T89" s="82" t="str">
        <f t="shared" si="212"/>
        <v/>
      </c>
      <c r="U89" s="48" t="str">
        <f t="shared" si="213"/>
        <v/>
      </c>
      <c r="V89" s="48" t="str">
        <f t="shared" si="214"/>
        <v/>
      </c>
      <c r="W89" s="84" t="str">
        <f t="shared" si="215"/>
        <v/>
      </c>
      <c r="X89" s="82" t="str">
        <f t="shared" si="216"/>
        <v/>
      </c>
      <c r="Y89" s="48" t="str">
        <f t="shared" si="217"/>
        <v/>
      </c>
      <c r="Z89" s="48" t="str">
        <f t="shared" si="218"/>
        <v/>
      </c>
      <c r="AA89" s="84" t="str">
        <f t="shared" si="219"/>
        <v/>
      </c>
      <c r="AB89" s="82" t="str">
        <f t="shared" si="220"/>
        <v/>
      </c>
      <c r="AC89" s="48" t="str">
        <f t="shared" si="221"/>
        <v/>
      </c>
      <c r="AD89" s="48" t="str">
        <f t="shared" si="222"/>
        <v/>
      </c>
      <c r="AE89" s="84" t="str">
        <f t="shared" si="223"/>
        <v/>
      </c>
      <c r="AF89" s="82" t="str">
        <f t="shared" si="224"/>
        <v/>
      </c>
      <c r="AG89" s="48" t="str">
        <f t="shared" si="225"/>
        <v/>
      </c>
      <c r="AH89" s="48" t="str">
        <f t="shared" si="226"/>
        <v/>
      </c>
      <c r="AI89" s="84" t="str">
        <f t="shared" si="227"/>
        <v/>
      </c>
      <c r="AJ89" s="82" t="str">
        <f t="shared" si="228"/>
        <v/>
      </c>
      <c r="AK89" s="48" t="str">
        <f t="shared" si="229"/>
        <v/>
      </c>
      <c r="AL89" s="48" t="str">
        <f t="shared" si="230"/>
        <v/>
      </c>
      <c r="AM89" s="84" t="str">
        <f t="shared" si="231"/>
        <v/>
      </c>
      <c r="AN89" s="82" t="str">
        <f t="shared" si="232"/>
        <v/>
      </c>
      <c r="AO89" s="48" t="str">
        <f t="shared" si="233"/>
        <v/>
      </c>
      <c r="AP89" s="48" t="str">
        <f t="shared" si="234"/>
        <v/>
      </c>
      <c r="AQ89" s="84" t="str">
        <f t="shared" si="235"/>
        <v/>
      </c>
      <c r="AR89" s="82" t="str">
        <f t="shared" si="236"/>
        <v/>
      </c>
      <c r="AS89" s="48" t="str">
        <f t="shared" si="237"/>
        <v/>
      </c>
      <c r="AT89" s="48" t="str">
        <f t="shared" si="238"/>
        <v/>
      </c>
      <c r="AU89" s="84" t="str">
        <f t="shared" si="239"/>
        <v/>
      </c>
      <c r="AV89" s="82" t="str">
        <f t="shared" si="240"/>
        <v/>
      </c>
      <c r="AW89" s="48" t="str">
        <f t="shared" si="241"/>
        <v/>
      </c>
      <c r="AX89" s="48" t="str">
        <f t="shared" si="242"/>
        <v/>
      </c>
      <c r="AY89" s="84" t="str">
        <f t="shared" si="243"/>
        <v/>
      </c>
      <c r="AZ89" s="82" t="str">
        <f t="shared" si="244"/>
        <v/>
      </c>
      <c r="BA89" s="48" t="str">
        <f t="shared" si="245"/>
        <v/>
      </c>
      <c r="BB89" s="48" t="str">
        <f t="shared" si="246"/>
        <v/>
      </c>
      <c r="BC89" s="84" t="str">
        <f t="shared" si="247"/>
        <v/>
      </c>
      <c r="BD89" s="82" t="str">
        <f t="shared" si="248"/>
        <v/>
      </c>
      <c r="BE89" s="48" t="str">
        <f t="shared" si="249"/>
        <v/>
      </c>
      <c r="BF89" s="48" t="str">
        <f t="shared" si="250"/>
        <v/>
      </c>
      <c r="BG89" s="84" t="str">
        <f t="shared" si="251"/>
        <v/>
      </c>
      <c r="BH89" s="87" t="str">
        <f t="shared" si="252"/>
        <v/>
      </c>
      <c r="BI89" s="49" t="str">
        <f t="shared" si="253"/>
        <v/>
      </c>
      <c r="BJ89" s="49" t="str">
        <f t="shared" si="254"/>
        <v/>
      </c>
      <c r="BK89" s="89" t="str">
        <f t="shared" si="255"/>
        <v/>
      </c>
      <c r="BL89" s="87" t="str">
        <f t="shared" si="256"/>
        <v/>
      </c>
      <c r="BM89" s="49" t="str">
        <f t="shared" si="257"/>
        <v/>
      </c>
      <c r="BN89" s="49" t="str">
        <f t="shared" si="258"/>
        <v/>
      </c>
      <c r="BO89" s="89" t="str">
        <f t="shared" si="259"/>
        <v/>
      </c>
      <c r="BP89" s="87" t="str">
        <f t="shared" si="260"/>
        <v/>
      </c>
      <c r="BQ89" s="49" t="str">
        <f t="shared" si="261"/>
        <v/>
      </c>
      <c r="BR89" s="49" t="str">
        <f t="shared" si="262"/>
        <v/>
      </c>
      <c r="BS89" s="89" t="str">
        <f t="shared" si="263"/>
        <v/>
      </c>
      <c r="BT89" s="87" t="str">
        <f t="shared" si="264"/>
        <v/>
      </c>
    </row>
    <row r="90" spans="2:72">
      <c r="B90" s="81">
        <f>Weekly!B82</f>
        <v>0</v>
      </c>
      <c r="C90" s="90">
        <f>Weekly!C82</f>
        <v>0</v>
      </c>
      <c r="D90" s="90">
        <f>Weekly!D89</f>
        <v>0</v>
      </c>
      <c r="E90" s="91" t="e">
        <f>VLOOKUP(B90,Team!$B$4:$E$183,4,FALSE)</f>
        <v>#N/A</v>
      </c>
      <c r="F90" s="92" t="str">
        <f>Weekly!S82</f>
        <v/>
      </c>
      <c r="G90" s="92" t="str">
        <f>Weekly!T82</f>
        <v/>
      </c>
      <c r="H90" s="48" t="str">
        <f t="shared" si="200"/>
        <v/>
      </c>
      <c r="I90" s="48" t="str">
        <f t="shared" si="201"/>
        <v/>
      </c>
      <c r="J90" s="48" t="str">
        <f t="shared" si="202"/>
        <v/>
      </c>
      <c r="K90" s="84" t="str">
        <f t="shared" si="203"/>
        <v/>
      </c>
      <c r="L90" s="82" t="str">
        <f t="shared" si="204"/>
        <v/>
      </c>
      <c r="M90" s="48" t="str">
        <f t="shared" si="205"/>
        <v/>
      </c>
      <c r="N90" s="48" t="str">
        <f t="shared" si="206"/>
        <v/>
      </c>
      <c r="O90" s="84" t="str">
        <f t="shared" si="207"/>
        <v/>
      </c>
      <c r="P90" s="82" t="str">
        <f t="shared" si="208"/>
        <v/>
      </c>
      <c r="Q90" s="48" t="str">
        <f t="shared" si="209"/>
        <v/>
      </c>
      <c r="R90" s="48" t="str">
        <f t="shared" si="210"/>
        <v/>
      </c>
      <c r="S90" s="84" t="str">
        <f t="shared" si="211"/>
        <v/>
      </c>
      <c r="T90" s="82" t="str">
        <f t="shared" si="212"/>
        <v/>
      </c>
      <c r="U90" s="48" t="str">
        <f t="shared" si="213"/>
        <v/>
      </c>
      <c r="V90" s="48" t="str">
        <f t="shared" si="214"/>
        <v/>
      </c>
      <c r="W90" s="84" t="str">
        <f t="shared" si="215"/>
        <v/>
      </c>
      <c r="X90" s="82" t="str">
        <f t="shared" si="216"/>
        <v/>
      </c>
      <c r="Y90" s="48" t="str">
        <f t="shared" si="217"/>
        <v/>
      </c>
      <c r="Z90" s="48" t="str">
        <f t="shared" si="218"/>
        <v/>
      </c>
      <c r="AA90" s="84" t="str">
        <f t="shared" si="219"/>
        <v/>
      </c>
      <c r="AB90" s="82" t="str">
        <f t="shared" si="220"/>
        <v/>
      </c>
      <c r="AC90" s="48" t="str">
        <f t="shared" si="221"/>
        <v/>
      </c>
      <c r="AD90" s="48" t="str">
        <f t="shared" si="222"/>
        <v/>
      </c>
      <c r="AE90" s="84" t="str">
        <f t="shared" si="223"/>
        <v/>
      </c>
      <c r="AF90" s="82" t="str">
        <f t="shared" si="224"/>
        <v/>
      </c>
      <c r="AG90" s="48" t="str">
        <f t="shared" si="225"/>
        <v/>
      </c>
      <c r="AH90" s="48" t="str">
        <f t="shared" si="226"/>
        <v/>
      </c>
      <c r="AI90" s="84" t="str">
        <f t="shared" si="227"/>
        <v/>
      </c>
      <c r="AJ90" s="82" t="str">
        <f t="shared" si="228"/>
        <v/>
      </c>
      <c r="AK90" s="48" t="str">
        <f t="shared" si="229"/>
        <v/>
      </c>
      <c r="AL90" s="48" t="str">
        <f t="shared" si="230"/>
        <v/>
      </c>
      <c r="AM90" s="84" t="str">
        <f t="shared" si="231"/>
        <v/>
      </c>
      <c r="AN90" s="82" t="str">
        <f t="shared" si="232"/>
        <v/>
      </c>
      <c r="AO90" s="48" t="str">
        <f t="shared" si="233"/>
        <v/>
      </c>
      <c r="AP90" s="48" t="str">
        <f t="shared" si="234"/>
        <v/>
      </c>
      <c r="AQ90" s="84" t="str">
        <f t="shared" si="235"/>
        <v/>
      </c>
      <c r="AR90" s="82" t="str">
        <f t="shared" si="236"/>
        <v/>
      </c>
      <c r="AS90" s="48" t="str">
        <f t="shared" si="237"/>
        <v/>
      </c>
      <c r="AT90" s="48" t="str">
        <f t="shared" si="238"/>
        <v/>
      </c>
      <c r="AU90" s="84" t="str">
        <f t="shared" si="239"/>
        <v/>
      </c>
      <c r="AV90" s="82" t="str">
        <f t="shared" si="240"/>
        <v/>
      </c>
      <c r="AW90" s="48" t="str">
        <f t="shared" si="241"/>
        <v/>
      </c>
      <c r="AX90" s="48" t="str">
        <f t="shared" si="242"/>
        <v/>
      </c>
      <c r="AY90" s="84" t="str">
        <f t="shared" si="243"/>
        <v/>
      </c>
      <c r="AZ90" s="82" t="str">
        <f t="shared" si="244"/>
        <v/>
      </c>
      <c r="BA90" s="48" t="str">
        <f t="shared" si="245"/>
        <v/>
      </c>
      <c r="BB90" s="48" t="str">
        <f t="shared" si="246"/>
        <v/>
      </c>
      <c r="BC90" s="84" t="str">
        <f t="shared" si="247"/>
        <v/>
      </c>
      <c r="BD90" s="82" t="str">
        <f t="shared" si="248"/>
        <v/>
      </c>
      <c r="BE90" s="48" t="str">
        <f t="shared" si="249"/>
        <v/>
      </c>
      <c r="BF90" s="48" t="str">
        <f t="shared" si="250"/>
        <v/>
      </c>
      <c r="BG90" s="84" t="str">
        <f t="shared" si="251"/>
        <v/>
      </c>
      <c r="BH90" s="87" t="str">
        <f t="shared" si="252"/>
        <v/>
      </c>
      <c r="BI90" s="49" t="str">
        <f t="shared" si="253"/>
        <v/>
      </c>
      <c r="BJ90" s="49" t="str">
        <f t="shared" si="254"/>
        <v/>
      </c>
      <c r="BK90" s="89" t="str">
        <f t="shared" si="255"/>
        <v/>
      </c>
      <c r="BL90" s="87" t="str">
        <f t="shared" si="256"/>
        <v/>
      </c>
      <c r="BM90" s="49" t="str">
        <f t="shared" si="257"/>
        <v/>
      </c>
      <c r="BN90" s="49" t="str">
        <f t="shared" si="258"/>
        <v/>
      </c>
      <c r="BO90" s="89" t="str">
        <f t="shared" si="259"/>
        <v/>
      </c>
      <c r="BP90" s="87" t="str">
        <f t="shared" si="260"/>
        <v/>
      </c>
      <c r="BQ90" s="49" t="str">
        <f t="shared" si="261"/>
        <v/>
      </c>
      <c r="BR90" s="49" t="str">
        <f t="shared" si="262"/>
        <v/>
      </c>
      <c r="BS90" s="89" t="str">
        <f t="shared" si="263"/>
        <v/>
      </c>
      <c r="BT90" s="87" t="str">
        <f t="shared" si="264"/>
        <v/>
      </c>
    </row>
    <row r="91" spans="2:72">
      <c r="B91" s="81">
        <f>Weekly!B83</f>
        <v>0</v>
      </c>
      <c r="C91" s="90">
        <f>Weekly!C83</f>
        <v>0</v>
      </c>
      <c r="D91" s="90">
        <f>Weekly!D90</f>
        <v>0</v>
      </c>
      <c r="E91" s="91" t="e">
        <f>VLOOKUP(B91,Team!$B$4:$E$183,4,FALSE)</f>
        <v>#N/A</v>
      </c>
      <c r="F91" s="92" t="str">
        <f>Weekly!S83</f>
        <v/>
      </c>
      <c r="G91" s="92" t="str">
        <f>Weekly!T83</f>
        <v/>
      </c>
      <c r="H91" s="48" t="str">
        <f t="shared" si="200"/>
        <v/>
      </c>
      <c r="I91" s="48" t="str">
        <f t="shared" si="201"/>
        <v/>
      </c>
      <c r="J91" s="48" t="str">
        <f t="shared" si="202"/>
        <v/>
      </c>
      <c r="K91" s="84" t="str">
        <f t="shared" si="203"/>
        <v/>
      </c>
      <c r="L91" s="82" t="str">
        <f t="shared" si="204"/>
        <v/>
      </c>
      <c r="M91" s="48" t="str">
        <f t="shared" si="205"/>
        <v/>
      </c>
      <c r="N91" s="48" t="str">
        <f t="shared" si="206"/>
        <v/>
      </c>
      <c r="O91" s="84" t="str">
        <f t="shared" si="207"/>
        <v/>
      </c>
      <c r="P91" s="82" t="str">
        <f t="shared" si="208"/>
        <v/>
      </c>
      <c r="Q91" s="48" t="str">
        <f t="shared" si="209"/>
        <v/>
      </c>
      <c r="R91" s="48" t="str">
        <f t="shared" si="210"/>
        <v/>
      </c>
      <c r="S91" s="84" t="str">
        <f t="shared" si="211"/>
        <v/>
      </c>
      <c r="T91" s="82" t="str">
        <f t="shared" si="212"/>
        <v/>
      </c>
      <c r="U91" s="48" t="str">
        <f t="shared" si="213"/>
        <v/>
      </c>
      <c r="V91" s="48" t="str">
        <f t="shared" si="214"/>
        <v/>
      </c>
      <c r="W91" s="84" t="str">
        <f t="shared" si="215"/>
        <v/>
      </c>
      <c r="X91" s="82" t="str">
        <f t="shared" si="216"/>
        <v/>
      </c>
      <c r="Y91" s="48" t="str">
        <f t="shared" si="217"/>
        <v/>
      </c>
      <c r="Z91" s="48" t="str">
        <f t="shared" si="218"/>
        <v/>
      </c>
      <c r="AA91" s="84" t="str">
        <f t="shared" si="219"/>
        <v/>
      </c>
      <c r="AB91" s="82" t="str">
        <f t="shared" si="220"/>
        <v/>
      </c>
      <c r="AC91" s="48" t="str">
        <f t="shared" si="221"/>
        <v/>
      </c>
      <c r="AD91" s="48" t="str">
        <f t="shared" si="222"/>
        <v/>
      </c>
      <c r="AE91" s="84" t="str">
        <f t="shared" si="223"/>
        <v/>
      </c>
      <c r="AF91" s="82" t="str">
        <f t="shared" si="224"/>
        <v/>
      </c>
      <c r="AG91" s="48" t="str">
        <f t="shared" si="225"/>
        <v/>
      </c>
      <c r="AH91" s="48" t="str">
        <f t="shared" si="226"/>
        <v/>
      </c>
      <c r="AI91" s="84" t="str">
        <f t="shared" si="227"/>
        <v/>
      </c>
      <c r="AJ91" s="82" t="str">
        <f t="shared" si="228"/>
        <v/>
      </c>
      <c r="AK91" s="48" t="str">
        <f t="shared" si="229"/>
        <v/>
      </c>
      <c r="AL91" s="48" t="str">
        <f t="shared" si="230"/>
        <v/>
      </c>
      <c r="AM91" s="84" t="str">
        <f t="shared" si="231"/>
        <v/>
      </c>
      <c r="AN91" s="82" t="str">
        <f t="shared" si="232"/>
        <v/>
      </c>
      <c r="AO91" s="48" t="str">
        <f t="shared" si="233"/>
        <v/>
      </c>
      <c r="AP91" s="48" t="str">
        <f t="shared" si="234"/>
        <v/>
      </c>
      <c r="AQ91" s="84" t="str">
        <f t="shared" si="235"/>
        <v/>
      </c>
      <c r="AR91" s="82" t="str">
        <f t="shared" si="236"/>
        <v/>
      </c>
      <c r="AS91" s="48" t="str">
        <f t="shared" si="237"/>
        <v/>
      </c>
      <c r="AT91" s="48" t="str">
        <f t="shared" si="238"/>
        <v/>
      </c>
      <c r="AU91" s="84" t="str">
        <f t="shared" si="239"/>
        <v/>
      </c>
      <c r="AV91" s="82" t="str">
        <f t="shared" si="240"/>
        <v/>
      </c>
      <c r="AW91" s="48" t="str">
        <f t="shared" si="241"/>
        <v/>
      </c>
      <c r="AX91" s="48" t="str">
        <f t="shared" si="242"/>
        <v/>
      </c>
      <c r="AY91" s="84" t="str">
        <f t="shared" si="243"/>
        <v/>
      </c>
      <c r="AZ91" s="82" t="str">
        <f t="shared" si="244"/>
        <v/>
      </c>
      <c r="BA91" s="48" t="str">
        <f t="shared" si="245"/>
        <v/>
      </c>
      <c r="BB91" s="48" t="str">
        <f t="shared" si="246"/>
        <v/>
      </c>
      <c r="BC91" s="84" t="str">
        <f t="shared" si="247"/>
        <v/>
      </c>
      <c r="BD91" s="82" t="str">
        <f t="shared" si="248"/>
        <v/>
      </c>
      <c r="BE91" s="48" t="str">
        <f t="shared" si="249"/>
        <v/>
      </c>
      <c r="BF91" s="48" t="str">
        <f t="shared" si="250"/>
        <v/>
      </c>
      <c r="BG91" s="84" t="str">
        <f t="shared" si="251"/>
        <v/>
      </c>
      <c r="BH91" s="87" t="str">
        <f t="shared" si="252"/>
        <v/>
      </c>
      <c r="BI91" s="49" t="str">
        <f t="shared" si="253"/>
        <v/>
      </c>
      <c r="BJ91" s="49" t="str">
        <f t="shared" si="254"/>
        <v/>
      </c>
      <c r="BK91" s="89" t="str">
        <f t="shared" si="255"/>
        <v/>
      </c>
      <c r="BL91" s="87" t="str">
        <f t="shared" si="256"/>
        <v/>
      </c>
      <c r="BM91" s="49" t="str">
        <f t="shared" si="257"/>
        <v/>
      </c>
      <c r="BN91" s="49" t="str">
        <f t="shared" si="258"/>
        <v/>
      </c>
      <c r="BO91" s="89" t="str">
        <f t="shared" si="259"/>
        <v/>
      </c>
      <c r="BP91" s="87" t="str">
        <f t="shared" si="260"/>
        <v/>
      </c>
      <c r="BQ91" s="49" t="str">
        <f t="shared" si="261"/>
        <v/>
      </c>
      <c r="BR91" s="49" t="str">
        <f t="shared" si="262"/>
        <v/>
      </c>
      <c r="BS91" s="89" t="str">
        <f t="shared" si="263"/>
        <v/>
      </c>
      <c r="BT91" s="87" t="str">
        <f t="shared" si="264"/>
        <v/>
      </c>
    </row>
    <row r="92" spans="2:72">
      <c r="B92" s="81">
        <f>Weekly!B84</f>
        <v>0</v>
      </c>
      <c r="C92" s="90">
        <f>Weekly!C84</f>
        <v>0</v>
      </c>
      <c r="D92" s="90">
        <f>Weekly!D91</f>
        <v>0</v>
      </c>
      <c r="E92" s="91" t="e">
        <f>VLOOKUP(B92,Team!$B$4:$E$183,4,FALSE)</f>
        <v>#N/A</v>
      </c>
      <c r="F92" s="92" t="str">
        <f>Weekly!S84</f>
        <v/>
      </c>
      <c r="G92" s="92" t="str">
        <f>Weekly!T84</f>
        <v/>
      </c>
      <c r="H92" s="48" t="str">
        <f t="shared" si="200"/>
        <v/>
      </c>
      <c r="I92" s="48" t="str">
        <f t="shared" si="201"/>
        <v/>
      </c>
      <c r="J92" s="48" t="str">
        <f t="shared" si="202"/>
        <v/>
      </c>
      <c r="K92" s="84" t="str">
        <f t="shared" si="203"/>
        <v/>
      </c>
      <c r="L92" s="82" t="str">
        <f t="shared" si="204"/>
        <v/>
      </c>
      <c r="M92" s="48" t="str">
        <f t="shared" si="205"/>
        <v/>
      </c>
      <c r="N92" s="48" t="str">
        <f t="shared" si="206"/>
        <v/>
      </c>
      <c r="O92" s="84" t="str">
        <f t="shared" si="207"/>
        <v/>
      </c>
      <c r="P92" s="82" t="str">
        <f t="shared" si="208"/>
        <v/>
      </c>
      <c r="Q92" s="48" t="str">
        <f t="shared" si="209"/>
        <v/>
      </c>
      <c r="R92" s="48" t="str">
        <f t="shared" si="210"/>
        <v/>
      </c>
      <c r="S92" s="84" t="str">
        <f t="shared" si="211"/>
        <v/>
      </c>
      <c r="T92" s="82" t="str">
        <f t="shared" si="212"/>
        <v/>
      </c>
      <c r="U92" s="48" t="str">
        <f t="shared" si="213"/>
        <v/>
      </c>
      <c r="V92" s="48" t="str">
        <f t="shared" si="214"/>
        <v/>
      </c>
      <c r="W92" s="84" t="str">
        <f t="shared" si="215"/>
        <v/>
      </c>
      <c r="X92" s="82" t="str">
        <f t="shared" si="216"/>
        <v/>
      </c>
      <c r="Y92" s="48" t="str">
        <f t="shared" si="217"/>
        <v/>
      </c>
      <c r="Z92" s="48" t="str">
        <f t="shared" si="218"/>
        <v/>
      </c>
      <c r="AA92" s="84" t="str">
        <f t="shared" si="219"/>
        <v/>
      </c>
      <c r="AB92" s="82" t="str">
        <f t="shared" si="220"/>
        <v/>
      </c>
      <c r="AC92" s="48" t="str">
        <f t="shared" si="221"/>
        <v/>
      </c>
      <c r="AD92" s="48" t="str">
        <f t="shared" si="222"/>
        <v/>
      </c>
      <c r="AE92" s="84" t="str">
        <f t="shared" si="223"/>
        <v/>
      </c>
      <c r="AF92" s="82" t="str">
        <f t="shared" si="224"/>
        <v/>
      </c>
      <c r="AG92" s="48" t="str">
        <f t="shared" si="225"/>
        <v/>
      </c>
      <c r="AH92" s="48" t="str">
        <f t="shared" si="226"/>
        <v/>
      </c>
      <c r="AI92" s="84" t="str">
        <f t="shared" si="227"/>
        <v/>
      </c>
      <c r="AJ92" s="82" t="str">
        <f t="shared" si="228"/>
        <v/>
      </c>
      <c r="AK92" s="48" t="str">
        <f t="shared" si="229"/>
        <v/>
      </c>
      <c r="AL92" s="48" t="str">
        <f t="shared" si="230"/>
        <v/>
      </c>
      <c r="AM92" s="84" t="str">
        <f t="shared" si="231"/>
        <v/>
      </c>
      <c r="AN92" s="82" t="str">
        <f t="shared" si="232"/>
        <v/>
      </c>
      <c r="AO92" s="48" t="str">
        <f t="shared" si="233"/>
        <v/>
      </c>
      <c r="AP92" s="48" t="str">
        <f t="shared" si="234"/>
        <v/>
      </c>
      <c r="AQ92" s="84" t="str">
        <f t="shared" si="235"/>
        <v/>
      </c>
      <c r="AR92" s="82" t="str">
        <f t="shared" si="236"/>
        <v/>
      </c>
      <c r="AS92" s="48" t="str">
        <f t="shared" si="237"/>
        <v/>
      </c>
      <c r="AT92" s="48" t="str">
        <f t="shared" si="238"/>
        <v/>
      </c>
      <c r="AU92" s="84" t="str">
        <f t="shared" si="239"/>
        <v/>
      </c>
      <c r="AV92" s="82" t="str">
        <f t="shared" si="240"/>
        <v/>
      </c>
      <c r="AW92" s="48" t="str">
        <f t="shared" si="241"/>
        <v/>
      </c>
      <c r="AX92" s="48" t="str">
        <f t="shared" si="242"/>
        <v/>
      </c>
      <c r="AY92" s="84" t="str">
        <f t="shared" si="243"/>
        <v/>
      </c>
      <c r="AZ92" s="82" t="str">
        <f t="shared" si="244"/>
        <v/>
      </c>
      <c r="BA92" s="48" t="str">
        <f t="shared" si="245"/>
        <v/>
      </c>
      <c r="BB92" s="48" t="str">
        <f t="shared" si="246"/>
        <v/>
      </c>
      <c r="BC92" s="84" t="str">
        <f t="shared" si="247"/>
        <v/>
      </c>
      <c r="BD92" s="82" t="str">
        <f t="shared" si="248"/>
        <v/>
      </c>
      <c r="BE92" s="48" t="str">
        <f t="shared" si="249"/>
        <v/>
      </c>
      <c r="BF92" s="48" t="str">
        <f t="shared" si="250"/>
        <v/>
      </c>
      <c r="BG92" s="84" t="str">
        <f t="shared" si="251"/>
        <v/>
      </c>
      <c r="BH92" s="87" t="str">
        <f t="shared" si="252"/>
        <v/>
      </c>
      <c r="BI92" s="49" t="str">
        <f t="shared" si="253"/>
        <v/>
      </c>
      <c r="BJ92" s="49" t="str">
        <f t="shared" si="254"/>
        <v/>
      </c>
      <c r="BK92" s="89" t="str">
        <f t="shared" si="255"/>
        <v/>
      </c>
      <c r="BL92" s="87" t="str">
        <f t="shared" si="256"/>
        <v/>
      </c>
      <c r="BM92" s="49" t="str">
        <f t="shared" si="257"/>
        <v/>
      </c>
      <c r="BN92" s="49" t="str">
        <f t="shared" si="258"/>
        <v/>
      </c>
      <c r="BO92" s="89" t="str">
        <f t="shared" si="259"/>
        <v/>
      </c>
      <c r="BP92" s="87" t="str">
        <f t="shared" si="260"/>
        <v/>
      </c>
      <c r="BQ92" s="49" t="str">
        <f t="shared" si="261"/>
        <v/>
      </c>
      <c r="BR92" s="49" t="str">
        <f t="shared" si="262"/>
        <v/>
      </c>
      <c r="BS92" s="89" t="str">
        <f t="shared" si="263"/>
        <v/>
      </c>
      <c r="BT92" s="87" t="str">
        <f t="shared" si="264"/>
        <v/>
      </c>
    </row>
    <row r="93" spans="2:72">
      <c r="B93" s="81">
        <f>Weekly!B85</f>
        <v>0</v>
      </c>
      <c r="C93" s="90">
        <f>Weekly!C85</f>
        <v>0</v>
      </c>
      <c r="D93" s="90">
        <f>Weekly!D92</f>
        <v>0</v>
      </c>
      <c r="E93" s="91" t="e">
        <f>VLOOKUP(B93,Team!$B$4:$E$183,4,FALSE)</f>
        <v>#N/A</v>
      </c>
      <c r="F93" s="92" t="str">
        <f>Weekly!S85</f>
        <v/>
      </c>
      <c r="G93" s="92" t="str">
        <f>Weekly!T85</f>
        <v/>
      </c>
      <c r="H93" s="48" t="str">
        <f t="shared" si="200"/>
        <v/>
      </c>
      <c r="I93" s="48" t="str">
        <f t="shared" si="201"/>
        <v/>
      </c>
      <c r="J93" s="48" t="str">
        <f t="shared" si="202"/>
        <v/>
      </c>
      <c r="K93" s="84" t="str">
        <f t="shared" si="203"/>
        <v/>
      </c>
      <c r="L93" s="82" t="str">
        <f t="shared" si="204"/>
        <v/>
      </c>
      <c r="M93" s="48" t="str">
        <f t="shared" si="205"/>
        <v/>
      </c>
      <c r="N93" s="48" t="str">
        <f t="shared" si="206"/>
        <v/>
      </c>
      <c r="O93" s="84" t="str">
        <f t="shared" si="207"/>
        <v/>
      </c>
      <c r="P93" s="82" t="str">
        <f t="shared" si="208"/>
        <v/>
      </c>
      <c r="Q93" s="48" t="str">
        <f t="shared" si="209"/>
        <v/>
      </c>
      <c r="R93" s="48" t="str">
        <f t="shared" si="210"/>
        <v/>
      </c>
      <c r="S93" s="84" t="str">
        <f t="shared" si="211"/>
        <v/>
      </c>
      <c r="T93" s="82" t="str">
        <f t="shared" si="212"/>
        <v/>
      </c>
      <c r="U93" s="48" t="str">
        <f t="shared" si="213"/>
        <v/>
      </c>
      <c r="V93" s="48" t="str">
        <f t="shared" si="214"/>
        <v/>
      </c>
      <c r="W93" s="84" t="str">
        <f t="shared" si="215"/>
        <v/>
      </c>
      <c r="X93" s="82" t="str">
        <f t="shared" si="216"/>
        <v/>
      </c>
      <c r="Y93" s="48" t="str">
        <f t="shared" si="217"/>
        <v/>
      </c>
      <c r="Z93" s="48" t="str">
        <f t="shared" si="218"/>
        <v/>
      </c>
      <c r="AA93" s="84" t="str">
        <f t="shared" si="219"/>
        <v/>
      </c>
      <c r="AB93" s="82" t="str">
        <f t="shared" si="220"/>
        <v/>
      </c>
      <c r="AC93" s="48" t="str">
        <f t="shared" si="221"/>
        <v/>
      </c>
      <c r="AD93" s="48" t="str">
        <f t="shared" si="222"/>
        <v/>
      </c>
      <c r="AE93" s="84" t="str">
        <f t="shared" si="223"/>
        <v/>
      </c>
      <c r="AF93" s="82" t="str">
        <f t="shared" si="224"/>
        <v/>
      </c>
      <c r="AG93" s="48" t="str">
        <f t="shared" si="225"/>
        <v/>
      </c>
      <c r="AH93" s="48" t="str">
        <f t="shared" si="226"/>
        <v/>
      </c>
      <c r="AI93" s="84" t="str">
        <f t="shared" si="227"/>
        <v/>
      </c>
      <c r="AJ93" s="82" t="str">
        <f t="shared" si="228"/>
        <v/>
      </c>
      <c r="AK93" s="48" t="str">
        <f t="shared" si="229"/>
        <v/>
      </c>
      <c r="AL93" s="48" t="str">
        <f t="shared" si="230"/>
        <v/>
      </c>
      <c r="AM93" s="84" t="str">
        <f t="shared" si="231"/>
        <v/>
      </c>
      <c r="AN93" s="82" t="str">
        <f t="shared" si="232"/>
        <v/>
      </c>
      <c r="AO93" s="48" t="str">
        <f t="shared" si="233"/>
        <v/>
      </c>
      <c r="AP93" s="48" t="str">
        <f t="shared" si="234"/>
        <v/>
      </c>
      <c r="AQ93" s="84" t="str">
        <f t="shared" si="235"/>
        <v/>
      </c>
      <c r="AR93" s="82" t="str">
        <f t="shared" si="236"/>
        <v/>
      </c>
      <c r="AS93" s="48" t="str">
        <f t="shared" si="237"/>
        <v/>
      </c>
      <c r="AT93" s="48" t="str">
        <f t="shared" si="238"/>
        <v/>
      </c>
      <c r="AU93" s="84" t="str">
        <f t="shared" si="239"/>
        <v/>
      </c>
      <c r="AV93" s="82" t="str">
        <f t="shared" si="240"/>
        <v/>
      </c>
      <c r="AW93" s="48" t="str">
        <f t="shared" si="241"/>
        <v/>
      </c>
      <c r="AX93" s="48" t="str">
        <f t="shared" si="242"/>
        <v/>
      </c>
      <c r="AY93" s="84" t="str">
        <f t="shared" si="243"/>
        <v/>
      </c>
      <c r="AZ93" s="82" t="str">
        <f t="shared" si="244"/>
        <v/>
      </c>
      <c r="BA93" s="48" t="str">
        <f t="shared" si="245"/>
        <v/>
      </c>
      <c r="BB93" s="48" t="str">
        <f t="shared" si="246"/>
        <v/>
      </c>
      <c r="BC93" s="84" t="str">
        <f t="shared" si="247"/>
        <v/>
      </c>
      <c r="BD93" s="82" t="str">
        <f t="shared" si="248"/>
        <v/>
      </c>
      <c r="BE93" s="48" t="str">
        <f t="shared" si="249"/>
        <v/>
      </c>
      <c r="BF93" s="48" t="str">
        <f t="shared" si="250"/>
        <v/>
      </c>
      <c r="BG93" s="84" t="str">
        <f t="shared" si="251"/>
        <v/>
      </c>
      <c r="BH93" s="87" t="str">
        <f t="shared" si="252"/>
        <v/>
      </c>
      <c r="BI93" s="49" t="str">
        <f t="shared" si="253"/>
        <v/>
      </c>
      <c r="BJ93" s="49" t="str">
        <f t="shared" si="254"/>
        <v/>
      </c>
      <c r="BK93" s="89" t="str">
        <f t="shared" si="255"/>
        <v/>
      </c>
      <c r="BL93" s="87" t="str">
        <f t="shared" si="256"/>
        <v/>
      </c>
      <c r="BM93" s="49" t="str">
        <f t="shared" si="257"/>
        <v/>
      </c>
      <c r="BN93" s="49" t="str">
        <f t="shared" si="258"/>
        <v/>
      </c>
      <c r="BO93" s="89" t="str">
        <f t="shared" si="259"/>
        <v/>
      </c>
      <c r="BP93" s="87" t="str">
        <f t="shared" si="260"/>
        <v/>
      </c>
      <c r="BQ93" s="49" t="str">
        <f t="shared" si="261"/>
        <v/>
      </c>
      <c r="BR93" s="49" t="str">
        <f t="shared" si="262"/>
        <v/>
      </c>
      <c r="BS93" s="89" t="str">
        <f t="shared" si="263"/>
        <v/>
      </c>
      <c r="BT93" s="87" t="str">
        <f t="shared" si="264"/>
        <v/>
      </c>
    </row>
    <row r="94" spans="2:72">
      <c r="B94" s="81">
        <f>Weekly!B86</f>
        <v>0</v>
      </c>
      <c r="C94" s="90">
        <f>Weekly!C86</f>
        <v>0</v>
      </c>
      <c r="D94" s="90">
        <f>Weekly!D93</f>
        <v>0</v>
      </c>
      <c r="E94" s="91" t="e">
        <f>VLOOKUP(B94,Team!$B$4:$E$183,4,FALSE)</f>
        <v>#N/A</v>
      </c>
      <c r="F94" s="92" t="str">
        <f>Weekly!S86</f>
        <v/>
      </c>
      <c r="G94" s="92" t="str">
        <f>Weekly!T86</f>
        <v/>
      </c>
      <c r="H94" s="48" t="str">
        <f t="shared" si="200"/>
        <v/>
      </c>
      <c r="I94" s="48" t="str">
        <f t="shared" si="201"/>
        <v/>
      </c>
      <c r="J94" s="48" t="str">
        <f t="shared" si="202"/>
        <v/>
      </c>
      <c r="K94" s="84" t="str">
        <f t="shared" si="203"/>
        <v/>
      </c>
      <c r="L94" s="82" t="str">
        <f t="shared" si="204"/>
        <v/>
      </c>
      <c r="M94" s="48" t="str">
        <f t="shared" si="205"/>
        <v/>
      </c>
      <c r="N94" s="48" t="str">
        <f t="shared" si="206"/>
        <v/>
      </c>
      <c r="O94" s="84" t="str">
        <f t="shared" si="207"/>
        <v/>
      </c>
      <c r="P94" s="82" t="str">
        <f t="shared" si="208"/>
        <v/>
      </c>
      <c r="Q94" s="48" t="str">
        <f t="shared" si="209"/>
        <v/>
      </c>
      <c r="R94" s="48" t="str">
        <f t="shared" si="210"/>
        <v/>
      </c>
      <c r="S94" s="84" t="str">
        <f t="shared" si="211"/>
        <v/>
      </c>
      <c r="T94" s="82" t="str">
        <f t="shared" si="212"/>
        <v/>
      </c>
      <c r="U94" s="48" t="str">
        <f t="shared" si="213"/>
        <v/>
      </c>
      <c r="V94" s="48" t="str">
        <f t="shared" si="214"/>
        <v/>
      </c>
      <c r="W94" s="84" t="str">
        <f t="shared" si="215"/>
        <v/>
      </c>
      <c r="X94" s="82" t="str">
        <f t="shared" si="216"/>
        <v/>
      </c>
      <c r="Y94" s="48" t="str">
        <f t="shared" si="217"/>
        <v/>
      </c>
      <c r="Z94" s="48" t="str">
        <f t="shared" si="218"/>
        <v/>
      </c>
      <c r="AA94" s="84" t="str">
        <f t="shared" si="219"/>
        <v/>
      </c>
      <c r="AB94" s="82" t="str">
        <f t="shared" si="220"/>
        <v/>
      </c>
      <c r="AC94" s="48" t="str">
        <f t="shared" si="221"/>
        <v/>
      </c>
      <c r="AD94" s="48" t="str">
        <f t="shared" si="222"/>
        <v/>
      </c>
      <c r="AE94" s="84" t="str">
        <f t="shared" si="223"/>
        <v/>
      </c>
      <c r="AF94" s="82" t="str">
        <f t="shared" si="224"/>
        <v/>
      </c>
      <c r="AG94" s="48" t="str">
        <f t="shared" si="225"/>
        <v/>
      </c>
      <c r="AH94" s="48" t="str">
        <f t="shared" si="226"/>
        <v/>
      </c>
      <c r="AI94" s="84" t="str">
        <f t="shared" si="227"/>
        <v/>
      </c>
      <c r="AJ94" s="82" t="str">
        <f t="shared" si="228"/>
        <v/>
      </c>
      <c r="AK94" s="48" t="str">
        <f t="shared" si="229"/>
        <v/>
      </c>
      <c r="AL94" s="48" t="str">
        <f t="shared" si="230"/>
        <v/>
      </c>
      <c r="AM94" s="84" t="str">
        <f t="shared" si="231"/>
        <v/>
      </c>
      <c r="AN94" s="82" t="str">
        <f t="shared" si="232"/>
        <v/>
      </c>
      <c r="AO94" s="48" t="str">
        <f t="shared" si="233"/>
        <v/>
      </c>
      <c r="AP94" s="48" t="str">
        <f t="shared" si="234"/>
        <v/>
      </c>
      <c r="AQ94" s="84" t="str">
        <f t="shared" si="235"/>
        <v/>
      </c>
      <c r="AR94" s="82" t="str">
        <f t="shared" si="236"/>
        <v/>
      </c>
      <c r="AS94" s="48" t="str">
        <f t="shared" si="237"/>
        <v/>
      </c>
      <c r="AT94" s="48" t="str">
        <f t="shared" si="238"/>
        <v/>
      </c>
      <c r="AU94" s="84" t="str">
        <f t="shared" si="239"/>
        <v/>
      </c>
      <c r="AV94" s="82" t="str">
        <f t="shared" si="240"/>
        <v/>
      </c>
      <c r="AW94" s="48" t="str">
        <f t="shared" si="241"/>
        <v/>
      </c>
      <c r="AX94" s="48" t="str">
        <f t="shared" si="242"/>
        <v/>
      </c>
      <c r="AY94" s="84" t="str">
        <f t="shared" si="243"/>
        <v/>
      </c>
      <c r="AZ94" s="82" t="str">
        <f t="shared" si="244"/>
        <v/>
      </c>
      <c r="BA94" s="48" t="str">
        <f t="shared" si="245"/>
        <v/>
      </c>
      <c r="BB94" s="48" t="str">
        <f t="shared" si="246"/>
        <v/>
      </c>
      <c r="BC94" s="84" t="str">
        <f t="shared" si="247"/>
        <v/>
      </c>
      <c r="BD94" s="82" t="str">
        <f t="shared" si="248"/>
        <v/>
      </c>
      <c r="BE94" s="48" t="str">
        <f t="shared" si="249"/>
        <v/>
      </c>
      <c r="BF94" s="48" t="str">
        <f t="shared" si="250"/>
        <v/>
      </c>
      <c r="BG94" s="84" t="str">
        <f t="shared" si="251"/>
        <v/>
      </c>
      <c r="BH94" s="87" t="str">
        <f t="shared" si="252"/>
        <v/>
      </c>
      <c r="BI94" s="49" t="str">
        <f t="shared" si="253"/>
        <v/>
      </c>
      <c r="BJ94" s="49" t="str">
        <f t="shared" si="254"/>
        <v/>
      </c>
      <c r="BK94" s="89" t="str">
        <f t="shared" si="255"/>
        <v/>
      </c>
      <c r="BL94" s="87" t="str">
        <f t="shared" si="256"/>
        <v/>
      </c>
      <c r="BM94" s="49" t="str">
        <f t="shared" si="257"/>
        <v/>
      </c>
      <c r="BN94" s="49" t="str">
        <f t="shared" si="258"/>
        <v/>
      </c>
      <c r="BO94" s="89" t="str">
        <f t="shared" si="259"/>
        <v/>
      </c>
      <c r="BP94" s="87" t="str">
        <f t="shared" si="260"/>
        <v/>
      </c>
      <c r="BQ94" s="49" t="str">
        <f t="shared" si="261"/>
        <v/>
      </c>
      <c r="BR94" s="49" t="str">
        <f t="shared" si="262"/>
        <v/>
      </c>
      <c r="BS94" s="89" t="str">
        <f t="shared" si="263"/>
        <v/>
      </c>
      <c r="BT94" s="87" t="str">
        <f t="shared" si="264"/>
        <v/>
      </c>
    </row>
    <row r="95" spans="2:72">
      <c r="B95" s="81">
        <f>Weekly!B87</f>
        <v>0</v>
      </c>
      <c r="C95" s="90">
        <f>Weekly!C87</f>
        <v>0</v>
      </c>
      <c r="D95" s="90">
        <f>Weekly!D94</f>
        <v>0</v>
      </c>
      <c r="E95" s="91" t="e">
        <f>VLOOKUP(B95,Team!$B$4:$E$183,4,FALSE)</f>
        <v>#N/A</v>
      </c>
      <c r="F95" s="92" t="str">
        <f>Weekly!S87</f>
        <v/>
      </c>
      <c r="G95" s="92" t="str">
        <f>Weekly!T87</f>
        <v/>
      </c>
      <c r="H95" s="48" t="str">
        <f t="shared" si="200"/>
        <v/>
      </c>
      <c r="I95" s="48" t="str">
        <f t="shared" si="201"/>
        <v/>
      </c>
      <c r="J95" s="48" t="str">
        <f t="shared" si="202"/>
        <v/>
      </c>
      <c r="K95" s="84" t="str">
        <f t="shared" si="203"/>
        <v/>
      </c>
      <c r="L95" s="82" t="str">
        <f t="shared" si="204"/>
        <v/>
      </c>
      <c r="M95" s="48" t="str">
        <f t="shared" si="205"/>
        <v/>
      </c>
      <c r="N95" s="48" t="str">
        <f t="shared" si="206"/>
        <v/>
      </c>
      <c r="O95" s="84" t="str">
        <f t="shared" si="207"/>
        <v/>
      </c>
      <c r="P95" s="82" t="str">
        <f t="shared" si="208"/>
        <v/>
      </c>
      <c r="Q95" s="48" t="str">
        <f t="shared" si="209"/>
        <v/>
      </c>
      <c r="R95" s="48" t="str">
        <f t="shared" si="210"/>
        <v/>
      </c>
      <c r="S95" s="84" t="str">
        <f t="shared" si="211"/>
        <v/>
      </c>
      <c r="T95" s="82" t="str">
        <f t="shared" si="212"/>
        <v/>
      </c>
      <c r="U95" s="48" t="str">
        <f t="shared" si="213"/>
        <v/>
      </c>
      <c r="V95" s="48" t="str">
        <f t="shared" si="214"/>
        <v/>
      </c>
      <c r="W95" s="84" t="str">
        <f t="shared" si="215"/>
        <v/>
      </c>
      <c r="X95" s="82" t="str">
        <f t="shared" si="216"/>
        <v/>
      </c>
      <c r="Y95" s="48" t="str">
        <f t="shared" si="217"/>
        <v/>
      </c>
      <c r="Z95" s="48" t="str">
        <f t="shared" si="218"/>
        <v/>
      </c>
      <c r="AA95" s="84" t="str">
        <f t="shared" si="219"/>
        <v/>
      </c>
      <c r="AB95" s="82" t="str">
        <f t="shared" si="220"/>
        <v/>
      </c>
      <c r="AC95" s="48" t="str">
        <f t="shared" si="221"/>
        <v/>
      </c>
      <c r="AD95" s="48" t="str">
        <f t="shared" si="222"/>
        <v/>
      </c>
      <c r="AE95" s="84" t="str">
        <f t="shared" si="223"/>
        <v/>
      </c>
      <c r="AF95" s="82" t="str">
        <f t="shared" si="224"/>
        <v/>
      </c>
      <c r="AG95" s="48" t="str">
        <f t="shared" si="225"/>
        <v/>
      </c>
      <c r="AH95" s="48" t="str">
        <f t="shared" si="226"/>
        <v/>
      </c>
      <c r="AI95" s="84" t="str">
        <f t="shared" si="227"/>
        <v/>
      </c>
      <c r="AJ95" s="82" t="str">
        <f t="shared" si="228"/>
        <v/>
      </c>
      <c r="AK95" s="48" t="str">
        <f t="shared" si="229"/>
        <v/>
      </c>
      <c r="AL95" s="48" t="str">
        <f t="shared" si="230"/>
        <v/>
      </c>
      <c r="AM95" s="84" t="str">
        <f t="shared" si="231"/>
        <v/>
      </c>
      <c r="AN95" s="82" t="str">
        <f t="shared" si="232"/>
        <v/>
      </c>
      <c r="AO95" s="48" t="str">
        <f t="shared" si="233"/>
        <v/>
      </c>
      <c r="AP95" s="48" t="str">
        <f t="shared" si="234"/>
        <v/>
      </c>
      <c r="AQ95" s="84" t="str">
        <f t="shared" si="235"/>
        <v/>
      </c>
      <c r="AR95" s="82" t="str">
        <f t="shared" si="236"/>
        <v/>
      </c>
      <c r="AS95" s="48" t="str">
        <f t="shared" si="237"/>
        <v/>
      </c>
      <c r="AT95" s="48" t="str">
        <f t="shared" si="238"/>
        <v/>
      </c>
      <c r="AU95" s="84" t="str">
        <f t="shared" si="239"/>
        <v/>
      </c>
      <c r="AV95" s="82" t="str">
        <f t="shared" si="240"/>
        <v/>
      </c>
      <c r="AW95" s="48" t="str">
        <f t="shared" si="241"/>
        <v/>
      </c>
      <c r="AX95" s="48" t="str">
        <f t="shared" si="242"/>
        <v/>
      </c>
      <c r="AY95" s="84" t="str">
        <f t="shared" si="243"/>
        <v/>
      </c>
      <c r="AZ95" s="82" t="str">
        <f t="shared" si="244"/>
        <v/>
      </c>
      <c r="BA95" s="48" t="str">
        <f t="shared" si="245"/>
        <v/>
      </c>
      <c r="BB95" s="48" t="str">
        <f t="shared" si="246"/>
        <v/>
      </c>
      <c r="BC95" s="84" t="str">
        <f t="shared" si="247"/>
        <v/>
      </c>
      <c r="BD95" s="82" t="str">
        <f t="shared" si="248"/>
        <v/>
      </c>
      <c r="BE95" s="48" t="str">
        <f t="shared" si="249"/>
        <v/>
      </c>
      <c r="BF95" s="48" t="str">
        <f t="shared" si="250"/>
        <v/>
      </c>
      <c r="BG95" s="84" t="str">
        <f t="shared" si="251"/>
        <v/>
      </c>
      <c r="BH95" s="87" t="str">
        <f t="shared" si="252"/>
        <v/>
      </c>
      <c r="BI95" s="49" t="str">
        <f t="shared" si="253"/>
        <v/>
      </c>
      <c r="BJ95" s="49" t="str">
        <f t="shared" si="254"/>
        <v/>
      </c>
      <c r="BK95" s="89" t="str">
        <f t="shared" si="255"/>
        <v/>
      </c>
      <c r="BL95" s="87" t="str">
        <f t="shared" si="256"/>
        <v/>
      </c>
      <c r="BM95" s="49" t="str">
        <f t="shared" si="257"/>
        <v/>
      </c>
      <c r="BN95" s="49" t="str">
        <f t="shared" si="258"/>
        <v/>
      </c>
      <c r="BO95" s="89" t="str">
        <f t="shared" si="259"/>
        <v/>
      </c>
      <c r="BP95" s="87" t="str">
        <f t="shared" si="260"/>
        <v/>
      </c>
      <c r="BQ95" s="49" t="str">
        <f t="shared" si="261"/>
        <v/>
      </c>
      <c r="BR95" s="49" t="str">
        <f t="shared" si="262"/>
        <v/>
      </c>
      <c r="BS95" s="89" t="str">
        <f t="shared" si="263"/>
        <v/>
      </c>
      <c r="BT95" s="87" t="str">
        <f t="shared" si="264"/>
        <v/>
      </c>
    </row>
    <row r="96" spans="2:72">
      <c r="B96" s="81">
        <f>Weekly!B88</f>
        <v>0</v>
      </c>
      <c r="C96" s="90">
        <f>Weekly!C88</f>
        <v>0</v>
      </c>
      <c r="D96" s="90">
        <f>Weekly!D95</f>
        <v>0</v>
      </c>
      <c r="E96" s="91" t="e">
        <f>VLOOKUP(B96,Team!$B$4:$E$183,4,FALSE)</f>
        <v>#N/A</v>
      </c>
      <c r="F96" s="92" t="str">
        <f>Weekly!S88</f>
        <v/>
      </c>
      <c r="G96" s="92" t="str">
        <f>Weekly!T88</f>
        <v/>
      </c>
      <c r="H96" s="48" t="str">
        <f t="shared" si="200"/>
        <v/>
      </c>
      <c r="I96" s="48" t="str">
        <f t="shared" si="201"/>
        <v/>
      </c>
      <c r="J96" s="48" t="str">
        <f t="shared" si="202"/>
        <v/>
      </c>
      <c r="K96" s="84" t="str">
        <f t="shared" si="203"/>
        <v/>
      </c>
      <c r="L96" s="82" t="str">
        <f t="shared" si="204"/>
        <v/>
      </c>
      <c r="M96" s="48" t="str">
        <f t="shared" si="205"/>
        <v/>
      </c>
      <c r="N96" s="48" t="str">
        <f t="shared" si="206"/>
        <v/>
      </c>
      <c r="O96" s="84" t="str">
        <f t="shared" si="207"/>
        <v/>
      </c>
      <c r="P96" s="82" t="str">
        <f t="shared" si="208"/>
        <v/>
      </c>
      <c r="Q96" s="48" t="str">
        <f t="shared" si="209"/>
        <v/>
      </c>
      <c r="R96" s="48" t="str">
        <f t="shared" si="210"/>
        <v/>
      </c>
      <c r="S96" s="84" t="str">
        <f t="shared" si="211"/>
        <v/>
      </c>
      <c r="T96" s="82" t="str">
        <f t="shared" si="212"/>
        <v/>
      </c>
      <c r="U96" s="48" t="str">
        <f t="shared" si="213"/>
        <v/>
      </c>
      <c r="V96" s="48" t="str">
        <f t="shared" si="214"/>
        <v/>
      </c>
      <c r="W96" s="84" t="str">
        <f t="shared" si="215"/>
        <v/>
      </c>
      <c r="X96" s="82" t="str">
        <f t="shared" si="216"/>
        <v/>
      </c>
      <c r="Y96" s="48" t="str">
        <f t="shared" si="217"/>
        <v/>
      </c>
      <c r="Z96" s="48" t="str">
        <f t="shared" si="218"/>
        <v/>
      </c>
      <c r="AA96" s="84" t="str">
        <f t="shared" si="219"/>
        <v/>
      </c>
      <c r="AB96" s="82" t="str">
        <f t="shared" si="220"/>
        <v/>
      </c>
      <c r="AC96" s="48" t="str">
        <f t="shared" si="221"/>
        <v/>
      </c>
      <c r="AD96" s="48" t="str">
        <f t="shared" si="222"/>
        <v/>
      </c>
      <c r="AE96" s="84" t="str">
        <f t="shared" si="223"/>
        <v/>
      </c>
      <c r="AF96" s="82" t="str">
        <f t="shared" si="224"/>
        <v/>
      </c>
      <c r="AG96" s="48" t="str">
        <f t="shared" si="225"/>
        <v/>
      </c>
      <c r="AH96" s="48" t="str">
        <f t="shared" si="226"/>
        <v/>
      </c>
      <c r="AI96" s="84" t="str">
        <f t="shared" si="227"/>
        <v/>
      </c>
      <c r="AJ96" s="82" t="str">
        <f t="shared" si="228"/>
        <v/>
      </c>
      <c r="AK96" s="48" t="str">
        <f t="shared" si="229"/>
        <v/>
      </c>
      <c r="AL96" s="48" t="str">
        <f t="shared" si="230"/>
        <v/>
      </c>
      <c r="AM96" s="84" t="str">
        <f t="shared" si="231"/>
        <v/>
      </c>
      <c r="AN96" s="82" t="str">
        <f t="shared" si="232"/>
        <v/>
      </c>
      <c r="AO96" s="48" t="str">
        <f t="shared" si="233"/>
        <v/>
      </c>
      <c r="AP96" s="48" t="str">
        <f t="shared" si="234"/>
        <v/>
      </c>
      <c r="AQ96" s="84" t="str">
        <f t="shared" si="235"/>
        <v/>
      </c>
      <c r="AR96" s="82" t="str">
        <f t="shared" si="236"/>
        <v/>
      </c>
      <c r="AS96" s="48" t="str">
        <f t="shared" si="237"/>
        <v/>
      </c>
      <c r="AT96" s="48" t="str">
        <f t="shared" si="238"/>
        <v/>
      </c>
      <c r="AU96" s="84" t="str">
        <f t="shared" si="239"/>
        <v/>
      </c>
      <c r="AV96" s="82" t="str">
        <f t="shared" si="240"/>
        <v/>
      </c>
      <c r="AW96" s="48" t="str">
        <f t="shared" si="241"/>
        <v/>
      </c>
      <c r="AX96" s="48" t="str">
        <f t="shared" si="242"/>
        <v/>
      </c>
      <c r="AY96" s="84" t="str">
        <f t="shared" si="243"/>
        <v/>
      </c>
      <c r="AZ96" s="82" t="str">
        <f t="shared" si="244"/>
        <v/>
      </c>
      <c r="BA96" s="48" t="str">
        <f t="shared" si="245"/>
        <v/>
      </c>
      <c r="BB96" s="48" t="str">
        <f t="shared" si="246"/>
        <v/>
      </c>
      <c r="BC96" s="84" t="str">
        <f t="shared" si="247"/>
        <v/>
      </c>
      <c r="BD96" s="82" t="str">
        <f t="shared" si="248"/>
        <v/>
      </c>
      <c r="BE96" s="48" t="str">
        <f t="shared" si="249"/>
        <v/>
      </c>
      <c r="BF96" s="48" t="str">
        <f t="shared" si="250"/>
        <v/>
      </c>
      <c r="BG96" s="84" t="str">
        <f t="shared" si="251"/>
        <v/>
      </c>
      <c r="BH96" s="87" t="str">
        <f t="shared" si="252"/>
        <v/>
      </c>
      <c r="BI96" s="49" t="str">
        <f t="shared" si="253"/>
        <v/>
      </c>
      <c r="BJ96" s="49" t="str">
        <f t="shared" si="254"/>
        <v/>
      </c>
      <c r="BK96" s="89" t="str">
        <f t="shared" si="255"/>
        <v/>
      </c>
      <c r="BL96" s="87" t="str">
        <f t="shared" si="256"/>
        <v/>
      </c>
      <c r="BM96" s="49" t="str">
        <f t="shared" si="257"/>
        <v/>
      </c>
      <c r="BN96" s="49" t="str">
        <f t="shared" si="258"/>
        <v/>
      </c>
      <c r="BO96" s="89" t="str">
        <f t="shared" si="259"/>
        <v/>
      </c>
      <c r="BP96" s="87" t="str">
        <f t="shared" si="260"/>
        <v/>
      </c>
      <c r="BQ96" s="49" t="str">
        <f t="shared" si="261"/>
        <v/>
      </c>
      <c r="BR96" s="49" t="str">
        <f t="shared" si="262"/>
        <v/>
      </c>
      <c r="BS96" s="89" t="str">
        <f t="shared" si="263"/>
        <v/>
      </c>
      <c r="BT96" s="87" t="str">
        <f t="shared" si="264"/>
        <v/>
      </c>
    </row>
    <row r="97" spans="2:72">
      <c r="B97" s="81">
        <f>Weekly!B89</f>
        <v>0</v>
      </c>
      <c r="C97" s="90">
        <f>Weekly!C89</f>
        <v>0</v>
      </c>
      <c r="D97" s="90">
        <f>Weekly!D96</f>
        <v>0</v>
      </c>
      <c r="E97" s="91" t="e">
        <f>VLOOKUP(B97,Team!$B$4:$E$183,4,FALSE)</f>
        <v>#N/A</v>
      </c>
      <c r="F97" s="92" t="str">
        <f>Weekly!S89</f>
        <v/>
      </c>
      <c r="G97" s="92" t="str">
        <f>Weekly!T89</f>
        <v/>
      </c>
      <c r="H97" s="48" t="str">
        <f t="shared" si="200"/>
        <v/>
      </c>
      <c r="I97" s="48" t="str">
        <f t="shared" si="201"/>
        <v/>
      </c>
      <c r="J97" s="48" t="str">
        <f t="shared" si="202"/>
        <v/>
      </c>
      <c r="K97" s="84" t="str">
        <f t="shared" si="203"/>
        <v/>
      </c>
      <c r="L97" s="82" t="str">
        <f t="shared" si="204"/>
        <v/>
      </c>
      <c r="M97" s="48" t="str">
        <f t="shared" si="205"/>
        <v/>
      </c>
      <c r="N97" s="48" t="str">
        <f t="shared" si="206"/>
        <v/>
      </c>
      <c r="O97" s="84" t="str">
        <f t="shared" si="207"/>
        <v/>
      </c>
      <c r="P97" s="82" t="str">
        <f t="shared" si="208"/>
        <v/>
      </c>
      <c r="Q97" s="48" t="str">
        <f t="shared" si="209"/>
        <v/>
      </c>
      <c r="R97" s="48" t="str">
        <f t="shared" si="210"/>
        <v/>
      </c>
      <c r="S97" s="84" t="str">
        <f t="shared" si="211"/>
        <v/>
      </c>
      <c r="T97" s="82" t="str">
        <f t="shared" si="212"/>
        <v/>
      </c>
      <c r="U97" s="48" t="str">
        <f t="shared" si="213"/>
        <v/>
      </c>
      <c r="V97" s="48" t="str">
        <f t="shared" si="214"/>
        <v/>
      </c>
      <c r="W97" s="84" t="str">
        <f t="shared" si="215"/>
        <v/>
      </c>
      <c r="X97" s="82" t="str">
        <f t="shared" si="216"/>
        <v/>
      </c>
      <c r="Y97" s="48" t="str">
        <f t="shared" si="217"/>
        <v/>
      </c>
      <c r="Z97" s="48" t="str">
        <f t="shared" si="218"/>
        <v/>
      </c>
      <c r="AA97" s="84" t="str">
        <f t="shared" si="219"/>
        <v/>
      </c>
      <c r="AB97" s="82" t="str">
        <f t="shared" si="220"/>
        <v/>
      </c>
      <c r="AC97" s="48" t="str">
        <f t="shared" si="221"/>
        <v/>
      </c>
      <c r="AD97" s="48" t="str">
        <f t="shared" si="222"/>
        <v/>
      </c>
      <c r="AE97" s="84" t="str">
        <f t="shared" si="223"/>
        <v/>
      </c>
      <c r="AF97" s="82" t="str">
        <f t="shared" si="224"/>
        <v/>
      </c>
      <c r="AG97" s="48" t="str">
        <f t="shared" si="225"/>
        <v/>
      </c>
      <c r="AH97" s="48" t="str">
        <f t="shared" si="226"/>
        <v/>
      </c>
      <c r="AI97" s="84" t="str">
        <f t="shared" si="227"/>
        <v/>
      </c>
      <c r="AJ97" s="82" t="str">
        <f t="shared" si="228"/>
        <v/>
      </c>
      <c r="AK97" s="48" t="str">
        <f t="shared" si="229"/>
        <v/>
      </c>
      <c r="AL97" s="48" t="str">
        <f t="shared" si="230"/>
        <v/>
      </c>
      <c r="AM97" s="84" t="str">
        <f t="shared" si="231"/>
        <v/>
      </c>
      <c r="AN97" s="82" t="str">
        <f t="shared" si="232"/>
        <v/>
      </c>
      <c r="AO97" s="48" t="str">
        <f t="shared" si="233"/>
        <v/>
      </c>
      <c r="AP97" s="48" t="str">
        <f t="shared" si="234"/>
        <v/>
      </c>
      <c r="AQ97" s="84" t="str">
        <f t="shared" si="235"/>
        <v/>
      </c>
      <c r="AR97" s="82" t="str">
        <f t="shared" si="236"/>
        <v/>
      </c>
      <c r="AS97" s="48" t="str">
        <f t="shared" si="237"/>
        <v/>
      </c>
      <c r="AT97" s="48" t="str">
        <f t="shared" si="238"/>
        <v/>
      </c>
      <c r="AU97" s="84" t="str">
        <f t="shared" si="239"/>
        <v/>
      </c>
      <c r="AV97" s="82" t="str">
        <f t="shared" si="240"/>
        <v/>
      </c>
      <c r="AW97" s="48" t="str">
        <f t="shared" si="241"/>
        <v/>
      </c>
      <c r="AX97" s="48" t="str">
        <f t="shared" si="242"/>
        <v/>
      </c>
      <c r="AY97" s="84" t="str">
        <f t="shared" si="243"/>
        <v/>
      </c>
      <c r="AZ97" s="82" t="str">
        <f t="shared" si="244"/>
        <v/>
      </c>
      <c r="BA97" s="48" t="str">
        <f t="shared" si="245"/>
        <v/>
      </c>
      <c r="BB97" s="48" t="str">
        <f t="shared" si="246"/>
        <v/>
      </c>
      <c r="BC97" s="84" t="str">
        <f t="shared" si="247"/>
        <v/>
      </c>
      <c r="BD97" s="82" t="str">
        <f t="shared" si="248"/>
        <v/>
      </c>
      <c r="BE97" s="48" t="str">
        <f t="shared" si="249"/>
        <v/>
      </c>
      <c r="BF97" s="48" t="str">
        <f t="shared" si="250"/>
        <v/>
      </c>
      <c r="BG97" s="84" t="str">
        <f t="shared" si="251"/>
        <v/>
      </c>
      <c r="BH97" s="87" t="str">
        <f t="shared" si="252"/>
        <v/>
      </c>
      <c r="BI97" s="49" t="str">
        <f t="shared" si="253"/>
        <v/>
      </c>
      <c r="BJ97" s="49" t="str">
        <f t="shared" si="254"/>
        <v/>
      </c>
      <c r="BK97" s="89" t="str">
        <f t="shared" si="255"/>
        <v/>
      </c>
      <c r="BL97" s="87" t="str">
        <f t="shared" si="256"/>
        <v/>
      </c>
      <c r="BM97" s="49" t="str">
        <f t="shared" si="257"/>
        <v/>
      </c>
      <c r="BN97" s="49" t="str">
        <f t="shared" si="258"/>
        <v/>
      </c>
      <c r="BO97" s="89" t="str">
        <f t="shared" si="259"/>
        <v/>
      </c>
      <c r="BP97" s="87" t="str">
        <f t="shared" si="260"/>
        <v/>
      </c>
      <c r="BQ97" s="49" t="str">
        <f t="shared" si="261"/>
        <v/>
      </c>
      <c r="BR97" s="49" t="str">
        <f t="shared" si="262"/>
        <v/>
      </c>
      <c r="BS97" s="89" t="str">
        <f t="shared" si="263"/>
        <v/>
      </c>
      <c r="BT97" s="87" t="str">
        <f t="shared" si="264"/>
        <v/>
      </c>
    </row>
    <row r="98" spans="2:72">
      <c r="B98" s="81">
        <f>Weekly!B90</f>
        <v>0</v>
      </c>
      <c r="C98" s="90">
        <f>Weekly!C90</f>
        <v>0</v>
      </c>
      <c r="D98" s="90">
        <f>Weekly!D97</f>
        <v>0</v>
      </c>
      <c r="E98" s="91" t="e">
        <f>VLOOKUP(B98,Team!$B$4:$E$183,4,FALSE)</f>
        <v>#N/A</v>
      </c>
      <c r="F98" s="92" t="str">
        <f>Weekly!S90</f>
        <v/>
      </c>
      <c r="G98" s="92" t="str">
        <f>Weekly!T90</f>
        <v/>
      </c>
      <c r="H98" s="48" t="str">
        <f t="shared" si="200"/>
        <v/>
      </c>
      <c r="I98" s="48" t="str">
        <f t="shared" si="201"/>
        <v/>
      </c>
      <c r="J98" s="48" t="str">
        <f t="shared" si="202"/>
        <v/>
      </c>
      <c r="K98" s="84" t="str">
        <f t="shared" si="203"/>
        <v/>
      </c>
      <c r="L98" s="82" t="str">
        <f t="shared" si="204"/>
        <v/>
      </c>
      <c r="M98" s="48" t="str">
        <f t="shared" si="205"/>
        <v/>
      </c>
      <c r="N98" s="48" t="str">
        <f t="shared" si="206"/>
        <v/>
      </c>
      <c r="O98" s="84" t="str">
        <f t="shared" si="207"/>
        <v/>
      </c>
      <c r="P98" s="82" t="str">
        <f t="shared" si="208"/>
        <v/>
      </c>
      <c r="Q98" s="48" t="str">
        <f t="shared" si="209"/>
        <v/>
      </c>
      <c r="R98" s="48" t="str">
        <f t="shared" si="210"/>
        <v/>
      </c>
      <c r="S98" s="84" t="str">
        <f t="shared" si="211"/>
        <v/>
      </c>
      <c r="T98" s="82" t="str">
        <f t="shared" si="212"/>
        <v/>
      </c>
      <c r="U98" s="48" t="str">
        <f t="shared" si="213"/>
        <v/>
      </c>
      <c r="V98" s="48" t="str">
        <f t="shared" si="214"/>
        <v/>
      </c>
      <c r="W98" s="84" t="str">
        <f t="shared" si="215"/>
        <v/>
      </c>
      <c r="X98" s="82" t="str">
        <f t="shared" si="216"/>
        <v/>
      </c>
      <c r="Y98" s="48" t="str">
        <f t="shared" si="217"/>
        <v/>
      </c>
      <c r="Z98" s="48" t="str">
        <f t="shared" si="218"/>
        <v/>
      </c>
      <c r="AA98" s="84" t="str">
        <f t="shared" si="219"/>
        <v/>
      </c>
      <c r="AB98" s="82" t="str">
        <f t="shared" si="220"/>
        <v/>
      </c>
      <c r="AC98" s="48" t="str">
        <f t="shared" si="221"/>
        <v/>
      </c>
      <c r="AD98" s="48" t="str">
        <f t="shared" si="222"/>
        <v/>
      </c>
      <c r="AE98" s="84" t="str">
        <f t="shared" si="223"/>
        <v/>
      </c>
      <c r="AF98" s="82" t="str">
        <f t="shared" si="224"/>
        <v/>
      </c>
      <c r="AG98" s="48" t="str">
        <f t="shared" si="225"/>
        <v/>
      </c>
      <c r="AH98" s="48" t="str">
        <f t="shared" si="226"/>
        <v/>
      </c>
      <c r="AI98" s="84" t="str">
        <f t="shared" si="227"/>
        <v/>
      </c>
      <c r="AJ98" s="82" t="str">
        <f t="shared" si="228"/>
        <v/>
      </c>
      <c r="AK98" s="48" t="str">
        <f t="shared" si="229"/>
        <v/>
      </c>
      <c r="AL98" s="48" t="str">
        <f t="shared" si="230"/>
        <v/>
      </c>
      <c r="AM98" s="84" t="str">
        <f t="shared" si="231"/>
        <v/>
      </c>
      <c r="AN98" s="82" t="str">
        <f t="shared" si="232"/>
        <v/>
      </c>
      <c r="AO98" s="48" t="str">
        <f t="shared" si="233"/>
        <v/>
      </c>
      <c r="AP98" s="48" t="str">
        <f t="shared" si="234"/>
        <v/>
      </c>
      <c r="AQ98" s="84" t="str">
        <f t="shared" si="235"/>
        <v/>
      </c>
      <c r="AR98" s="82" t="str">
        <f t="shared" si="236"/>
        <v/>
      </c>
      <c r="AS98" s="48" t="str">
        <f t="shared" si="237"/>
        <v/>
      </c>
      <c r="AT98" s="48" t="str">
        <f t="shared" si="238"/>
        <v/>
      </c>
      <c r="AU98" s="84" t="str">
        <f t="shared" si="239"/>
        <v/>
      </c>
      <c r="AV98" s="82" t="str">
        <f t="shared" si="240"/>
        <v/>
      </c>
      <c r="AW98" s="48" t="str">
        <f t="shared" si="241"/>
        <v/>
      </c>
      <c r="AX98" s="48" t="str">
        <f t="shared" si="242"/>
        <v/>
      </c>
      <c r="AY98" s="84" t="str">
        <f t="shared" si="243"/>
        <v/>
      </c>
      <c r="AZ98" s="82" t="str">
        <f t="shared" si="244"/>
        <v/>
      </c>
      <c r="BA98" s="48" t="str">
        <f t="shared" si="245"/>
        <v/>
      </c>
      <c r="BB98" s="48" t="str">
        <f t="shared" si="246"/>
        <v/>
      </c>
      <c r="BC98" s="84" t="str">
        <f t="shared" si="247"/>
        <v/>
      </c>
      <c r="BD98" s="82" t="str">
        <f t="shared" si="248"/>
        <v/>
      </c>
      <c r="BE98" s="48" t="str">
        <f t="shared" si="249"/>
        <v/>
      </c>
      <c r="BF98" s="48" t="str">
        <f t="shared" si="250"/>
        <v/>
      </c>
      <c r="BG98" s="84" t="str">
        <f t="shared" si="251"/>
        <v/>
      </c>
      <c r="BH98" s="87" t="str">
        <f t="shared" si="252"/>
        <v/>
      </c>
      <c r="BI98" s="49" t="str">
        <f t="shared" si="253"/>
        <v/>
      </c>
      <c r="BJ98" s="49" t="str">
        <f t="shared" si="254"/>
        <v/>
      </c>
      <c r="BK98" s="89" t="str">
        <f t="shared" si="255"/>
        <v/>
      </c>
      <c r="BL98" s="87" t="str">
        <f t="shared" si="256"/>
        <v/>
      </c>
      <c r="BM98" s="49" t="str">
        <f t="shared" si="257"/>
        <v/>
      </c>
      <c r="BN98" s="49" t="str">
        <f t="shared" si="258"/>
        <v/>
      </c>
      <c r="BO98" s="89" t="str">
        <f t="shared" si="259"/>
        <v/>
      </c>
      <c r="BP98" s="87" t="str">
        <f t="shared" si="260"/>
        <v/>
      </c>
      <c r="BQ98" s="49" t="str">
        <f t="shared" si="261"/>
        <v/>
      </c>
      <c r="BR98" s="49" t="str">
        <f t="shared" si="262"/>
        <v/>
      </c>
      <c r="BS98" s="89" t="str">
        <f t="shared" si="263"/>
        <v/>
      </c>
      <c r="BT98" s="87" t="str">
        <f t="shared" si="264"/>
        <v/>
      </c>
    </row>
    <row r="99" spans="2:72">
      <c r="B99" s="81">
        <f>Weekly!B91</f>
        <v>0</v>
      </c>
      <c r="C99" s="90">
        <f>Weekly!C91</f>
        <v>0</v>
      </c>
      <c r="D99" s="90">
        <f>Weekly!D98</f>
        <v>0</v>
      </c>
      <c r="E99" s="91" t="e">
        <f>VLOOKUP(B99,Team!$B$4:$E$183,4,FALSE)</f>
        <v>#N/A</v>
      </c>
      <c r="F99" s="92" t="str">
        <f>Weekly!S91</f>
        <v/>
      </c>
      <c r="G99" s="92" t="str">
        <f>Weekly!T91</f>
        <v/>
      </c>
      <c r="H99" s="48" t="str">
        <f t="shared" si="200"/>
        <v/>
      </c>
      <c r="I99" s="48" t="str">
        <f t="shared" si="201"/>
        <v/>
      </c>
      <c r="J99" s="48" t="str">
        <f t="shared" si="202"/>
        <v/>
      </c>
      <c r="K99" s="84" t="str">
        <f t="shared" si="203"/>
        <v/>
      </c>
      <c r="L99" s="82" t="str">
        <f t="shared" si="204"/>
        <v/>
      </c>
      <c r="M99" s="48" t="str">
        <f t="shared" si="205"/>
        <v/>
      </c>
      <c r="N99" s="48" t="str">
        <f t="shared" si="206"/>
        <v/>
      </c>
      <c r="O99" s="84" t="str">
        <f t="shared" si="207"/>
        <v/>
      </c>
      <c r="P99" s="82" t="str">
        <f t="shared" si="208"/>
        <v/>
      </c>
      <c r="Q99" s="48" t="str">
        <f t="shared" si="209"/>
        <v/>
      </c>
      <c r="R99" s="48" t="str">
        <f t="shared" si="210"/>
        <v/>
      </c>
      <c r="S99" s="84" t="str">
        <f t="shared" si="211"/>
        <v/>
      </c>
      <c r="T99" s="82" t="str">
        <f t="shared" si="212"/>
        <v/>
      </c>
      <c r="U99" s="48" t="str">
        <f t="shared" si="213"/>
        <v/>
      </c>
      <c r="V99" s="48" t="str">
        <f t="shared" si="214"/>
        <v/>
      </c>
      <c r="W99" s="84" t="str">
        <f t="shared" si="215"/>
        <v/>
      </c>
      <c r="X99" s="82" t="str">
        <f t="shared" si="216"/>
        <v/>
      </c>
      <c r="Y99" s="48" t="str">
        <f t="shared" si="217"/>
        <v/>
      </c>
      <c r="Z99" s="48" t="str">
        <f t="shared" si="218"/>
        <v/>
      </c>
      <c r="AA99" s="84" t="str">
        <f t="shared" si="219"/>
        <v/>
      </c>
      <c r="AB99" s="82" t="str">
        <f t="shared" si="220"/>
        <v/>
      </c>
      <c r="AC99" s="48" t="str">
        <f t="shared" si="221"/>
        <v/>
      </c>
      <c r="AD99" s="48" t="str">
        <f t="shared" si="222"/>
        <v/>
      </c>
      <c r="AE99" s="84" t="str">
        <f t="shared" si="223"/>
        <v/>
      </c>
      <c r="AF99" s="82" t="str">
        <f t="shared" si="224"/>
        <v/>
      </c>
      <c r="AG99" s="48" t="str">
        <f t="shared" si="225"/>
        <v/>
      </c>
      <c r="AH99" s="48" t="str">
        <f t="shared" si="226"/>
        <v/>
      </c>
      <c r="AI99" s="84" t="str">
        <f t="shared" si="227"/>
        <v/>
      </c>
      <c r="AJ99" s="82" t="str">
        <f t="shared" si="228"/>
        <v/>
      </c>
      <c r="AK99" s="48" t="str">
        <f t="shared" si="229"/>
        <v/>
      </c>
      <c r="AL99" s="48" t="str">
        <f t="shared" si="230"/>
        <v/>
      </c>
      <c r="AM99" s="84" t="str">
        <f t="shared" si="231"/>
        <v/>
      </c>
      <c r="AN99" s="82" t="str">
        <f t="shared" si="232"/>
        <v/>
      </c>
      <c r="AO99" s="48" t="str">
        <f t="shared" si="233"/>
        <v/>
      </c>
      <c r="AP99" s="48" t="str">
        <f t="shared" si="234"/>
        <v/>
      </c>
      <c r="AQ99" s="84" t="str">
        <f t="shared" si="235"/>
        <v/>
      </c>
      <c r="AR99" s="82" t="str">
        <f t="shared" si="236"/>
        <v/>
      </c>
      <c r="AS99" s="48" t="str">
        <f t="shared" si="237"/>
        <v/>
      </c>
      <c r="AT99" s="48" t="str">
        <f t="shared" si="238"/>
        <v/>
      </c>
      <c r="AU99" s="84" t="str">
        <f t="shared" si="239"/>
        <v/>
      </c>
      <c r="AV99" s="82" t="str">
        <f t="shared" si="240"/>
        <v/>
      </c>
      <c r="AW99" s="48" t="str">
        <f t="shared" si="241"/>
        <v/>
      </c>
      <c r="AX99" s="48" t="str">
        <f t="shared" si="242"/>
        <v/>
      </c>
      <c r="AY99" s="84" t="str">
        <f t="shared" si="243"/>
        <v/>
      </c>
      <c r="AZ99" s="82" t="str">
        <f t="shared" si="244"/>
        <v/>
      </c>
      <c r="BA99" s="48" t="str">
        <f t="shared" si="245"/>
        <v/>
      </c>
      <c r="BB99" s="48" t="str">
        <f t="shared" si="246"/>
        <v/>
      </c>
      <c r="BC99" s="84" t="str">
        <f t="shared" si="247"/>
        <v/>
      </c>
      <c r="BD99" s="82" t="str">
        <f t="shared" si="248"/>
        <v/>
      </c>
      <c r="BE99" s="48" t="str">
        <f t="shared" si="249"/>
        <v/>
      </c>
      <c r="BF99" s="48" t="str">
        <f t="shared" si="250"/>
        <v/>
      </c>
      <c r="BG99" s="84" t="str">
        <f t="shared" si="251"/>
        <v/>
      </c>
      <c r="BH99" s="87" t="str">
        <f t="shared" si="252"/>
        <v/>
      </c>
      <c r="BI99" s="49" t="str">
        <f t="shared" si="253"/>
        <v/>
      </c>
      <c r="BJ99" s="49" t="str">
        <f t="shared" si="254"/>
        <v/>
      </c>
      <c r="BK99" s="89" t="str">
        <f t="shared" si="255"/>
        <v/>
      </c>
      <c r="BL99" s="87" t="str">
        <f t="shared" si="256"/>
        <v/>
      </c>
      <c r="BM99" s="49" t="str">
        <f t="shared" si="257"/>
        <v/>
      </c>
      <c r="BN99" s="49" t="str">
        <f t="shared" si="258"/>
        <v/>
      </c>
      <c r="BO99" s="89" t="str">
        <f t="shared" si="259"/>
        <v/>
      </c>
      <c r="BP99" s="87" t="str">
        <f t="shared" si="260"/>
        <v/>
      </c>
      <c r="BQ99" s="49" t="str">
        <f t="shared" si="261"/>
        <v/>
      </c>
      <c r="BR99" s="49" t="str">
        <f t="shared" si="262"/>
        <v/>
      </c>
      <c r="BS99" s="89" t="str">
        <f t="shared" si="263"/>
        <v/>
      </c>
      <c r="BT99" s="87" t="str">
        <f t="shared" si="264"/>
        <v/>
      </c>
    </row>
    <row r="100" spans="2:72">
      <c r="B100" s="81">
        <f>Weekly!B92</f>
        <v>0</v>
      </c>
      <c r="C100" s="90">
        <f>Weekly!C92</f>
        <v>0</v>
      </c>
      <c r="D100" s="90">
        <f>Weekly!D99</f>
        <v>0</v>
      </c>
      <c r="E100" s="91" t="e">
        <f>VLOOKUP(B100,Team!$B$4:$E$183,4,FALSE)</f>
        <v>#N/A</v>
      </c>
      <c r="F100" s="92" t="str">
        <f>Weekly!S92</f>
        <v/>
      </c>
      <c r="G100" s="92" t="str">
        <f>Weekly!T92</f>
        <v/>
      </c>
      <c r="H100" s="48" t="str">
        <f t="shared" si="200"/>
        <v/>
      </c>
      <c r="I100" s="48" t="str">
        <f t="shared" si="201"/>
        <v/>
      </c>
      <c r="J100" s="48" t="str">
        <f t="shared" si="202"/>
        <v/>
      </c>
      <c r="K100" s="84" t="str">
        <f t="shared" si="203"/>
        <v/>
      </c>
      <c r="L100" s="82" t="str">
        <f t="shared" si="204"/>
        <v/>
      </c>
      <c r="M100" s="48" t="str">
        <f t="shared" si="205"/>
        <v/>
      </c>
      <c r="N100" s="48" t="str">
        <f t="shared" si="206"/>
        <v/>
      </c>
      <c r="O100" s="84" t="str">
        <f t="shared" si="207"/>
        <v/>
      </c>
      <c r="P100" s="82" t="str">
        <f t="shared" si="208"/>
        <v/>
      </c>
      <c r="Q100" s="48" t="str">
        <f t="shared" si="209"/>
        <v/>
      </c>
      <c r="R100" s="48" t="str">
        <f t="shared" si="210"/>
        <v/>
      </c>
      <c r="S100" s="84" t="str">
        <f t="shared" si="211"/>
        <v/>
      </c>
      <c r="T100" s="82" t="str">
        <f t="shared" si="212"/>
        <v/>
      </c>
      <c r="U100" s="48" t="str">
        <f t="shared" si="213"/>
        <v/>
      </c>
      <c r="V100" s="48" t="str">
        <f t="shared" si="214"/>
        <v/>
      </c>
      <c r="W100" s="84" t="str">
        <f t="shared" si="215"/>
        <v/>
      </c>
      <c r="X100" s="82" t="str">
        <f t="shared" si="216"/>
        <v/>
      </c>
      <c r="Y100" s="48" t="str">
        <f t="shared" si="217"/>
        <v/>
      </c>
      <c r="Z100" s="48" t="str">
        <f t="shared" si="218"/>
        <v/>
      </c>
      <c r="AA100" s="84" t="str">
        <f t="shared" si="219"/>
        <v/>
      </c>
      <c r="AB100" s="82" t="str">
        <f t="shared" si="220"/>
        <v/>
      </c>
      <c r="AC100" s="48" t="str">
        <f t="shared" si="221"/>
        <v/>
      </c>
      <c r="AD100" s="48" t="str">
        <f t="shared" si="222"/>
        <v/>
      </c>
      <c r="AE100" s="84" t="str">
        <f t="shared" si="223"/>
        <v/>
      </c>
      <c r="AF100" s="82" t="str">
        <f t="shared" si="224"/>
        <v/>
      </c>
      <c r="AG100" s="48" t="str">
        <f t="shared" si="225"/>
        <v/>
      </c>
      <c r="AH100" s="48" t="str">
        <f t="shared" si="226"/>
        <v/>
      </c>
      <c r="AI100" s="84" t="str">
        <f t="shared" si="227"/>
        <v/>
      </c>
      <c r="AJ100" s="82" t="str">
        <f t="shared" si="228"/>
        <v/>
      </c>
      <c r="AK100" s="48" t="str">
        <f t="shared" si="229"/>
        <v/>
      </c>
      <c r="AL100" s="48" t="str">
        <f t="shared" si="230"/>
        <v/>
      </c>
      <c r="AM100" s="84" t="str">
        <f t="shared" si="231"/>
        <v/>
      </c>
      <c r="AN100" s="82" t="str">
        <f t="shared" si="232"/>
        <v/>
      </c>
      <c r="AO100" s="48" t="str">
        <f t="shared" si="233"/>
        <v/>
      </c>
      <c r="AP100" s="48" t="str">
        <f t="shared" si="234"/>
        <v/>
      </c>
      <c r="AQ100" s="84" t="str">
        <f t="shared" si="235"/>
        <v/>
      </c>
      <c r="AR100" s="82" t="str">
        <f t="shared" si="236"/>
        <v/>
      </c>
      <c r="AS100" s="48" t="str">
        <f t="shared" si="237"/>
        <v/>
      </c>
      <c r="AT100" s="48" t="str">
        <f t="shared" si="238"/>
        <v/>
      </c>
      <c r="AU100" s="84" t="str">
        <f t="shared" si="239"/>
        <v/>
      </c>
      <c r="AV100" s="82" t="str">
        <f t="shared" si="240"/>
        <v/>
      </c>
      <c r="AW100" s="48" t="str">
        <f t="shared" si="241"/>
        <v/>
      </c>
      <c r="AX100" s="48" t="str">
        <f t="shared" si="242"/>
        <v/>
      </c>
      <c r="AY100" s="84" t="str">
        <f t="shared" si="243"/>
        <v/>
      </c>
      <c r="AZ100" s="82" t="str">
        <f t="shared" si="244"/>
        <v/>
      </c>
      <c r="BA100" s="48" t="str">
        <f t="shared" si="245"/>
        <v/>
      </c>
      <c r="BB100" s="48" t="str">
        <f t="shared" si="246"/>
        <v/>
      </c>
      <c r="BC100" s="84" t="str">
        <f t="shared" si="247"/>
        <v/>
      </c>
      <c r="BD100" s="82" t="str">
        <f t="shared" si="248"/>
        <v/>
      </c>
      <c r="BE100" s="48" t="str">
        <f t="shared" si="249"/>
        <v/>
      </c>
      <c r="BF100" s="48" t="str">
        <f t="shared" si="250"/>
        <v/>
      </c>
      <c r="BG100" s="84" t="str">
        <f t="shared" si="251"/>
        <v/>
      </c>
      <c r="BH100" s="87" t="str">
        <f t="shared" si="252"/>
        <v/>
      </c>
      <c r="BI100" s="49" t="str">
        <f t="shared" si="253"/>
        <v/>
      </c>
      <c r="BJ100" s="49" t="str">
        <f t="shared" si="254"/>
        <v/>
      </c>
      <c r="BK100" s="89" t="str">
        <f t="shared" si="255"/>
        <v/>
      </c>
      <c r="BL100" s="87" t="str">
        <f t="shared" si="256"/>
        <v/>
      </c>
      <c r="BM100" s="49" t="str">
        <f t="shared" si="257"/>
        <v/>
      </c>
      <c r="BN100" s="49" t="str">
        <f t="shared" si="258"/>
        <v/>
      </c>
      <c r="BO100" s="89" t="str">
        <f t="shared" si="259"/>
        <v/>
      </c>
      <c r="BP100" s="87" t="str">
        <f t="shared" si="260"/>
        <v/>
      </c>
      <c r="BQ100" s="49" t="str">
        <f t="shared" si="261"/>
        <v/>
      </c>
      <c r="BR100" s="49" t="str">
        <f t="shared" si="262"/>
        <v/>
      </c>
      <c r="BS100" s="89" t="str">
        <f t="shared" si="263"/>
        <v/>
      </c>
      <c r="BT100" s="87" t="str">
        <f t="shared" si="264"/>
        <v/>
      </c>
    </row>
    <row r="101" spans="2:72">
      <c r="B101" s="81">
        <f>Weekly!B93</f>
        <v>0</v>
      </c>
      <c r="C101" s="90">
        <f>Weekly!C93</f>
        <v>0</v>
      </c>
      <c r="D101" s="90">
        <f>Weekly!D100</f>
        <v>0</v>
      </c>
      <c r="E101" s="91" t="e">
        <f>VLOOKUP(B101,Team!$B$4:$E$183,4,FALSE)</f>
        <v>#N/A</v>
      </c>
      <c r="F101" s="92" t="str">
        <f>Weekly!S93</f>
        <v/>
      </c>
      <c r="G101" s="92" t="str">
        <f>Weekly!T93</f>
        <v/>
      </c>
      <c r="H101" s="48" t="str">
        <f t="shared" si="200"/>
        <v/>
      </c>
      <c r="I101" s="48" t="str">
        <f t="shared" si="201"/>
        <v/>
      </c>
      <c r="J101" s="48" t="str">
        <f t="shared" si="202"/>
        <v/>
      </c>
      <c r="K101" s="84" t="str">
        <f t="shared" si="203"/>
        <v/>
      </c>
      <c r="L101" s="82" t="str">
        <f t="shared" si="204"/>
        <v/>
      </c>
      <c r="M101" s="48" t="str">
        <f t="shared" si="205"/>
        <v/>
      </c>
      <c r="N101" s="48" t="str">
        <f t="shared" si="206"/>
        <v/>
      </c>
      <c r="O101" s="84" t="str">
        <f t="shared" si="207"/>
        <v/>
      </c>
      <c r="P101" s="82" t="str">
        <f t="shared" si="208"/>
        <v/>
      </c>
      <c r="Q101" s="48" t="str">
        <f t="shared" si="209"/>
        <v/>
      </c>
      <c r="R101" s="48" t="str">
        <f t="shared" si="210"/>
        <v/>
      </c>
      <c r="S101" s="84" t="str">
        <f t="shared" si="211"/>
        <v/>
      </c>
      <c r="T101" s="82" t="str">
        <f t="shared" si="212"/>
        <v/>
      </c>
      <c r="U101" s="48" t="str">
        <f t="shared" si="213"/>
        <v/>
      </c>
      <c r="V101" s="48" t="str">
        <f t="shared" si="214"/>
        <v/>
      </c>
      <c r="W101" s="84" t="str">
        <f t="shared" si="215"/>
        <v/>
      </c>
      <c r="X101" s="82" t="str">
        <f t="shared" si="216"/>
        <v/>
      </c>
      <c r="Y101" s="48" t="str">
        <f t="shared" si="217"/>
        <v/>
      </c>
      <c r="Z101" s="48" t="str">
        <f t="shared" si="218"/>
        <v/>
      </c>
      <c r="AA101" s="84" t="str">
        <f t="shared" si="219"/>
        <v/>
      </c>
      <c r="AB101" s="82" t="str">
        <f t="shared" si="220"/>
        <v/>
      </c>
      <c r="AC101" s="48" t="str">
        <f t="shared" si="221"/>
        <v/>
      </c>
      <c r="AD101" s="48" t="str">
        <f t="shared" si="222"/>
        <v/>
      </c>
      <c r="AE101" s="84" t="str">
        <f t="shared" si="223"/>
        <v/>
      </c>
      <c r="AF101" s="82" t="str">
        <f t="shared" si="224"/>
        <v/>
      </c>
      <c r="AG101" s="48" t="str">
        <f t="shared" si="225"/>
        <v/>
      </c>
      <c r="AH101" s="48" t="str">
        <f t="shared" si="226"/>
        <v/>
      </c>
      <c r="AI101" s="84" t="str">
        <f t="shared" si="227"/>
        <v/>
      </c>
      <c r="AJ101" s="82" t="str">
        <f t="shared" si="228"/>
        <v/>
      </c>
      <c r="AK101" s="48" t="str">
        <f t="shared" si="229"/>
        <v/>
      </c>
      <c r="AL101" s="48" t="str">
        <f t="shared" si="230"/>
        <v/>
      </c>
      <c r="AM101" s="84" t="str">
        <f t="shared" si="231"/>
        <v/>
      </c>
      <c r="AN101" s="82" t="str">
        <f t="shared" si="232"/>
        <v/>
      </c>
      <c r="AO101" s="48" t="str">
        <f t="shared" si="233"/>
        <v/>
      </c>
      <c r="AP101" s="48" t="str">
        <f t="shared" si="234"/>
        <v/>
      </c>
      <c r="AQ101" s="84" t="str">
        <f t="shared" si="235"/>
        <v/>
      </c>
      <c r="AR101" s="82" t="str">
        <f t="shared" si="236"/>
        <v/>
      </c>
      <c r="AS101" s="48" t="str">
        <f t="shared" si="237"/>
        <v/>
      </c>
      <c r="AT101" s="48" t="str">
        <f t="shared" si="238"/>
        <v/>
      </c>
      <c r="AU101" s="84" t="str">
        <f t="shared" si="239"/>
        <v/>
      </c>
      <c r="AV101" s="82" t="str">
        <f t="shared" si="240"/>
        <v/>
      </c>
      <c r="AW101" s="48" t="str">
        <f t="shared" si="241"/>
        <v/>
      </c>
      <c r="AX101" s="48" t="str">
        <f t="shared" si="242"/>
        <v/>
      </c>
      <c r="AY101" s="84" t="str">
        <f t="shared" si="243"/>
        <v/>
      </c>
      <c r="AZ101" s="82" t="str">
        <f t="shared" si="244"/>
        <v/>
      </c>
      <c r="BA101" s="48" t="str">
        <f t="shared" si="245"/>
        <v/>
      </c>
      <c r="BB101" s="48" t="str">
        <f t="shared" si="246"/>
        <v/>
      </c>
      <c r="BC101" s="84" t="str">
        <f t="shared" si="247"/>
        <v/>
      </c>
      <c r="BD101" s="82" t="str">
        <f t="shared" si="248"/>
        <v/>
      </c>
      <c r="BE101" s="48" t="str">
        <f t="shared" si="249"/>
        <v/>
      </c>
      <c r="BF101" s="48" t="str">
        <f t="shared" si="250"/>
        <v/>
      </c>
      <c r="BG101" s="84" t="str">
        <f t="shared" si="251"/>
        <v/>
      </c>
      <c r="BH101" s="87" t="str">
        <f t="shared" si="252"/>
        <v/>
      </c>
      <c r="BI101" s="49" t="str">
        <f t="shared" si="253"/>
        <v/>
      </c>
      <c r="BJ101" s="49" t="str">
        <f t="shared" si="254"/>
        <v/>
      </c>
      <c r="BK101" s="89" t="str">
        <f t="shared" si="255"/>
        <v/>
      </c>
      <c r="BL101" s="87" t="str">
        <f t="shared" si="256"/>
        <v/>
      </c>
      <c r="BM101" s="49" t="str">
        <f t="shared" si="257"/>
        <v/>
      </c>
      <c r="BN101" s="49" t="str">
        <f t="shared" si="258"/>
        <v/>
      </c>
      <c r="BO101" s="89" t="str">
        <f t="shared" si="259"/>
        <v/>
      </c>
      <c r="BP101" s="87" t="str">
        <f t="shared" si="260"/>
        <v/>
      </c>
      <c r="BQ101" s="49" t="str">
        <f t="shared" si="261"/>
        <v/>
      </c>
      <c r="BR101" s="49" t="str">
        <f t="shared" si="262"/>
        <v/>
      </c>
      <c r="BS101" s="89" t="str">
        <f t="shared" si="263"/>
        <v/>
      </c>
      <c r="BT101" s="87" t="str">
        <f t="shared" si="264"/>
        <v/>
      </c>
    </row>
    <row r="102" spans="2:72">
      <c r="B102" s="81">
        <f>Weekly!B94</f>
        <v>0</v>
      </c>
      <c r="C102" s="90">
        <f>Weekly!C94</f>
        <v>0</v>
      </c>
      <c r="D102" s="90">
        <f>Weekly!D101</f>
        <v>0</v>
      </c>
      <c r="E102" s="91" t="e">
        <f>VLOOKUP(B102,Team!$B$4:$E$183,4,FALSE)</f>
        <v>#N/A</v>
      </c>
      <c r="F102" s="92" t="str">
        <f>Weekly!S94</f>
        <v/>
      </c>
      <c r="G102" s="92" t="str">
        <f>Weekly!T94</f>
        <v/>
      </c>
      <c r="H102" s="48" t="str">
        <f t="shared" si="200"/>
        <v/>
      </c>
      <c r="I102" s="48" t="str">
        <f t="shared" si="201"/>
        <v/>
      </c>
      <c r="J102" s="48" t="str">
        <f t="shared" si="202"/>
        <v/>
      </c>
      <c r="K102" s="84" t="str">
        <f t="shared" si="203"/>
        <v/>
      </c>
      <c r="L102" s="82" t="str">
        <f t="shared" si="204"/>
        <v/>
      </c>
      <c r="M102" s="48" t="str">
        <f t="shared" si="205"/>
        <v/>
      </c>
      <c r="N102" s="48" t="str">
        <f t="shared" si="206"/>
        <v/>
      </c>
      <c r="O102" s="84" t="str">
        <f t="shared" si="207"/>
        <v/>
      </c>
      <c r="P102" s="82" t="str">
        <f t="shared" si="208"/>
        <v/>
      </c>
      <c r="Q102" s="48" t="str">
        <f t="shared" si="209"/>
        <v/>
      </c>
      <c r="R102" s="48" t="str">
        <f t="shared" si="210"/>
        <v/>
      </c>
      <c r="S102" s="84" t="str">
        <f t="shared" si="211"/>
        <v/>
      </c>
      <c r="T102" s="82" t="str">
        <f t="shared" si="212"/>
        <v/>
      </c>
      <c r="U102" s="48" t="str">
        <f t="shared" si="213"/>
        <v/>
      </c>
      <c r="V102" s="48" t="str">
        <f t="shared" si="214"/>
        <v/>
      </c>
      <c r="W102" s="84" t="str">
        <f t="shared" si="215"/>
        <v/>
      </c>
      <c r="X102" s="82" t="str">
        <f t="shared" si="216"/>
        <v/>
      </c>
      <c r="Y102" s="48" t="str">
        <f t="shared" si="217"/>
        <v/>
      </c>
      <c r="Z102" s="48" t="str">
        <f t="shared" si="218"/>
        <v/>
      </c>
      <c r="AA102" s="84" t="str">
        <f t="shared" si="219"/>
        <v/>
      </c>
      <c r="AB102" s="82" t="str">
        <f t="shared" si="220"/>
        <v/>
      </c>
      <c r="AC102" s="48" t="str">
        <f t="shared" si="221"/>
        <v/>
      </c>
      <c r="AD102" s="48" t="str">
        <f t="shared" si="222"/>
        <v/>
      </c>
      <c r="AE102" s="84" t="str">
        <f t="shared" si="223"/>
        <v/>
      </c>
      <c r="AF102" s="82" t="str">
        <f t="shared" si="224"/>
        <v/>
      </c>
      <c r="AG102" s="48" t="str">
        <f t="shared" si="225"/>
        <v/>
      </c>
      <c r="AH102" s="48" t="str">
        <f t="shared" si="226"/>
        <v/>
      </c>
      <c r="AI102" s="84" t="str">
        <f t="shared" si="227"/>
        <v/>
      </c>
      <c r="AJ102" s="82" t="str">
        <f t="shared" si="228"/>
        <v/>
      </c>
      <c r="AK102" s="48" t="str">
        <f t="shared" si="229"/>
        <v/>
      </c>
      <c r="AL102" s="48" t="str">
        <f t="shared" si="230"/>
        <v/>
      </c>
      <c r="AM102" s="84" t="str">
        <f t="shared" si="231"/>
        <v/>
      </c>
      <c r="AN102" s="82" t="str">
        <f t="shared" si="232"/>
        <v/>
      </c>
      <c r="AO102" s="48" t="str">
        <f t="shared" si="233"/>
        <v/>
      </c>
      <c r="AP102" s="48" t="str">
        <f t="shared" si="234"/>
        <v/>
      </c>
      <c r="AQ102" s="84" t="str">
        <f t="shared" si="235"/>
        <v/>
      </c>
      <c r="AR102" s="82" t="str">
        <f t="shared" si="236"/>
        <v/>
      </c>
      <c r="AS102" s="48" t="str">
        <f t="shared" si="237"/>
        <v/>
      </c>
      <c r="AT102" s="48" t="str">
        <f t="shared" si="238"/>
        <v/>
      </c>
      <c r="AU102" s="84" t="str">
        <f t="shared" si="239"/>
        <v/>
      </c>
      <c r="AV102" s="82" t="str">
        <f t="shared" si="240"/>
        <v/>
      </c>
      <c r="AW102" s="48" t="str">
        <f t="shared" si="241"/>
        <v/>
      </c>
      <c r="AX102" s="48" t="str">
        <f t="shared" si="242"/>
        <v/>
      </c>
      <c r="AY102" s="84" t="str">
        <f t="shared" si="243"/>
        <v/>
      </c>
      <c r="AZ102" s="82" t="str">
        <f t="shared" si="244"/>
        <v/>
      </c>
      <c r="BA102" s="48" t="str">
        <f t="shared" si="245"/>
        <v/>
      </c>
      <c r="BB102" s="48" t="str">
        <f t="shared" si="246"/>
        <v/>
      </c>
      <c r="BC102" s="84" t="str">
        <f t="shared" si="247"/>
        <v/>
      </c>
      <c r="BD102" s="82" t="str">
        <f t="shared" si="248"/>
        <v/>
      </c>
      <c r="BE102" s="48" t="str">
        <f t="shared" si="249"/>
        <v/>
      </c>
      <c r="BF102" s="48" t="str">
        <f t="shared" si="250"/>
        <v/>
      </c>
      <c r="BG102" s="84" t="str">
        <f t="shared" si="251"/>
        <v/>
      </c>
      <c r="BH102" s="87" t="str">
        <f t="shared" si="252"/>
        <v/>
      </c>
      <c r="BI102" s="49" t="str">
        <f t="shared" si="253"/>
        <v/>
      </c>
      <c r="BJ102" s="49" t="str">
        <f t="shared" si="254"/>
        <v/>
      </c>
      <c r="BK102" s="89" t="str">
        <f t="shared" si="255"/>
        <v/>
      </c>
      <c r="BL102" s="87" t="str">
        <f t="shared" si="256"/>
        <v/>
      </c>
      <c r="BM102" s="49" t="str">
        <f t="shared" si="257"/>
        <v/>
      </c>
      <c r="BN102" s="49" t="str">
        <f t="shared" si="258"/>
        <v/>
      </c>
      <c r="BO102" s="89" t="str">
        <f t="shared" si="259"/>
        <v/>
      </c>
      <c r="BP102" s="87" t="str">
        <f t="shared" si="260"/>
        <v/>
      </c>
      <c r="BQ102" s="49" t="str">
        <f t="shared" si="261"/>
        <v/>
      </c>
      <c r="BR102" s="49" t="str">
        <f t="shared" si="262"/>
        <v/>
      </c>
      <c r="BS102" s="89" t="str">
        <f t="shared" si="263"/>
        <v/>
      </c>
      <c r="BT102" s="87" t="str">
        <f t="shared" si="264"/>
        <v/>
      </c>
    </row>
    <row r="103" spans="2:72">
      <c r="B103" s="81">
        <f>Weekly!B95</f>
        <v>0</v>
      </c>
      <c r="C103" s="90">
        <f>Weekly!C95</f>
        <v>0</v>
      </c>
      <c r="D103" s="90">
        <f>Weekly!D102</f>
        <v>0</v>
      </c>
      <c r="E103" s="91" t="e">
        <f>VLOOKUP(B103,Team!$B$4:$E$183,4,FALSE)</f>
        <v>#N/A</v>
      </c>
      <c r="F103" s="92" t="str">
        <f>Weekly!S95</f>
        <v/>
      </c>
      <c r="G103" s="92" t="str">
        <f>Weekly!T95</f>
        <v/>
      </c>
      <c r="H103" s="48" t="str">
        <f t="shared" si="200"/>
        <v/>
      </c>
      <c r="I103" s="48" t="str">
        <f t="shared" si="201"/>
        <v/>
      </c>
      <c r="J103" s="48" t="str">
        <f t="shared" si="202"/>
        <v/>
      </c>
      <c r="K103" s="84" t="str">
        <f t="shared" si="203"/>
        <v/>
      </c>
      <c r="L103" s="82" t="str">
        <f t="shared" si="204"/>
        <v/>
      </c>
      <c r="M103" s="48" t="str">
        <f t="shared" si="205"/>
        <v/>
      </c>
      <c r="N103" s="48" t="str">
        <f t="shared" si="206"/>
        <v/>
      </c>
      <c r="O103" s="84" t="str">
        <f t="shared" si="207"/>
        <v/>
      </c>
      <c r="P103" s="82" t="str">
        <f t="shared" si="208"/>
        <v/>
      </c>
      <c r="Q103" s="48" t="str">
        <f t="shared" si="209"/>
        <v/>
      </c>
      <c r="R103" s="48" t="str">
        <f t="shared" si="210"/>
        <v/>
      </c>
      <c r="S103" s="84" t="str">
        <f t="shared" si="211"/>
        <v/>
      </c>
      <c r="T103" s="82" t="str">
        <f t="shared" si="212"/>
        <v/>
      </c>
      <c r="U103" s="48" t="str">
        <f t="shared" si="213"/>
        <v/>
      </c>
      <c r="V103" s="48" t="str">
        <f t="shared" si="214"/>
        <v/>
      </c>
      <c r="W103" s="84" t="str">
        <f t="shared" si="215"/>
        <v/>
      </c>
      <c r="X103" s="82" t="str">
        <f t="shared" si="216"/>
        <v/>
      </c>
      <c r="Y103" s="48" t="str">
        <f t="shared" si="217"/>
        <v/>
      </c>
      <c r="Z103" s="48" t="str">
        <f t="shared" si="218"/>
        <v/>
      </c>
      <c r="AA103" s="84" t="str">
        <f t="shared" si="219"/>
        <v/>
      </c>
      <c r="AB103" s="82" t="str">
        <f t="shared" si="220"/>
        <v/>
      </c>
      <c r="AC103" s="48" t="str">
        <f t="shared" si="221"/>
        <v/>
      </c>
      <c r="AD103" s="48" t="str">
        <f t="shared" si="222"/>
        <v/>
      </c>
      <c r="AE103" s="84" t="str">
        <f t="shared" si="223"/>
        <v/>
      </c>
      <c r="AF103" s="82" t="str">
        <f t="shared" si="224"/>
        <v/>
      </c>
      <c r="AG103" s="48" t="str">
        <f t="shared" si="225"/>
        <v/>
      </c>
      <c r="AH103" s="48" t="str">
        <f t="shared" si="226"/>
        <v/>
      </c>
      <c r="AI103" s="84" t="str">
        <f t="shared" si="227"/>
        <v/>
      </c>
      <c r="AJ103" s="82" t="str">
        <f t="shared" si="228"/>
        <v/>
      </c>
      <c r="AK103" s="48" t="str">
        <f t="shared" si="229"/>
        <v/>
      </c>
      <c r="AL103" s="48" t="str">
        <f t="shared" si="230"/>
        <v/>
      </c>
      <c r="AM103" s="84" t="str">
        <f t="shared" si="231"/>
        <v/>
      </c>
      <c r="AN103" s="82" t="str">
        <f t="shared" si="232"/>
        <v/>
      </c>
      <c r="AO103" s="48" t="str">
        <f t="shared" si="233"/>
        <v/>
      </c>
      <c r="AP103" s="48" t="str">
        <f t="shared" si="234"/>
        <v/>
      </c>
      <c r="AQ103" s="84" t="str">
        <f t="shared" si="235"/>
        <v/>
      </c>
      <c r="AR103" s="82" t="str">
        <f t="shared" si="236"/>
        <v/>
      </c>
      <c r="AS103" s="48" t="str">
        <f t="shared" si="237"/>
        <v/>
      </c>
      <c r="AT103" s="48" t="str">
        <f t="shared" si="238"/>
        <v/>
      </c>
      <c r="AU103" s="84" t="str">
        <f t="shared" si="239"/>
        <v/>
      </c>
      <c r="AV103" s="82" t="str">
        <f t="shared" si="240"/>
        <v/>
      </c>
      <c r="AW103" s="48" t="str">
        <f t="shared" si="241"/>
        <v/>
      </c>
      <c r="AX103" s="48" t="str">
        <f t="shared" si="242"/>
        <v/>
      </c>
      <c r="AY103" s="84" t="str">
        <f t="shared" si="243"/>
        <v/>
      </c>
      <c r="AZ103" s="82" t="str">
        <f t="shared" si="244"/>
        <v/>
      </c>
      <c r="BA103" s="48" t="str">
        <f t="shared" si="245"/>
        <v/>
      </c>
      <c r="BB103" s="48" t="str">
        <f t="shared" si="246"/>
        <v/>
      </c>
      <c r="BC103" s="84" t="str">
        <f t="shared" si="247"/>
        <v/>
      </c>
      <c r="BD103" s="82" t="str">
        <f t="shared" si="248"/>
        <v/>
      </c>
      <c r="BE103" s="48" t="str">
        <f t="shared" si="249"/>
        <v/>
      </c>
      <c r="BF103" s="48" t="str">
        <f t="shared" si="250"/>
        <v/>
      </c>
      <c r="BG103" s="84" t="str">
        <f t="shared" si="251"/>
        <v/>
      </c>
      <c r="BH103" s="87" t="str">
        <f t="shared" si="252"/>
        <v/>
      </c>
      <c r="BI103" s="49" t="str">
        <f t="shared" si="253"/>
        <v/>
      </c>
      <c r="BJ103" s="49" t="str">
        <f t="shared" si="254"/>
        <v/>
      </c>
      <c r="BK103" s="89" t="str">
        <f t="shared" si="255"/>
        <v/>
      </c>
      <c r="BL103" s="87" t="str">
        <f t="shared" si="256"/>
        <v/>
      </c>
      <c r="BM103" s="49" t="str">
        <f t="shared" si="257"/>
        <v/>
      </c>
      <c r="BN103" s="49" t="str">
        <f t="shared" si="258"/>
        <v/>
      </c>
      <c r="BO103" s="89" t="str">
        <f t="shared" si="259"/>
        <v/>
      </c>
      <c r="BP103" s="87" t="str">
        <f t="shared" si="260"/>
        <v/>
      </c>
      <c r="BQ103" s="49" t="str">
        <f t="shared" si="261"/>
        <v/>
      </c>
      <c r="BR103" s="49" t="str">
        <f t="shared" si="262"/>
        <v/>
      </c>
      <c r="BS103" s="89" t="str">
        <f t="shared" si="263"/>
        <v/>
      </c>
      <c r="BT103" s="87" t="str">
        <f t="shared" si="264"/>
        <v/>
      </c>
    </row>
  </sheetData>
  <sheetProtection algorithmName="SHA-512" hashValue="d+MSxXIY7dQby8rQq3Ao6FyLonJcAo8C/ABBQQZpf/KQhx7u78ynvbo8ubvRs6z6/ALak12ztLw3XsKz5zunJQ==" saltValue="ZldzGpPLpkMOLuu3VVmVOg==" spinCount="100000" sheet="1" formatCells="0" formatColumns="0" sort="0" autoFilter="0"/>
  <autoFilter ref="B16:BT103" xr:uid="{00000000-0009-0000-0000-000008000000}"/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398" priority="88" stopIfTrue="1" operator="equal">
      <formula>$T$3</formula>
    </cfRule>
    <cfRule type="containsBlanks" dxfId="397" priority="89" stopIfTrue="1">
      <formula>LEN(TRIM(H6))=0</formula>
    </cfRule>
    <cfRule type="cellIs" dxfId="396" priority="81" stopIfTrue="1" operator="equal">
      <formula>$AA$3</formula>
    </cfRule>
    <cfRule type="cellIs" dxfId="395" priority="78" stopIfTrue="1" operator="equal">
      <formula>$AD$3</formula>
    </cfRule>
    <cfRule type="cellIs" dxfId="394" priority="79" stopIfTrue="1" operator="equal">
      <formula>$AB$3</formula>
    </cfRule>
    <cfRule type="cellIs" dxfId="393" priority="80" stopIfTrue="1" operator="equal">
      <formula>$AC$3</formula>
    </cfRule>
    <cfRule type="cellIs" dxfId="392" priority="82" stopIfTrue="1" operator="equal">
      <formula>$Z$3</formula>
    </cfRule>
    <cfRule type="cellIs" dxfId="391" priority="83" stopIfTrue="1" operator="equal">
      <formula>$Y$3</formula>
    </cfRule>
    <cfRule type="cellIs" dxfId="390" priority="84" stopIfTrue="1" operator="equal">
      <formula>$X$3</formula>
    </cfRule>
    <cfRule type="cellIs" dxfId="389" priority="85" stopIfTrue="1" operator="equal">
      <formula>$W$3</formula>
    </cfRule>
    <cfRule type="cellIs" dxfId="388" priority="86" stopIfTrue="1" operator="equal">
      <formula>$V$3</formula>
    </cfRule>
    <cfRule type="cellIs" dxfId="387" priority="87" stopIfTrue="1" operator="equal">
      <formula>$U$3</formula>
    </cfRule>
  </conditionalFormatting>
  <conditionalFormatting sqref="H13:BS13">
    <cfRule type="cellIs" dxfId="386" priority="13" operator="equal">
      <formula>"FFR"</formula>
    </cfRule>
    <cfRule type="cellIs" dxfId="385" priority="14" operator="equal">
      <formula>"F"</formula>
    </cfRule>
    <cfRule type="cellIs" dxfId="384" priority="15" operator="equal">
      <formula>"PEN"</formula>
    </cfRule>
    <cfRule type="cellIs" dxfId="383" priority="16" operator="equal">
      <formula>"TW"</formula>
    </cfRule>
    <cfRule type="cellIs" dxfId="382" priority="17" operator="equal">
      <formula>"AD"</formula>
    </cfRule>
    <cfRule type="cellIs" dxfId="381" priority="18" operator="equal">
      <formula>"SY"</formula>
    </cfRule>
    <cfRule type="cellIs" dxfId="380" priority="19" operator="equal">
      <formula>"CSYS"</formula>
    </cfRule>
    <cfRule type="cellIs" dxfId="379" priority="20" operator="equal">
      <formula>"HHR"</formula>
    </cfRule>
    <cfRule type="cellIs" dxfId="378" priority="21" operator="equal">
      <formula>"HH"</formula>
    </cfRule>
    <cfRule type="cellIs" dxfId="377" priority="22" operator="equal">
      <formula>"STAFF"</formula>
    </cfRule>
    <cfRule type="cellIs" dxfId="376" priority="23" operator="equal">
      <formula>"LINW"</formula>
    </cfRule>
    <cfRule type="cellIs" dxfId="375" priority="24" operator="equal">
      <formula>"MINW"</formula>
    </cfRule>
    <cfRule type="cellIs" dxfId="374" priority="25" operator="equal">
      <formula>"ACC"</formula>
    </cfRule>
    <cfRule type="cellIs" dxfId="373" priority="26" operator="equal">
      <formula>"H"</formula>
    </cfRule>
    <cfRule type="cellIs" dxfId="372" priority="27" operator="equal">
      <formula>"ASM"</formula>
    </cfRule>
    <cfRule type="cellIs" dxfId="371" priority="28" operator="equal">
      <formula>"SM"</formula>
    </cfRule>
    <cfRule type="cellIs" dxfId="370" priority="8" operator="equal">
      <formula>"TEA"</formula>
    </cfRule>
    <cfRule type="cellIs" dxfId="369" priority="30" operator="equal">
      <formula>"H3"</formula>
    </cfRule>
    <cfRule type="cellIs" dxfId="368" priority="31" operator="equal">
      <formula>"H2"</formula>
    </cfRule>
    <cfRule type="cellIs" dxfId="367" priority="32" operator="equal">
      <formula>"H1"</formula>
    </cfRule>
    <cfRule type="cellIs" dxfId="366" priority="1" operator="equal">
      <formula>"R6"</formula>
    </cfRule>
    <cfRule type="cellIs" dxfId="365" priority="2" operator="equal">
      <formula>"R5"</formula>
    </cfRule>
    <cfRule type="cellIs" dxfId="364" priority="3" operator="equal">
      <formula>"R4"</formula>
    </cfRule>
    <cfRule type="cellIs" dxfId="363" priority="4" operator="equal">
      <formula>"R3"</formula>
    </cfRule>
    <cfRule type="cellIs" dxfId="362" priority="5" operator="equal">
      <formula>"R2"</formula>
    </cfRule>
    <cfRule type="cellIs" dxfId="361" priority="29" operator="equal">
      <formula>"EMB"</formula>
    </cfRule>
    <cfRule type="cellIs" dxfId="360" priority="6" operator="equal">
      <formula>"R1"</formula>
    </cfRule>
    <cfRule type="cellIs" dxfId="359" priority="7" operator="equal">
      <formula>"R"</formula>
    </cfRule>
    <cfRule type="cellIs" dxfId="358" priority="9" operator="equal">
      <formula>"BIN"</formula>
    </cfRule>
    <cfRule type="cellIs" dxfId="357" priority="10" operator="equal">
      <formula>"KIDS"</formula>
    </cfRule>
    <cfRule type="cellIs" dxfId="356" priority="11" operator="equal">
      <formula>"CR"</formula>
    </cfRule>
    <cfRule type="cellIs" dxfId="355" priority="12" operator="equal">
      <formula>"FB"</formula>
    </cfRule>
  </conditionalFormatting>
  <conditionalFormatting sqref="H15:BS15">
    <cfRule type="containsBlanks" dxfId="354" priority="77" stopIfTrue="1">
      <formula>LEN(TRIM(H15))=0</formula>
    </cfRule>
    <cfRule type="cellIs" dxfId="353" priority="67" stopIfTrue="1" operator="equal">
      <formula>$AB$3</formula>
    </cfRule>
    <cfRule type="cellIs" dxfId="352" priority="68" stopIfTrue="1" operator="equal">
      <formula>$AC$3</formula>
    </cfRule>
    <cfRule type="cellIs" dxfId="351" priority="69" stopIfTrue="1" operator="equal">
      <formula>$AA$3</formula>
    </cfRule>
    <cfRule type="cellIs" dxfId="350" priority="70" stopIfTrue="1" operator="equal">
      <formula>$Z$3</formula>
    </cfRule>
    <cfRule type="cellIs" dxfId="349" priority="71" stopIfTrue="1" operator="equal">
      <formula>$Y$3</formula>
    </cfRule>
    <cfRule type="cellIs" dxfId="348" priority="72" stopIfTrue="1" operator="equal">
      <formula>$X$3</formula>
    </cfRule>
    <cfRule type="cellIs" dxfId="347" priority="73" stopIfTrue="1" operator="equal">
      <formula>$W$3</formula>
    </cfRule>
    <cfRule type="cellIs" dxfId="346" priority="66" stopIfTrue="1" operator="equal">
      <formula>$AD$3</formula>
    </cfRule>
    <cfRule type="cellIs" dxfId="345" priority="75" stopIfTrue="1" operator="equal">
      <formula>$U$3</formula>
    </cfRule>
    <cfRule type="cellIs" dxfId="344" priority="76" stopIfTrue="1" operator="equal">
      <formula>$T$3</formula>
    </cfRule>
    <cfRule type="cellIs" dxfId="343" priority="74" stopIfTrue="1" operator="equal">
      <formula>$V$3</formula>
    </cfRule>
  </conditionalFormatting>
  <conditionalFormatting sqref="H7:BT12">
    <cfRule type="cellIs" dxfId="342" priority="121" operator="equal">
      <formula>"H1"</formula>
    </cfRule>
    <cfRule type="cellIs" dxfId="341" priority="90" operator="equal">
      <formula>"R6"</formula>
    </cfRule>
    <cfRule type="cellIs" dxfId="340" priority="91" operator="equal">
      <formula>"R5"</formula>
    </cfRule>
    <cfRule type="cellIs" dxfId="339" priority="92" operator="equal">
      <formula>"R4"</formula>
    </cfRule>
    <cfRule type="cellIs" dxfId="338" priority="93" operator="equal">
      <formula>"R3"</formula>
    </cfRule>
    <cfRule type="cellIs" dxfId="337" priority="94" operator="equal">
      <formula>"R2"</formula>
    </cfRule>
    <cfRule type="cellIs" dxfId="336" priority="95" operator="equal">
      <formula>"R1"</formula>
    </cfRule>
    <cfRule type="cellIs" dxfId="335" priority="96" operator="equal">
      <formula>"R"</formula>
    </cfRule>
    <cfRule type="cellIs" dxfId="334" priority="97" operator="equal">
      <formula>"TEA"</formula>
    </cfRule>
    <cfRule type="cellIs" dxfId="333" priority="98" operator="equal">
      <formula>"BIN"</formula>
    </cfRule>
    <cfRule type="cellIs" dxfId="332" priority="99" operator="equal">
      <formula>"KIDS"</formula>
    </cfRule>
    <cfRule type="cellIs" dxfId="331" priority="100" operator="equal">
      <formula>"CR"</formula>
    </cfRule>
    <cfRule type="cellIs" dxfId="330" priority="101" operator="equal">
      <formula>"FB"</formula>
    </cfRule>
    <cfRule type="cellIs" dxfId="329" priority="102" operator="equal">
      <formula>"FFR"</formula>
    </cfRule>
    <cfRule type="cellIs" dxfId="328" priority="103" operator="equal">
      <formula>"F"</formula>
    </cfRule>
    <cfRule type="cellIs" dxfId="327" priority="104" operator="equal">
      <formula>"PEN"</formula>
    </cfRule>
    <cfRule type="cellIs" dxfId="326" priority="105" operator="equal">
      <formula>"TW"</formula>
    </cfRule>
    <cfRule type="cellIs" dxfId="325" priority="106" operator="equal">
      <formula>"AD"</formula>
    </cfRule>
    <cfRule type="cellIs" dxfId="324" priority="107" operator="equal">
      <formula>"SY"</formula>
    </cfRule>
    <cfRule type="cellIs" dxfId="323" priority="108" operator="equal">
      <formula>"CSYS"</formula>
    </cfRule>
    <cfRule type="cellIs" dxfId="322" priority="109" operator="equal">
      <formula>"HHR"</formula>
    </cfRule>
    <cfRule type="cellIs" dxfId="321" priority="110" operator="equal">
      <formula>"HH"</formula>
    </cfRule>
    <cfRule type="cellIs" dxfId="320" priority="111" operator="equal">
      <formula>"STAFF"</formula>
    </cfRule>
    <cfRule type="cellIs" dxfId="319" priority="112" operator="equal">
      <formula>"LINW"</formula>
    </cfRule>
    <cfRule type="cellIs" dxfId="318" priority="113" operator="equal">
      <formula>"MINW"</formula>
    </cfRule>
    <cfRule type="cellIs" dxfId="317" priority="114" operator="equal">
      <formula>"ACC"</formula>
    </cfRule>
    <cfRule type="cellIs" dxfId="316" priority="115" operator="equal">
      <formula>"H"</formula>
    </cfRule>
    <cfRule type="cellIs" dxfId="315" priority="116" operator="equal">
      <formula>"ASM"</formula>
    </cfRule>
    <cfRule type="cellIs" dxfId="314" priority="117" operator="equal">
      <formula>"SM"</formula>
    </cfRule>
    <cfRule type="cellIs" dxfId="313" priority="118" operator="equal">
      <formula>"EMB"</formula>
    </cfRule>
    <cfRule type="cellIs" dxfId="312" priority="119" operator="equal">
      <formula>"H3"</formula>
    </cfRule>
    <cfRule type="cellIs" dxfId="311" priority="120" operator="equal">
      <formula>"H2"</formula>
    </cfRule>
  </conditionalFormatting>
  <conditionalFormatting sqref="H17:BT103">
    <cfRule type="cellIs" dxfId="310" priority="126" stopIfTrue="1" operator="equal">
      <formula>$Z$3</formula>
    </cfRule>
    <cfRule type="cellIs" dxfId="309" priority="122" stopIfTrue="1" operator="equal">
      <formula>$AD$3</formula>
    </cfRule>
    <cfRule type="cellIs" dxfId="308" priority="123" stopIfTrue="1" operator="equal">
      <formula>$AB$3</formula>
    </cfRule>
    <cfRule type="cellIs" dxfId="307" priority="124" stopIfTrue="1" operator="equal">
      <formula>$AC$3</formula>
    </cfRule>
    <cfRule type="cellIs" dxfId="306" priority="125" stopIfTrue="1" operator="equal">
      <formula>$AA$3</formula>
    </cfRule>
    <cfRule type="cellIs" dxfId="305" priority="131" stopIfTrue="1" operator="equal">
      <formula>$U$3</formula>
    </cfRule>
    <cfRule type="cellIs" dxfId="304" priority="127" stopIfTrue="1" operator="equal">
      <formula>$Y$3</formula>
    </cfRule>
    <cfRule type="cellIs" dxfId="303" priority="128" stopIfTrue="1" operator="equal">
      <formula>$X$3</formula>
    </cfRule>
    <cfRule type="cellIs" dxfId="302" priority="129" stopIfTrue="1" operator="equal">
      <formula>$W$3</formula>
    </cfRule>
    <cfRule type="cellIs" dxfId="301" priority="130" stopIfTrue="1" operator="equal">
      <formula>$V$3</formula>
    </cfRule>
    <cfRule type="cellIs" dxfId="300" priority="132" stopIfTrue="1" operator="equal">
      <formula>$T$3</formula>
    </cfRule>
    <cfRule type="containsBlanks" dxfId="299" priority="133" stopIfTrue="1">
      <formula>LEN(TRIM(H17))=0</formula>
    </cfRule>
  </conditionalFormatting>
  <conditionalFormatting sqref="T3:AW3">
    <cfRule type="containsBlanks" dxfId="298" priority="65" stopIfTrue="1">
      <formula>LEN(TRIM(T3))=0</formula>
    </cfRule>
  </conditionalFormatting>
  <conditionalFormatting sqref="BT5:BT6 H16:BJ16">
    <cfRule type="cellIs" dxfId="297" priority="161" operator="equal">
      <formula>"R6"</formula>
    </cfRule>
    <cfRule type="cellIs" dxfId="296" priority="162" operator="equal">
      <formula>"R5"</formula>
    </cfRule>
    <cfRule type="cellIs" dxfId="295" priority="163" operator="equal">
      <formula>"R4"</formula>
    </cfRule>
    <cfRule type="cellIs" dxfId="294" priority="164" operator="equal">
      <formula>"R3"</formula>
    </cfRule>
    <cfRule type="cellIs" dxfId="293" priority="165" operator="equal">
      <formula>"R2"</formula>
    </cfRule>
    <cfRule type="cellIs" dxfId="292" priority="166" operator="equal">
      <formula>"R1"</formula>
    </cfRule>
    <cfRule type="cellIs" dxfId="291" priority="167" operator="equal">
      <formula>"R"</formula>
    </cfRule>
    <cfRule type="cellIs" dxfId="290" priority="168" operator="equal">
      <formula>"TEA"</formula>
    </cfRule>
    <cfRule type="cellIs" dxfId="289" priority="169" operator="equal">
      <formula>"BIN"</formula>
    </cfRule>
    <cfRule type="cellIs" dxfId="288" priority="170" operator="equal">
      <formula>"KIDS"</formula>
    </cfRule>
    <cfRule type="cellIs" dxfId="287" priority="171" operator="equal">
      <formula>"CR"</formula>
    </cfRule>
    <cfRule type="cellIs" dxfId="286" priority="172" operator="equal">
      <formula>"FB"</formula>
    </cfRule>
    <cfRule type="cellIs" dxfId="285" priority="173" operator="equal">
      <formula>"FFR"</formula>
    </cfRule>
    <cfRule type="cellIs" dxfId="284" priority="174" operator="equal">
      <formula>"F"</formula>
    </cfRule>
    <cfRule type="cellIs" dxfId="283" priority="175" operator="equal">
      <formula>"PEN"</formula>
    </cfRule>
    <cfRule type="cellIs" dxfId="282" priority="176" operator="equal">
      <formula>"TW"</formula>
    </cfRule>
    <cfRule type="cellIs" dxfId="281" priority="177" operator="equal">
      <formula>"AD"</formula>
    </cfRule>
    <cfRule type="cellIs" dxfId="280" priority="178" operator="equal">
      <formula>"SY"</formula>
    </cfRule>
    <cfRule type="cellIs" dxfId="279" priority="179" operator="equal">
      <formula>"CSYS"</formula>
    </cfRule>
    <cfRule type="cellIs" dxfId="278" priority="180" operator="equal">
      <formula>"HHR"</formula>
    </cfRule>
    <cfRule type="cellIs" dxfId="277" priority="181" operator="equal">
      <formula>"HH"</formula>
    </cfRule>
    <cfRule type="cellIs" dxfId="276" priority="182" operator="equal">
      <formula>"STAFF"</formula>
    </cfRule>
    <cfRule type="cellIs" dxfId="275" priority="183" operator="equal">
      <formula>"LINW"</formula>
    </cfRule>
    <cfRule type="cellIs" dxfId="274" priority="184" operator="equal">
      <formula>"MINW"</formula>
    </cfRule>
    <cfRule type="cellIs" dxfId="273" priority="185" operator="equal">
      <formula>"ACC"</formula>
    </cfRule>
    <cfRule type="cellIs" dxfId="272" priority="186" operator="equal">
      <formula>"H"</formula>
    </cfRule>
    <cfRule type="cellIs" dxfId="271" priority="187" operator="equal">
      <formula>"ASM"</formula>
    </cfRule>
    <cfRule type="cellIs" dxfId="270" priority="188" operator="equal">
      <formula>"SM"</formula>
    </cfRule>
    <cfRule type="cellIs" dxfId="269" priority="189" operator="equal">
      <formula>"EMB"</formula>
    </cfRule>
    <cfRule type="cellIs" dxfId="268" priority="190" operator="equal">
      <formula>"H3"</formula>
    </cfRule>
    <cfRule type="cellIs" dxfId="267" priority="191" operator="equal">
      <formula>"H2"</formula>
    </cfRule>
    <cfRule type="cellIs" dxfId="266" priority="192" operator="equal">
      <formula>"H1"</formula>
    </cfRule>
  </conditionalFormatting>
  <pageMargins left="0.7" right="0.7" top="0.75" bottom="0.75" header="0.3" footer="0.3"/>
  <ignoredErrors>
    <ignoredError sqref="H72:BT103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</sheetPr>
  <dimension ref="B1:BT103"/>
  <sheetViews>
    <sheetView topLeftCell="F1" zoomScale="70" zoomScaleNormal="70" workbookViewId="0">
      <selection activeCell="BH1" sqref="BH1:BT1048576"/>
    </sheetView>
  </sheetViews>
  <sheetFormatPr defaultColWidth="8.85546875" defaultRowHeight="12.6" outlineLevelCol="1"/>
  <cols>
    <col min="1" max="1" width="1.5703125" style="93" customWidth="1"/>
    <col min="2" max="2" width="5" style="93" customWidth="1"/>
    <col min="3" max="3" width="17.42578125" style="93" bestFit="1" customWidth="1"/>
    <col min="4" max="4" width="11.140625" style="93" hidden="1" customWidth="1"/>
    <col min="5" max="5" width="6.140625" style="93" customWidth="1"/>
    <col min="6" max="7" width="8" style="93" customWidth="1"/>
    <col min="8" max="9" width="3.85546875" style="94" hidden="1" customWidth="1" outlineLevel="1"/>
    <col min="10" max="10" width="3.85546875" style="94" hidden="1" customWidth="1" collapsed="1"/>
    <col min="11" max="15" width="3.85546875" style="94" hidden="1" customWidth="1"/>
    <col min="16" max="57" width="3.85546875" style="94" customWidth="1"/>
    <col min="58" max="59" width="3.85546875" style="94" customWidth="1" outlineLevel="1"/>
    <col min="60" max="71" width="3.85546875" style="93" hidden="1" customWidth="1" outlineLevel="1"/>
    <col min="72" max="72" width="4.85546875" style="93" hidden="1" customWidth="1" outlineLevel="1"/>
    <col min="73" max="16384" width="8.85546875" style="93"/>
  </cols>
  <sheetData>
    <row r="1" spans="2:72" customFormat="1" ht="5.45" customHeight="1"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1"/>
      <c r="BE1" s="1"/>
      <c r="BF1" s="1"/>
      <c r="BG1" s="1"/>
    </row>
    <row r="2" spans="2:72" customFormat="1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38" t="s">
        <v>327</v>
      </c>
      <c r="U2" s="138"/>
      <c r="V2" s="138"/>
      <c r="W2" s="138"/>
      <c r="X2" s="138"/>
      <c r="Y2" s="138" t="s">
        <v>229</v>
      </c>
      <c r="Z2" s="138"/>
      <c r="AA2" s="138"/>
      <c r="AB2" s="138"/>
      <c r="AC2" s="138"/>
      <c r="AD2" s="47" t="s">
        <v>231</v>
      </c>
      <c r="AE2" s="138" t="s">
        <v>328</v>
      </c>
      <c r="AF2" s="138"/>
      <c r="AG2" s="138"/>
      <c r="AH2" s="138" t="s">
        <v>329</v>
      </c>
      <c r="AI2" s="138"/>
      <c r="AJ2" s="138"/>
      <c r="AK2" s="138"/>
      <c r="AL2" s="138" t="s">
        <v>330</v>
      </c>
      <c r="AM2" s="138"/>
      <c r="AN2" s="138" t="s">
        <v>248</v>
      </c>
      <c r="AO2" s="138"/>
      <c r="AP2" s="138"/>
      <c r="AQ2" s="138"/>
      <c r="AR2" s="138"/>
      <c r="AS2" s="138"/>
      <c r="AT2" s="138" t="s">
        <v>331</v>
      </c>
      <c r="AU2" s="138"/>
      <c r="AV2" s="138"/>
      <c r="AW2" s="138"/>
      <c r="AX2" s="2"/>
      <c r="AY2" s="2"/>
      <c r="AZ2" s="2"/>
      <c r="BA2" s="2"/>
      <c r="BB2" s="2"/>
      <c r="BC2" s="1"/>
      <c r="BD2" s="1"/>
      <c r="BE2" s="1"/>
      <c r="BF2" s="1"/>
      <c r="BG2" s="1"/>
    </row>
    <row r="3" spans="2:72" customForma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6" t="s">
        <v>210</v>
      </c>
      <c r="U3" s="17" t="s">
        <v>212</v>
      </c>
      <c r="V3" s="18" t="s">
        <v>214</v>
      </c>
      <c r="W3" s="20" t="s">
        <v>216</v>
      </c>
      <c r="X3" s="19" t="s">
        <v>218</v>
      </c>
      <c r="Y3" s="11" t="s">
        <v>220</v>
      </c>
      <c r="Z3" s="12" t="s">
        <v>222</v>
      </c>
      <c r="AA3" s="14" t="s">
        <v>224</v>
      </c>
      <c r="AB3" s="15" t="s">
        <v>226</v>
      </c>
      <c r="AC3" s="13" t="s">
        <v>228</v>
      </c>
      <c r="AD3" s="42" t="s">
        <v>230</v>
      </c>
      <c r="AE3" s="46">
        <v>40</v>
      </c>
      <c r="AF3" s="46">
        <v>15</v>
      </c>
      <c r="AG3" s="46">
        <v>10</v>
      </c>
      <c r="AH3" s="40" t="s">
        <v>235</v>
      </c>
      <c r="AI3" s="41" t="s">
        <v>237</v>
      </c>
      <c r="AJ3" s="45" t="s">
        <v>239</v>
      </c>
      <c r="AK3" s="21" t="s">
        <v>241</v>
      </c>
      <c r="AL3" s="43" t="s">
        <v>243</v>
      </c>
      <c r="AM3" s="44" t="s">
        <v>245</v>
      </c>
      <c r="AN3" s="39" t="s">
        <v>247</v>
      </c>
      <c r="AO3" s="39" t="s">
        <v>249</v>
      </c>
      <c r="AP3" s="39" t="s">
        <v>251</v>
      </c>
      <c r="AQ3" s="39" t="s">
        <v>253</v>
      </c>
      <c r="AR3" s="39" t="s">
        <v>255</v>
      </c>
      <c r="AS3" s="39" t="s">
        <v>257</v>
      </c>
      <c r="AT3" s="10" t="s">
        <v>259</v>
      </c>
      <c r="AU3" s="10" t="s">
        <v>261</v>
      </c>
      <c r="AV3" s="10" t="s">
        <v>263</v>
      </c>
      <c r="AW3" s="10" t="s">
        <v>265</v>
      </c>
      <c r="AX3" s="2"/>
      <c r="AY3" s="2"/>
      <c r="AZ3" s="2"/>
      <c r="BA3" s="2"/>
      <c r="BB3" s="2"/>
      <c r="BC3" s="1"/>
      <c r="BD3" s="1"/>
      <c r="BE3" s="1"/>
      <c r="BF3" s="1"/>
      <c r="BG3" s="1"/>
    </row>
    <row r="4" spans="2:72" customFormat="1" ht="6" customHeight="1"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1"/>
      <c r="BD4" s="1"/>
      <c r="BE4" s="1"/>
      <c r="BF4" s="1"/>
      <c r="BG4" s="1"/>
    </row>
    <row r="5" spans="2:72" customFormat="1" ht="10.7" customHeight="1">
      <c r="C5" s="8" t="str">
        <f>Weekly!V2</f>
        <v xml:space="preserve"> Sat Nov 15</v>
      </c>
      <c r="H5" s="139">
        <v>7</v>
      </c>
      <c r="I5" s="140"/>
      <c r="J5" s="140"/>
      <c r="K5" s="141"/>
      <c r="L5" s="139">
        <v>8</v>
      </c>
      <c r="M5" s="140"/>
      <c r="N5" s="140"/>
      <c r="O5" s="141"/>
      <c r="P5" s="139">
        <v>9</v>
      </c>
      <c r="Q5" s="140"/>
      <c r="R5" s="140"/>
      <c r="S5" s="141"/>
      <c r="T5" s="139">
        <v>10</v>
      </c>
      <c r="U5" s="140"/>
      <c r="V5" s="140"/>
      <c r="W5" s="141"/>
      <c r="X5" s="139">
        <v>11</v>
      </c>
      <c r="Y5" s="140"/>
      <c r="Z5" s="140"/>
      <c r="AA5" s="141"/>
      <c r="AB5" s="139">
        <v>12</v>
      </c>
      <c r="AC5" s="140"/>
      <c r="AD5" s="140"/>
      <c r="AE5" s="141"/>
      <c r="AF5" s="139">
        <v>13</v>
      </c>
      <c r="AG5" s="140"/>
      <c r="AH5" s="140"/>
      <c r="AI5" s="141"/>
      <c r="AJ5" s="139">
        <v>14</v>
      </c>
      <c r="AK5" s="140"/>
      <c r="AL5" s="140"/>
      <c r="AM5" s="141"/>
      <c r="AN5" s="139">
        <v>15</v>
      </c>
      <c r="AO5" s="140"/>
      <c r="AP5" s="140"/>
      <c r="AQ5" s="141"/>
      <c r="AR5" s="139">
        <v>16</v>
      </c>
      <c r="AS5" s="140"/>
      <c r="AT5" s="140"/>
      <c r="AU5" s="141"/>
      <c r="AV5" s="139">
        <v>17</v>
      </c>
      <c r="AW5" s="140"/>
      <c r="AX5" s="140"/>
      <c r="AY5" s="141"/>
      <c r="AZ5" s="139">
        <v>18</v>
      </c>
      <c r="BA5" s="140"/>
      <c r="BB5" s="140"/>
      <c r="BC5" s="141"/>
      <c r="BD5" s="139">
        <v>19</v>
      </c>
      <c r="BE5" s="140"/>
      <c r="BF5" s="140"/>
      <c r="BG5" s="141"/>
      <c r="BH5" s="139">
        <v>20</v>
      </c>
      <c r="BI5" s="140"/>
      <c r="BJ5" s="140"/>
      <c r="BK5" s="141"/>
      <c r="BL5" s="139">
        <v>21</v>
      </c>
      <c r="BM5" s="140"/>
      <c r="BN5" s="140"/>
      <c r="BO5" s="141"/>
      <c r="BP5" s="139">
        <v>22</v>
      </c>
      <c r="BQ5" s="140"/>
      <c r="BR5" s="140"/>
      <c r="BS5" s="141"/>
      <c r="BT5" s="6">
        <v>0.95833333333332604</v>
      </c>
    </row>
    <row r="6" spans="2:72" customFormat="1" ht="12.95">
      <c r="C6" s="8"/>
      <c r="H6" s="100" t="s">
        <v>332</v>
      </c>
      <c r="I6" s="98">
        <v>15</v>
      </c>
      <c r="J6" s="98">
        <v>30</v>
      </c>
      <c r="K6" s="99">
        <v>45</v>
      </c>
      <c r="L6" s="100" t="s">
        <v>332</v>
      </c>
      <c r="M6" s="98">
        <v>15</v>
      </c>
      <c r="N6" s="98">
        <v>30</v>
      </c>
      <c r="O6" s="99">
        <v>45</v>
      </c>
      <c r="P6" s="100" t="s">
        <v>332</v>
      </c>
      <c r="Q6" s="98">
        <v>15</v>
      </c>
      <c r="R6" s="98">
        <v>30</v>
      </c>
      <c r="S6" s="99">
        <v>45</v>
      </c>
      <c r="T6" s="100" t="s">
        <v>332</v>
      </c>
      <c r="U6" s="98">
        <v>15</v>
      </c>
      <c r="V6" s="98">
        <v>30</v>
      </c>
      <c r="W6" s="99">
        <v>45</v>
      </c>
      <c r="X6" s="100" t="s">
        <v>332</v>
      </c>
      <c r="Y6" s="98">
        <v>15</v>
      </c>
      <c r="Z6" s="98">
        <v>30</v>
      </c>
      <c r="AA6" s="99">
        <v>45</v>
      </c>
      <c r="AB6" s="100" t="s">
        <v>332</v>
      </c>
      <c r="AC6" s="98">
        <v>15</v>
      </c>
      <c r="AD6" s="98">
        <v>30</v>
      </c>
      <c r="AE6" s="99">
        <v>45</v>
      </c>
      <c r="AF6" s="100" t="s">
        <v>332</v>
      </c>
      <c r="AG6" s="98">
        <v>15</v>
      </c>
      <c r="AH6" s="98">
        <v>30</v>
      </c>
      <c r="AI6" s="99">
        <v>45</v>
      </c>
      <c r="AJ6" s="100" t="s">
        <v>332</v>
      </c>
      <c r="AK6" s="98">
        <v>15</v>
      </c>
      <c r="AL6" s="98">
        <v>30</v>
      </c>
      <c r="AM6" s="99">
        <v>45</v>
      </c>
      <c r="AN6" s="100" t="s">
        <v>332</v>
      </c>
      <c r="AO6" s="98">
        <v>15</v>
      </c>
      <c r="AP6" s="98">
        <v>30</v>
      </c>
      <c r="AQ6" s="99">
        <v>45</v>
      </c>
      <c r="AR6" s="100" t="s">
        <v>332</v>
      </c>
      <c r="AS6" s="98">
        <v>15</v>
      </c>
      <c r="AT6" s="98">
        <v>30</v>
      </c>
      <c r="AU6" s="99">
        <v>45</v>
      </c>
      <c r="AV6" s="100" t="s">
        <v>332</v>
      </c>
      <c r="AW6" s="98">
        <v>15</v>
      </c>
      <c r="AX6" s="98">
        <v>30</v>
      </c>
      <c r="AY6" s="99">
        <v>45</v>
      </c>
      <c r="AZ6" s="100" t="s">
        <v>332</v>
      </c>
      <c r="BA6" s="98">
        <v>15</v>
      </c>
      <c r="BB6" s="98">
        <v>30</v>
      </c>
      <c r="BC6" s="99">
        <v>45</v>
      </c>
      <c r="BD6" s="100" t="s">
        <v>332</v>
      </c>
      <c r="BE6" s="98">
        <v>15</v>
      </c>
      <c r="BF6" s="98">
        <v>30</v>
      </c>
      <c r="BG6" s="99">
        <v>45</v>
      </c>
      <c r="BH6" s="100" t="s">
        <v>332</v>
      </c>
      <c r="BI6" s="98">
        <v>15</v>
      </c>
      <c r="BJ6" s="98">
        <v>30</v>
      </c>
      <c r="BK6" s="99">
        <v>45</v>
      </c>
      <c r="BL6" s="100" t="s">
        <v>332</v>
      </c>
      <c r="BM6" s="98">
        <v>15</v>
      </c>
      <c r="BN6" s="98">
        <v>30</v>
      </c>
      <c r="BO6" s="99">
        <v>45</v>
      </c>
      <c r="BP6" s="100" t="s">
        <v>332</v>
      </c>
      <c r="BQ6" s="98">
        <v>15</v>
      </c>
      <c r="BR6" s="98">
        <v>30</v>
      </c>
      <c r="BS6" s="99">
        <v>45</v>
      </c>
      <c r="BT6" s="6"/>
    </row>
    <row r="7" spans="2:72" customFormat="1" ht="10.35" customHeight="1">
      <c r="G7" s="24" t="s">
        <v>236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customFormat="1" ht="10.35" customHeight="1">
      <c r="G8" s="24" t="s">
        <v>238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customFormat="1" ht="10.35" customHeight="1">
      <c r="G9" s="24" t="s">
        <v>333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customFormat="1" ht="10.35" customHeight="1">
      <c r="G10" s="24" t="s">
        <v>242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customFormat="1" ht="10.35" customHeight="1">
      <c r="G11" s="23" t="s">
        <v>334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0</v>
      </c>
      <c r="O11" s="22">
        <f t="shared" si="4"/>
        <v>0</v>
      </c>
      <c r="P11" s="22">
        <f t="shared" si="4"/>
        <v>6</v>
      </c>
      <c r="Q11" s="22">
        <f t="shared" si="4"/>
        <v>6</v>
      </c>
      <c r="R11" s="22">
        <f t="shared" si="4"/>
        <v>6</v>
      </c>
      <c r="S11" s="22">
        <f t="shared" si="4"/>
        <v>6</v>
      </c>
      <c r="T11" s="22">
        <f t="shared" si="4"/>
        <v>6</v>
      </c>
      <c r="U11" s="22">
        <f t="shared" si="4"/>
        <v>6</v>
      </c>
      <c r="V11" s="22">
        <f t="shared" si="4"/>
        <v>6</v>
      </c>
      <c r="W11" s="22">
        <f t="shared" si="4"/>
        <v>6</v>
      </c>
      <c r="X11" s="22">
        <f t="shared" si="4"/>
        <v>7</v>
      </c>
      <c r="Y11" s="22">
        <f t="shared" si="4"/>
        <v>7</v>
      </c>
      <c r="Z11" s="22">
        <f t="shared" si="4"/>
        <v>7</v>
      </c>
      <c r="AA11" s="22">
        <f t="shared" si="4"/>
        <v>7</v>
      </c>
      <c r="AB11" s="22">
        <f t="shared" si="4"/>
        <v>13</v>
      </c>
      <c r="AC11" s="22">
        <f t="shared" si="4"/>
        <v>13</v>
      </c>
      <c r="AD11" s="22">
        <f t="shared" si="4"/>
        <v>13</v>
      </c>
      <c r="AE11" s="22">
        <f t="shared" si="4"/>
        <v>13</v>
      </c>
      <c r="AF11" s="22">
        <f t="shared" si="4"/>
        <v>13</v>
      </c>
      <c r="AG11" s="22">
        <f t="shared" si="4"/>
        <v>13</v>
      </c>
      <c r="AH11" s="22">
        <f t="shared" si="4"/>
        <v>13</v>
      </c>
      <c r="AI11" s="22">
        <f t="shared" si="4"/>
        <v>13</v>
      </c>
      <c r="AJ11" s="22">
        <f t="shared" si="4"/>
        <v>12</v>
      </c>
      <c r="AK11" s="22">
        <f t="shared" si="4"/>
        <v>12</v>
      </c>
      <c r="AL11" s="22">
        <f t="shared" si="4"/>
        <v>12</v>
      </c>
      <c r="AM11" s="22">
        <f t="shared" si="4"/>
        <v>12</v>
      </c>
      <c r="AN11" s="22">
        <f t="shared" si="4"/>
        <v>13</v>
      </c>
      <c r="AO11" s="22">
        <f t="shared" si="4"/>
        <v>13</v>
      </c>
      <c r="AP11" s="22">
        <f t="shared" si="4"/>
        <v>13</v>
      </c>
      <c r="AQ11" s="22">
        <f t="shared" si="4"/>
        <v>13</v>
      </c>
      <c r="AR11" s="22">
        <f t="shared" si="4"/>
        <v>13</v>
      </c>
      <c r="AS11" s="22">
        <f t="shared" si="4"/>
        <v>13</v>
      </c>
      <c r="AT11" s="22">
        <f t="shared" si="4"/>
        <v>13</v>
      </c>
      <c r="AU11" s="22">
        <f t="shared" si="4"/>
        <v>13</v>
      </c>
      <c r="AV11" s="22">
        <f t="shared" si="4"/>
        <v>8</v>
      </c>
      <c r="AW11" s="22">
        <f t="shared" si="4"/>
        <v>8</v>
      </c>
      <c r="AX11" s="22">
        <f t="shared" si="4"/>
        <v>8</v>
      </c>
      <c r="AY11" s="22">
        <f t="shared" si="4"/>
        <v>8</v>
      </c>
      <c r="AZ11" s="22">
        <f t="shared" si="4"/>
        <v>8</v>
      </c>
      <c r="BA11" s="22">
        <f t="shared" si="4"/>
        <v>8</v>
      </c>
      <c r="BB11" s="22">
        <f t="shared" si="4"/>
        <v>8</v>
      </c>
      <c r="BC11" s="22">
        <f t="shared" si="4"/>
        <v>8</v>
      </c>
      <c r="BD11" s="22">
        <f t="shared" si="4"/>
        <v>7</v>
      </c>
      <c r="BE11" s="22">
        <f t="shared" si="4"/>
        <v>7</v>
      </c>
      <c r="BF11" s="22">
        <f t="shared" si="4"/>
        <v>7</v>
      </c>
      <c r="BG11" s="22">
        <f t="shared" si="4"/>
        <v>7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customFormat="1" hidden="1"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customFormat="1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customFormat="1" ht="10.35" customHeight="1">
      <c r="H14" s="142">
        <v>7</v>
      </c>
      <c r="I14" s="143"/>
      <c r="J14" s="143"/>
      <c r="K14" s="144"/>
      <c r="L14" s="142">
        <v>8</v>
      </c>
      <c r="M14" s="143"/>
      <c r="N14" s="143"/>
      <c r="O14" s="144"/>
      <c r="P14" s="142">
        <v>9</v>
      </c>
      <c r="Q14" s="143"/>
      <c r="R14" s="143"/>
      <c r="S14" s="144"/>
      <c r="T14" s="142">
        <v>10</v>
      </c>
      <c r="U14" s="143"/>
      <c r="V14" s="143"/>
      <c r="W14" s="144"/>
      <c r="X14" s="142">
        <v>11</v>
      </c>
      <c r="Y14" s="143"/>
      <c r="Z14" s="143"/>
      <c r="AA14" s="144"/>
      <c r="AB14" s="142">
        <v>12</v>
      </c>
      <c r="AC14" s="143"/>
      <c r="AD14" s="143"/>
      <c r="AE14" s="144"/>
      <c r="AF14" s="142">
        <v>13</v>
      </c>
      <c r="AG14" s="143"/>
      <c r="AH14" s="143"/>
      <c r="AI14" s="144"/>
      <c r="AJ14" s="142">
        <v>14</v>
      </c>
      <c r="AK14" s="143"/>
      <c r="AL14" s="143"/>
      <c r="AM14" s="144"/>
      <c r="AN14" s="142">
        <v>15</v>
      </c>
      <c r="AO14" s="143"/>
      <c r="AP14" s="143"/>
      <c r="AQ14" s="144"/>
      <c r="AR14" s="142">
        <v>16</v>
      </c>
      <c r="AS14" s="143"/>
      <c r="AT14" s="143"/>
      <c r="AU14" s="144"/>
      <c r="AV14" s="142">
        <v>17</v>
      </c>
      <c r="AW14" s="143"/>
      <c r="AX14" s="143"/>
      <c r="AY14" s="144"/>
      <c r="AZ14" s="142">
        <v>18</v>
      </c>
      <c r="BA14" s="143"/>
      <c r="BB14" s="143"/>
      <c r="BC14" s="144"/>
      <c r="BD14" s="142">
        <v>19</v>
      </c>
      <c r="BE14" s="143"/>
      <c r="BF14" s="143"/>
      <c r="BG14" s="144"/>
      <c r="BH14" s="142">
        <v>20</v>
      </c>
      <c r="BI14" s="143"/>
      <c r="BJ14" s="143"/>
      <c r="BK14" s="144"/>
      <c r="BL14" s="142">
        <v>21</v>
      </c>
      <c r="BM14" s="143"/>
      <c r="BN14" s="143"/>
      <c r="BO14" s="144"/>
      <c r="BP14" s="142">
        <v>22</v>
      </c>
      <c r="BQ14" s="143"/>
      <c r="BR14" s="143"/>
      <c r="BS14" s="144"/>
    </row>
    <row r="15" spans="2:72" s="2" customFormat="1" ht="12.95">
      <c r="B15" s="5" t="s">
        <v>284</v>
      </c>
      <c r="C15" s="5" t="s">
        <v>13</v>
      </c>
      <c r="D15" s="5" t="s">
        <v>14</v>
      </c>
      <c r="E15" s="5" t="s">
        <v>335</v>
      </c>
      <c r="F15" s="5" t="s">
        <v>287</v>
      </c>
      <c r="G15" s="5" t="s">
        <v>336</v>
      </c>
      <c r="H15" s="100" t="s">
        <v>332</v>
      </c>
      <c r="I15" s="98">
        <v>15</v>
      </c>
      <c r="J15" s="98">
        <v>30</v>
      </c>
      <c r="K15" s="99">
        <v>45</v>
      </c>
      <c r="L15" s="100" t="s">
        <v>332</v>
      </c>
      <c r="M15" s="98">
        <v>15</v>
      </c>
      <c r="N15" s="98">
        <v>30</v>
      </c>
      <c r="O15" s="99">
        <v>45</v>
      </c>
      <c r="P15" s="100" t="s">
        <v>332</v>
      </c>
      <c r="Q15" s="98">
        <v>15</v>
      </c>
      <c r="R15" s="98">
        <v>30</v>
      </c>
      <c r="S15" s="99">
        <v>45</v>
      </c>
      <c r="T15" s="100" t="s">
        <v>332</v>
      </c>
      <c r="U15" s="98">
        <v>15</v>
      </c>
      <c r="V15" s="98">
        <v>30</v>
      </c>
      <c r="W15" s="99">
        <v>45</v>
      </c>
      <c r="X15" s="100" t="s">
        <v>332</v>
      </c>
      <c r="Y15" s="98">
        <v>15</v>
      </c>
      <c r="Z15" s="98">
        <v>30</v>
      </c>
      <c r="AA15" s="99">
        <v>45</v>
      </c>
      <c r="AB15" s="100" t="s">
        <v>332</v>
      </c>
      <c r="AC15" s="98">
        <v>15</v>
      </c>
      <c r="AD15" s="98">
        <v>30</v>
      </c>
      <c r="AE15" s="99">
        <v>45</v>
      </c>
      <c r="AF15" s="100" t="s">
        <v>332</v>
      </c>
      <c r="AG15" s="98">
        <v>15</v>
      </c>
      <c r="AH15" s="98">
        <v>30</v>
      </c>
      <c r="AI15" s="99">
        <v>45</v>
      </c>
      <c r="AJ15" s="100" t="s">
        <v>332</v>
      </c>
      <c r="AK15" s="98">
        <v>15</v>
      </c>
      <c r="AL15" s="98">
        <v>30</v>
      </c>
      <c r="AM15" s="99">
        <v>45</v>
      </c>
      <c r="AN15" s="100" t="s">
        <v>332</v>
      </c>
      <c r="AO15" s="98">
        <v>15</v>
      </c>
      <c r="AP15" s="98">
        <v>30</v>
      </c>
      <c r="AQ15" s="99">
        <v>45</v>
      </c>
      <c r="AR15" s="100" t="s">
        <v>332</v>
      </c>
      <c r="AS15" s="98">
        <v>15</v>
      </c>
      <c r="AT15" s="98">
        <v>30</v>
      </c>
      <c r="AU15" s="99">
        <v>45</v>
      </c>
      <c r="AV15" s="100" t="s">
        <v>332</v>
      </c>
      <c r="AW15" s="98">
        <v>15</v>
      </c>
      <c r="AX15" s="98">
        <v>30</v>
      </c>
      <c r="AY15" s="99">
        <v>45</v>
      </c>
      <c r="AZ15" s="100" t="s">
        <v>332</v>
      </c>
      <c r="BA15" s="98">
        <v>15</v>
      </c>
      <c r="BB15" s="98">
        <v>30</v>
      </c>
      <c r="BC15" s="99">
        <v>45</v>
      </c>
      <c r="BD15" s="100" t="s">
        <v>332</v>
      </c>
      <c r="BE15" s="98">
        <v>15</v>
      </c>
      <c r="BF15" s="98">
        <v>30</v>
      </c>
      <c r="BG15" s="99">
        <v>45</v>
      </c>
      <c r="BH15" s="100" t="s">
        <v>332</v>
      </c>
      <c r="BI15" s="98">
        <v>15</v>
      </c>
      <c r="BJ15" s="98">
        <v>30</v>
      </c>
      <c r="BK15" s="99">
        <v>45</v>
      </c>
      <c r="BL15" s="100" t="s">
        <v>332</v>
      </c>
      <c r="BM15" s="98">
        <v>15</v>
      </c>
      <c r="BN15" s="98">
        <v>30</v>
      </c>
      <c r="BO15" s="99">
        <v>45</v>
      </c>
      <c r="BP15" s="100" t="s">
        <v>332</v>
      </c>
      <c r="BQ15" s="98">
        <v>15</v>
      </c>
      <c r="BR15" s="98">
        <v>30</v>
      </c>
      <c r="BS15" s="99">
        <v>45</v>
      </c>
    </row>
    <row r="16" spans="2:72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  <c r="BT16" s="53"/>
    </row>
    <row r="17" spans="2:72">
      <c r="B17" s="81" t="str">
        <f>Weekly!B9</f>
        <v>01509</v>
      </c>
      <c r="C17" s="90" t="str">
        <f>Weekly!C9</f>
        <v>Amy</v>
      </c>
      <c r="D17" s="90" t="str">
        <f>Weekly!D10</f>
        <v>Naritsuka-Hayler</v>
      </c>
      <c r="E17" s="91" t="str">
        <f>VLOOKUP(B17,Team!$B$4:$E$183,4,FALSE)</f>
        <v>L's</v>
      </c>
      <c r="F17" s="92">
        <f>Weekly!V9</f>
        <v>0.499999999999999</v>
      </c>
      <c r="G17" s="92">
        <f>Weekly!W9</f>
        <v>0.83333333333333204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/>
      </c>
      <c r="O17" s="84" t="str">
        <f t="shared" ref="O17:O48" si="12">IF(AND($O$12&gt;=$F17,$O$12&lt;$G17),$E17,"")</f>
        <v/>
      </c>
      <c r="P17" s="82" t="str">
        <f t="shared" ref="P17:P48" si="13">IF(AND($P$12&gt;=$F17,$P$12&lt;$G17),$E17,"")</f>
        <v/>
      </c>
      <c r="Q17" s="48" t="str">
        <f t="shared" ref="Q17:Q48" si="14">IF(AND($Q$12&gt;=$F17,$Q$12&lt;$G17),$E17,"")</f>
        <v/>
      </c>
      <c r="R17" s="48" t="str">
        <f t="shared" ref="R17:R48" si="15">IF(AND($R$12&gt;=$F17,$R$12&lt;$G17),$E17,"")</f>
        <v/>
      </c>
      <c r="S17" s="84" t="str">
        <f t="shared" ref="S17:S48" si="16">IF(AND($S$12&gt;=$F17,$S$12&lt;$G17),$E17,"")</f>
        <v/>
      </c>
      <c r="T17" s="82" t="str">
        <f t="shared" ref="T17:T48" si="17">IF(AND($T$12&gt;=$F17,$T$12&lt;$G17),$E17,"")</f>
        <v/>
      </c>
      <c r="U17" s="48" t="str">
        <f t="shared" ref="U17:U48" si="18">IF(AND($U$12&gt;=$F17,$U$12&lt;$G17),$E17,"")</f>
        <v/>
      </c>
      <c r="V17" s="48" t="str">
        <f t="shared" ref="V17:V48" si="19">IF(AND($V$12&gt;=$F17,$V$12&lt;$G17),$E17,"")</f>
        <v/>
      </c>
      <c r="W17" s="84" t="str">
        <f t="shared" ref="W17:W48" si="20">IF(AND($W$12&gt;=$F17,$W$12&lt;$G17),$E17,"")</f>
        <v/>
      </c>
      <c r="X17" s="82" t="str">
        <f t="shared" ref="X17:X48" si="21">IF(AND($X$12&gt;=$F17,$X$12&lt;$G17),$E17,"")</f>
        <v/>
      </c>
      <c r="Y17" s="48" t="str">
        <f t="shared" ref="Y17:Y48" si="22">IF(AND($Y$12&gt;=$F17,$Y$12&lt;$G17),$E17,"")</f>
        <v/>
      </c>
      <c r="Z17" s="48" t="str">
        <f t="shared" ref="Z17:Z48" si="23">IF(AND($Z$12&gt;=$F17,$Z$12&lt;$G17),$E17,"")</f>
        <v/>
      </c>
      <c r="AA17" s="84" t="str">
        <f t="shared" ref="AA17:AA48" si="24">IF(AND($AA$12&gt;=$F17,$AA$12&lt;$G17),$E17,"")</f>
        <v/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>L's</v>
      </c>
      <c r="AU17" s="84" t="str">
        <f t="shared" ref="AU17:AU48" si="44">IF(AND($AU$12&gt;=$F17,$AU$12&lt;$G17),$E17,"")</f>
        <v>L's</v>
      </c>
      <c r="AV17" s="82" t="str">
        <f t="shared" ref="AV17:AV48" si="45">IF(AND($AV$12&gt;=$F17,$AV$12&lt;$G17),$E17,"")</f>
        <v>L's</v>
      </c>
      <c r="AW17" s="48" t="str">
        <f t="shared" ref="AW17:AW48" si="46">IF(AND($AW$12&gt;=$F17,$AW$12&lt;$G17),$E17,"")</f>
        <v>L's</v>
      </c>
      <c r="AX17" s="48" t="str">
        <f t="shared" ref="AX17:AX48" si="47">IF(AND($AX$12&gt;=$F17,$AX$12&lt;$G17),$E17,"")</f>
        <v>L's</v>
      </c>
      <c r="AY17" s="84" t="str">
        <f t="shared" ref="AY17:AY48" si="48">IF(AND($AY$12&gt;=$F17,$AY$12&lt;$G17),$E17,"")</f>
        <v>L's</v>
      </c>
      <c r="AZ17" s="82" t="str">
        <f t="shared" ref="AZ17:AZ48" si="49">IF(AND($AZ$12&gt;=$F17,$AZ$12&lt;$G17),$E17,"")</f>
        <v>L's</v>
      </c>
      <c r="BA17" s="48" t="str">
        <f t="shared" ref="BA17:BA48" si="50">IF(AND($BA$12&gt;=$F17,$BA$12&lt;$G17),$E17,"")</f>
        <v>L's</v>
      </c>
      <c r="BB17" s="48" t="str">
        <f t="shared" ref="BB17:BB48" si="51">IF(AND($BB$12&gt;=$F17,$BB$12&lt;$G17),$E17,"")</f>
        <v>L's</v>
      </c>
      <c r="BC17" s="84" t="str">
        <f t="shared" ref="BC17:BC48" si="52">IF(AND($BC$12&gt;=$F17,$BC$12&lt;$G17),$E17,"")</f>
        <v>L's</v>
      </c>
      <c r="BD17" s="82" t="str">
        <f t="shared" ref="BD17:BD48" si="53">IF(AND($BD$12&gt;=$F17,$BD$12&lt;$G17),$E17,"")</f>
        <v>L's</v>
      </c>
      <c r="BE17" s="48" t="str">
        <f t="shared" ref="BE17:BE48" si="54">IF(AND($BE$12&gt;=$F17,$BE$12&lt;$G17),$E17,"")</f>
        <v>L's</v>
      </c>
      <c r="BF17" s="48" t="str">
        <f t="shared" ref="BF17:BF48" si="55">IF(AND($BF$12&gt;=$F17,$BF$12&lt;$G17),$E17,"")</f>
        <v>L's</v>
      </c>
      <c r="BG17" s="84" t="str">
        <f t="shared" ref="BG17:BG48" si="56">IF(AND($BG$12&gt;=$F17,$BG$12&lt;$G17),$E17,"")</f>
        <v>L's</v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>
      <c r="B18" s="81" t="str">
        <f>Weekly!B10</f>
        <v>1175</v>
      </c>
      <c r="C18" s="90" t="str">
        <f>Weekly!C10</f>
        <v>Anna</v>
      </c>
      <c r="D18" s="90" t="str">
        <f>Weekly!D11</f>
        <v>Prashanth</v>
      </c>
      <c r="E18" s="91" t="str">
        <f>VLOOKUP(B18,Team!$B$4:$E$183,4,FALSE)</f>
        <v>H&amp;B</v>
      </c>
      <c r="F18" s="92" t="str">
        <f>Weekly!V10</f>
        <v/>
      </c>
      <c r="G18" s="92" t="str">
        <f>Weekly!W10</f>
        <v/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/>
      </c>
      <c r="O18" s="84" t="str">
        <f t="shared" si="12"/>
        <v/>
      </c>
      <c r="P18" s="82" t="str">
        <f t="shared" si="13"/>
        <v/>
      </c>
      <c r="Q18" s="48" t="str">
        <f t="shared" si="14"/>
        <v/>
      </c>
      <c r="R18" s="48" t="str">
        <f t="shared" si="15"/>
        <v/>
      </c>
      <c r="S18" s="84" t="str">
        <f t="shared" si="16"/>
        <v/>
      </c>
      <c r="T18" s="82" t="str">
        <f t="shared" si="17"/>
        <v/>
      </c>
      <c r="U18" s="48" t="str">
        <f t="shared" si="18"/>
        <v/>
      </c>
      <c r="V18" s="48" t="str">
        <f t="shared" si="19"/>
        <v/>
      </c>
      <c r="W18" s="84" t="str">
        <f t="shared" si="20"/>
        <v/>
      </c>
      <c r="X18" s="82" t="str">
        <f t="shared" si="21"/>
        <v/>
      </c>
      <c r="Y18" s="48" t="str">
        <f t="shared" si="22"/>
        <v/>
      </c>
      <c r="Z18" s="48" t="str">
        <f t="shared" si="23"/>
        <v/>
      </c>
      <c r="AA18" s="84" t="str">
        <f t="shared" si="24"/>
        <v/>
      </c>
      <c r="AB18" s="82" t="str">
        <f t="shared" si="25"/>
        <v/>
      </c>
      <c r="AC18" s="48" t="str">
        <f t="shared" si="26"/>
        <v/>
      </c>
      <c r="AD18" s="48" t="str">
        <f t="shared" si="27"/>
        <v/>
      </c>
      <c r="AE18" s="84" t="str">
        <f t="shared" si="28"/>
        <v/>
      </c>
      <c r="AF18" s="82" t="str">
        <f t="shared" si="29"/>
        <v/>
      </c>
      <c r="AG18" s="48" t="str">
        <f t="shared" si="30"/>
        <v/>
      </c>
      <c r="AH18" s="48" t="str">
        <f t="shared" si="31"/>
        <v/>
      </c>
      <c r="AI18" s="84" t="str">
        <f t="shared" si="32"/>
        <v/>
      </c>
      <c r="AJ18" s="82" t="str">
        <f t="shared" si="33"/>
        <v/>
      </c>
      <c r="AK18" s="48" t="str">
        <f t="shared" si="34"/>
        <v/>
      </c>
      <c r="AL18" s="48" t="str">
        <f t="shared" si="35"/>
        <v/>
      </c>
      <c r="AM18" s="84" t="str">
        <f t="shared" si="36"/>
        <v/>
      </c>
      <c r="AN18" s="82" t="str">
        <f t="shared" si="37"/>
        <v/>
      </c>
      <c r="AO18" s="48" t="str">
        <f t="shared" si="38"/>
        <v/>
      </c>
      <c r="AP18" s="48" t="str">
        <f t="shared" si="39"/>
        <v/>
      </c>
      <c r="AQ18" s="84" t="str">
        <f t="shared" si="40"/>
        <v/>
      </c>
      <c r="AR18" s="82" t="str">
        <f t="shared" si="41"/>
        <v/>
      </c>
      <c r="AS18" s="48" t="str">
        <f t="shared" si="42"/>
        <v/>
      </c>
      <c r="AT18" s="48" t="str">
        <f t="shared" si="43"/>
        <v/>
      </c>
      <c r="AU18" s="84" t="str">
        <f t="shared" si="44"/>
        <v/>
      </c>
      <c r="AV18" s="82" t="str">
        <f t="shared" si="45"/>
        <v/>
      </c>
      <c r="AW18" s="48" t="str">
        <f t="shared" si="46"/>
        <v/>
      </c>
      <c r="AX18" s="48" t="str">
        <f t="shared" si="47"/>
        <v/>
      </c>
      <c r="AY18" s="84" t="str">
        <f t="shared" si="48"/>
        <v/>
      </c>
      <c r="AZ18" s="82" t="str">
        <f t="shared" si="49"/>
        <v/>
      </c>
      <c r="BA18" s="48" t="str">
        <f t="shared" si="50"/>
        <v/>
      </c>
      <c r="BB18" s="48" t="str">
        <f t="shared" si="51"/>
        <v/>
      </c>
      <c r="BC18" s="84" t="str">
        <f t="shared" si="52"/>
        <v/>
      </c>
      <c r="BD18" s="82" t="str">
        <f t="shared" si="53"/>
        <v/>
      </c>
      <c r="BE18" s="48" t="str">
        <f t="shared" si="54"/>
        <v/>
      </c>
      <c r="BF18" s="48" t="str">
        <f t="shared" si="55"/>
        <v/>
      </c>
      <c r="BG18" s="84" t="str">
        <f t="shared" si="56"/>
        <v/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>
      <c r="B19" s="81" t="str">
        <f>Weekly!B11</f>
        <v>1041</v>
      </c>
      <c r="C19" s="90" t="str">
        <f>Weekly!C11</f>
        <v>Archana</v>
      </c>
      <c r="D19" s="90" t="str">
        <f>Weekly!D12</f>
        <v>Robertson</v>
      </c>
      <c r="E19" s="91" t="str">
        <f>VLOOKUP(B19,Team!$B$4:$E$183,4,FALSE)</f>
        <v>L's</v>
      </c>
      <c r="F19" s="92" t="str">
        <f>Weekly!V11</f>
        <v/>
      </c>
      <c r="G19" s="92" t="str">
        <f>Weekly!W11</f>
        <v/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/>
      </c>
      <c r="Y19" s="48" t="str">
        <f t="shared" si="22"/>
        <v/>
      </c>
      <c r="Z19" s="48" t="str">
        <f t="shared" si="23"/>
        <v/>
      </c>
      <c r="AA19" s="84" t="str">
        <f t="shared" si="24"/>
        <v/>
      </c>
      <c r="AB19" s="82" t="str">
        <f t="shared" si="25"/>
        <v/>
      </c>
      <c r="AC19" s="48" t="str">
        <f t="shared" si="26"/>
        <v/>
      </c>
      <c r="AD19" s="48" t="str">
        <f t="shared" si="27"/>
        <v/>
      </c>
      <c r="AE19" s="84" t="str">
        <f t="shared" si="28"/>
        <v/>
      </c>
      <c r="AF19" s="82" t="str">
        <f t="shared" si="29"/>
        <v/>
      </c>
      <c r="AG19" s="48" t="str">
        <f t="shared" si="30"/>
        <v/>
      </c>
      <c r="AH19" s="48" t="str">
        <f t="shared" si="31"/>
        <v/>
      </c>
      <c r="AI19" s="84" t="str">
        <f t="shared" si="32"/>
        <v/>
      </c>
      <c r="AJ19" s="82" t="str">
        <f t="shared" si="33"/>
        <v/>
      </c>
      <c r="AK19" s="48" t="str">
        <f t="shared" si="34"/>
        <v/>
      </c>
      <c r="AL19" s="48" t="str">
        <f t="shared" si="35"/>
        <v/>
      </c>
      <c r="AM19" s="84" t="str">
        <f t="shared" si="36"/>
        <v/>
      </c>
      <c r="AN19" s="82" t="str">
        <f t="shared" si="37"/>
        <v/>
      </c>
      <c r="AO19" s="48" t="str">
        <f t="shared" si="38"/>
        <v/>
      </c>
      <c r="AP19" s="48" t="str">
        <f t="shared" si="39"/>
        <v/>
      </c>
      <c r="AQ19" s="84" t="str">
        <f t="shared" si="40"/>
        <v/>
      </c>
      <c r="AR19" s="82" t="str">
        <f t="shared" si="41"/>
        <v/>
      </c>
      <c r="AS19" s="48" t="str">
        <f t="shared" si="42"/>
        <v/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>
      <c r="B20" s="81" t="str">
        <f>Weekly!B12</f>
        <v>1245</v>
      </c>
      <c r="C20" s="90" t="str">
        <f>Weekly!C12</f>
        <v>Charlotte</v>
      </c>
      <c r="D20" s="90" t="str">
        <f>Weekly!D13</f>
        <v>Ward</v>
      </c>
      <c r="E20" s="91" t="str">
        <f>VLOOKUP(B20,Team!$B$4:$E$183,4,FALSE)</f>
        <v>HH</v>
      </c>
      <c r="F20" s="92" t="str">
        <f>Weekly!V12</f>
        <v/>
      </c>
      <c r="G20" s="92" t="str">
        <f>Weekly!W12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>
      <c r="B21" s="81" t="str">
        <f>Weekly!B13</f>
        <v>1136</v>
      </c>
      <c r="C21" s="90" t="str">
        <f>Weekly!C13</f>
        <v>Cherry</v>
      </c>
      <c r="D21" s="90" t="str">
        <f>Weekly!D14</f>
        <v>Burgoyne</v>
      </c>
      <c r="E21" s="91" t="str">
        <f>VLOOKUP(B21,Team!$B$4:$E$183,4,FALSE)</f>
        <v>M's</v>
      </c>
      <c r="F21" s="92" t="str">
        <f>Weekly!V13</f>
        <v/>
      </c>
      <c r="G21" s="92" t="str">
        <f>Weekly!W13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/>
      </c>
      <c r="AC21" s="48" t="str">
        <f t="shared" si="26"/>
        <v/>
      </c>
      <c r="AD21" s="48" t="str">
        <f t="shared" si="27"/>
        <v/>
      </c>
      <c r="AE21" s="84" t="str">
        <f t="shared" si="28"/>
        <v/>
      </c>
      <c r="AF21" s="82" t="str">
        <f t="shared" si="29"/>
        <v/>
      </c>
      <c r="AG21" s="48" t="str">
        <f t="shared" si="30"/>
        <v/>
      </c>
      <c r="AH21" s="48" t="str">
        <f t="shared" si="31"/>
        <v/>
      </c>
      <c r="AI21" s="84" t="str">
        <f t="shared" si="32"/>
        <v/>
      </c>
      <c r="AJ21" s="82" t="str">
        <f t="shared" si="33"/>
        <v/>
      </c>
      <c r="AK21" s="48" t="str">
        <f t="shared" si="34"/>
        <v/>
      </c>
      <c r="AL21" s="48" t="str">
        <f t="shared" si="35"/>
        <v/>
      </c>
      <c r="AM21" s="84" t="str">
        <f t="shared" si="36"/>
        <v/>
      </c>
      <c r="AN21" s="82" t="str">
        <f t="shared" si="37"/>
        <v/>
      </c>
      <c r="AO21" s="48" t="str">
        <f t="shared" si="38"/>
        <v/>
      </c>
      <c r="AP21" s="48" t="str">
        <f t="shared" si="39"/>
        <v/>
      </c>
      <c r="AQ21" s="84" t="str">
        <f t="shared" si="40"/>
        <v/>
      </c>
      <c r="AR21" s="82" t="str">
        <f t="shared" si="41"/>
        <v/>
      </c>
      <c r="AS21" s="48" t="str">
        <f t="shared" si="42"/>
        <v/>
      </c>
      <c r="AT21" s="48" t="str">
        <f t="shared" si="43"/>
        <v/>
      </c>
      <c r="AU21" s="84" t="str">
        <f t="shared" si="44"/>
        <v/>
      </c>
      <c r="AV21" s="82" t="str">
        <f t="shared" si="45"/>
        <v/>
      </c>
      <c r="AW21" s="48" t="str">
        <f t="shared" si="46"/>
        <v/>
      </c>
      <c r="AX21" s="48" t="str">
        <f t="shared" si="47"/>
        <v/>
      </c>
      <c r="AY21" s="84" t="str">
        <f t="shared" si="48"/>
        <v/>
      </c>
      <c r="AZ21" s="82" t="str">
        <f t="shared" si="49"/>
        <v/>
      </c>
      <c r="BA21" s="48" t="str">
        <f t="shared" si="50"/>
        <v/>
      </c>
      <c r="BB21" s="48" t="str">
        <f t="shared" si="51"/>
        <v/>
      </c>
      <c r="BC21" s="84" t="str">
        <f t="shared" si="52"/>
        <v/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>
      <c r="B22" s="81" t="str">
        <f>Weekly!B14</f>
        <v>1247</v>
      </c>
      <c r="C22" s="90" t="str">
        <f>Weekly!C14</f>
        <v>Chihiro</v>
      </c>
      <c r="D22" s="90" t="str">
        <f>Weekly!D15</f>
        <v>Huang</v>
      </c>
      <c r="E22" s="91" t="str">
        <f>VLOOKUP(B22,Team!$B$4:$E$183,4,FALSE)</f>
        <v>HH</v>
      </c>
      <c r="F22" s="92" t="str">
        <f>Weekly!V14</f>
        <v/>
      </c>
      <c r="G22" s="92" t="str">
        <f>Weekly!W14</f>
        <v/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/>
      </c>
      <c r="O22" s="84" t="str">
        <f t="shared" si="12"/>
        <v/>
      </c>
      <c r="P22" s="82" t="str">
        <f t="shared" si="13"/>
        <v/>
      </c>
      <c r="Q22" s="48" t="str">
        <f t="shared" si="14"/>
        <v/>
      </c>
      <c r="R22" s="48" t="str">
        <f t="shared" si="15"/>
        <v/>
      </c>
      <c r="S22" s="84" t="str">
        <f t="shared" si="16"/>
        <v/>
      </c>
      <c r="T22" s="82" t="str">
        <f t="shared" si="17"/>
        <v/>
      </c>
      <c r="U22" s="48" t="str">
        <f t="shared" si="18"/>
        <v/>
      </c>
      <c r="V22" s="48" t="str">
        <f t="shared" si="19"/>
        <v/>
      </c>
      <c r="W22" s="84" t="str">
        <f t="shared" si="20"/>
        <v/>
      </c>
      <c r="X22" s="82" t="str">
        <f t="shared" si="21"/>
        <v/>
      </c>
      <c r="Y22" s="48" t="str">
        <f t="shared" si="22"/>
        <v/>
      </c>
      <c r="Z22" s="48" t="str">
        <f t="shared" si="23"/>
        <v/>
      </c>
      <c r="AA22" s="84" t="str">
        <f t="shared" si="24"/>
        <v/>
      </c>
      <c r="AB22" s="82" t="str">
        <f t="shared" si="25"/>
        <v/>
      </c>
      <c r="AC22" s="48" t="str">
        <f t="shared" si="26"/>
        <v/>
      </c>
      <c r="AD22" s="48" t="str">
        <f t="shared" si="27"/>
        <v/>
      </c>
      <c r="AE22" s="84" t="str">
        <f t="shared" si="28"/>
        <v/>
      </c>
      <c r="AF22" s="82" t="str">
        <f t="shared" si="29"/>
        <v/>
      </c>
      <c r="AG22" s="48" t="str">
        <f t="shared" si="30"/>
        <v/>
      </c>
      <c r="AH22" s="48" t="str">
        <f t="shared" si="31"/>
        <v/>
      </c>
      <c r="AI22" s="84" t="str">
        <f t="shared" si="32"/>
        <v/>
      </c>
      <c r="AJ22" s="82" t="str">
        <f t="shared" si="33"/>
        <v/>
      </c>
      <c r="AK22" s="48" t="str">
        <f t="shared" si="34"/>
        <v/>
      </c>
      <c r="AL22" s="48" t="str">
        <f t="shared" si="35"/>
        <v/>
      </c>
      <c r="AM22" s="84" t="str">
        <f t="shared" si="36"/>
        <v/>
      </c>
      <c r="AN22" s="82" t="str">
        <f t="shared" si="37"/>
        <v/>
      </c>
      <c r="AO22" s="48" t="str">
        <f t="shared" si="38"/>
        <v/>
      </c>
      <c r="AP22" s="48" t="str">
        <f t="shared" si="39"/>
        <v/>
      </c>
      <c r="AQ22" s="84" t="str">
        <f t="shared" si="40"/>
        <v/>
      </c>
      <c r="AR22" s="82" t="str">
        <f t="shared" si="41"/>
        <v/>
      </c>
      <c r="AS22" s="48" t="str">
        <f t="shared" si="42"/>
        <v/>
      </c>
      <c r="AT22" s="48" t="str">
        <f t="shared" si="43"/>
        <v/>
      </c>
      <c r="AU22" s="84" t="str">
        <f t="shared" si="44"/>
        <v/>
      </c>
      <c r="AV22" s="82" t="str">
        <f t="shared" si="45"/>
        <v/>
      </c>
      <c r="AW22" s="48" t="str">
        <f t="shared" si="46"/>
        <v/>
      </c>
      <c r="AX22" s="48" t="str">
        <f t="shared" si="47"/>
        <v/>
      </c>
      <c r="AY22" s="84" t="str">
        <f t="shared" si="48"/>
        <v/>
      </c>
      <c r="AZ22" s="82" t="str">
        <f t="shared" si="49"/>
        <v/>
      </c>
      <c r="BA22" s="48" t="str">
        <f t="shared" si="50"/>
        <v/>
      </c>
      <c r="BB22" s="48" t="str">
        <f t="shared" si="51"/>
        <v/>
      </c>
      <c r="BC22" s="84" t="str">
        <f t="shared" si="52"/>
        <v/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>
      <c r="B23" s="81" t="str">
        <f>Weekly!B15</f>
        <v>01514</v>
      </c>
      <c r="C23" s="90" t="str">
        <f>Weekly!C15</f>
        <v>Chloe</v>
      </c>
      <c r="D23" s="90" t="str">
        <f>Weekly!D16</f>
        <v>Park</v>
      </c>
      <c r="E23" s="91" t="str">
        <f>VLOOKUP(B23,Team!$B$4:$E$183,4,FALSE)</f>
        <v>SPV</v>
      </c>
      <c r="F23" s="92" t="str">
        <f>Weekly!V15</f>
        <v/>
      </c>
      <c r="G23" s="92" t="str">
        <f>Weekly!W15</f>
        <v/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/>
      </c>
      <c r="O23" s="84" t="str">
        <f t="shared" si="12"/>
        <v/>
      </c>
      <c r="P23" s="82" t="str">
        <f t="shared" si="13"/>
        <v/>
      </c>
      <c r="Q23" s="48" t="str">
        <f t="shared" si="14"/>
        <v/>
      </c>
      <c r="R23" s="48" t="str">
        <f t="shared" si="15"/>
        <v/>
      </c>
      <c r="S23" s="84" t="str">
        <f t="shared" si="16"/>
        <v/>
      </c>
      <c r="T23" s="82" t="str">
        <f t="shared" si="17"/>
        <v/>
      </c>
      <c r="U23" s="48" t="str">
        <f t="shared" si="18"/>
        <v/>
      </c>
      <c r="V23" s="48" t="str">
        <f t="shared" si="19"/>
        <v/>
      </c>
      <c r="W23" s="84" t="str">
        <f t="shared" si="20"/>
        <v/>
      </c>
      <c r="X23" s="82" t="str">
        <f t="shared" si="21"/>
        <v/>
      </c>
      <c r="Y23" s="48" t="str">
        <f t="shared" si="22"/>
        <v/>
      </c>
      <c r="Z23" s="48" t="str">
        <f t="shared" si="23"/>
        <v/>
      </c>
      <c r="AA23" s="84" t="str">
        <f t="shared" si="24"/>
        <v/>
      </c>
      <c r="AB23" s="82" t="str">
        <f t="shared" si="25"/>
        <v/>
      </c>
      <c r="AC23" s="48" t="str">
        <f t="shared" si="26"/>
        <v/>
      </c>
      <c r="AD23" s="48" t="str">
        <f t="shared" si="27"/>
        <v/>
      </c>
      <c r="AE23" s="84" t="str">
        <f t="shared" si="28"/>
        <v/>
      </c>
      <c r="AF23" s="82" t="str">
        <f t="shared" si="29"/>
        <v/>
      </c>
      <c r="AG23" s="48" t="str">
        <f t="shared" si="30"/>
        <v/>
      </c>
      <c r="AH23" s="48" t="str">
        <f t="shared" si="31"/>
        <v/>
      </c>
      <c r="AI23" s="84" t="str">
        <f t="shared" si="32"/>
        <v/>
      </c>
      <c r="AJ23" s="82" t="str">
        <f t="shared" si="33"/>
        <v/>
      </c>
      <c r="AK23" s="48" t="str">
        <f t="shared" si="34"/>
        <v/>
      </c>
      <c r="AL23" s="48" t="str">
        <f t="shared" si="35"/>
        <v/>
      </c>
      <c r="AM23" s="84" t="str">
        <f t="shared" si="36"/>
        <v/>
      </c>
      <c r="AN23" s="82" t="str">
        <f t="shared" si="37"/>
        <v/>
      </c>
      <c r="AO23" s="48" t="str">
        <f t="shared" si="38"/>
        <v/>
      </c>
      <c r="AP23" s="48" t="str">
        <f t="shared" si="39"/>
        <v/>
      </c>
      <c r="AQ23" s="84" t="str">
        <f t="shared" si="40"/>
        <v/>
      </c>
      <c r="AR23" s="82" t="str">
        <f t="shared" si="41"/>
        <v/>
      </c>
      <c r="AS23" s="48" t="str">
        <f t="shared" si="42"/>
        <v/>
      </c>
      <c r="AT23" s="48" t="str">
        <f t="shared" si="43"/>
        <v/>
      </c>
      <c r="AU23" s="84" t="str">
        <f t="shared" si="44"/>
        <v/>
      </c>
      <c r="AV23" s="82" t="str">
        <f t="shared" si="45"/>
        <v/>
      </c>
      <c r="AW23" s="48" t="str">
        <f t="shared" si="46"/>
        <v/>
      </c>
      <c r="AX23" s="48" t="str">
        <f t="shared" si="47"/>
        <v/>
      </c>
      <c r="AY23" s="84" t="str">
        <f t="shared" si="48"/>
        <v/>
      </c>
      <c r="AZ23" s="82" t="str">
        <f t="shared" si="49"/>
        <v/>
      </c>
      <c r="BA23" s="48" t="str">
        <f t="shared" si="50"/>
        <v/>
      </c>
      <c r="BB23" s="48" t="str">
        <f t="shared" si="51"/>
        <v/>
      </c>
      <c r="BC23" s="84" t="str">
        <f t="shared" si="52"/>
        <v/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>
      <c r="B24" s="81" t="str">
        <f>Weekly!B16</f>
        <v>660</v>
      </c>
      <c r="C24" s="90" t="str">
        <f>Weekly!C16</f>
        <v>Daniel</v>
      </c>
      <c r="D24" s="90" t="str">
        <f>Weekly!D17</f>
        <v>Oh</v>
      </c>
      <c r="E24" s="91" t="str">
        <f>VLOOKUP(B24,Team!$B$4:$E$183,4,FALSE)</f>
        <v>HH</v>
      </c>
      <c r="F24" s="92" t="str">
        <f>Weekly!V16</f>
        <v/>
      </c>
      <c r="G24" s="92" t="str">
        <f>Weekly!W16</f>
        <v/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/>
      </c>
      <c r="AC24" s="48" t="str">
        <f t="shared" si="26"/>
        <v/>
      </c>
      <c r="AD24" s="48" t="str">
        <f t="shared" si="27"/>
        <v/>
      </c>
      <c r="AE24" s="84" t="str">
        <f t="shared" si="28"/>
        <v/>
      </c>
      <c r="AF24" s="82" t="str">
        <f t="shared" si="29"/>
        <v/>
      </c>
      <c r="AG24" s="48" t="str">
        <f t="shared" si="30"/>
        <v/>
      </c>
      <c r="AH24" s="48" t="str">
        <f t="shared" si="31"/>
        <v/>
      </c>
      <c r="AI24" s="84" t="str">
        <f t="shared" si="32"/>
        <v/>
      </c>
      <c r="AJ24" s="82" t="str">
        <f t="shared" si="33"/>
        <v/>
      </c>
      <c r="AK24" s="48" t="str">
        <f t="shared" si="34"/>
        <v/>
      </c>
      <c r="AL24" s="48" t="str">
        <f t="shared" si="35"/>
        <v/>
      </c>
      <c r="AM24" s="84" t="str">
        <f t="shared" si="36"/>
        <v/>
      </c>
      <c r="AN24" s="82" t="str">
        <f t="shared" si="37"/>
        <v/>
      </c>
      <c r="AO24" s="48" t="str">
        <f t="shared" si="38"/>
        <v/>
      </c>
      <c r="AP24" s="48" t="str">
        <f t="shared" si="39"/>
        <v/>
      </c>
      <c r="AQ24" s="84" t="str">
        <f t="shared" si="40"/>
        <v/>
      </c>
      <c r="AR24" s="82" t="str">
        <f t="shared" si="41"/>
        <v/>
      </c>
      <c r="AS24" s="48" t="str">
        <f t="shared" si="42"/>
        <v/>
      </c>
      <c r="AT24" s="48" t="str">
        <f t="shared" si="43"/>
        <v/>
      </c>
      <c r="AU24" s="84" t="str">
        <f t="shared" si="44"/>
        <v/>
      </c>
      <c r="AV24" s="82" t="str">
        <f t="shared" si="45"/>
        <v/>
      </c>
      <c r="AW24" s="48" t="str">
        <f t="shared" si="46"/>
        <v/>
      </c>
      <c r="AX24" s="48" t="str">
        <f t="shared" si="47"/>
        <v/>
      </c>
      <c r="AY24" s="84" t="str">
        <f t="shared" si="48"/>
        <v/>
      </c>
      <c r="AZ24" s="82" t="str">
        <f t="shared" si="49"/>
        <v/>
      </c>
      <c r="BA24" s="48" t="str">
        <f t="shared" si="50"/>
        <v/>
      </c>
      <c r="BB24" s="48" t="str">
        <f t="shared" si="51"/>
        <v/>
      </c>
      <c r="BC24" s="84" t="str">
        <f t="shared" si="52"/>
        <v/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>
      <c r="B25" s="81" t="str">
        <f>Weekly!B17</f>
        <v>1275</v>
      </c>
      <c r="C25" s="90" t="str">
        <f>Weekly!C17</f>
        <v>Da-yeon</v>
      </c>
      <c r="D25" s="90" t="str">
        <f>Weekly!D18</f>
        <v>Kim</v>
      </c>
      <c r="E25" s="91" t="str">
        <f>VLOOKUP(B25,Team!$B$4:$E$183,4,FALSE)</f>
        <v>HH</v>
      </c>
      <c r="F25" s="92" t="str">
        <f>Weekly!V17</f>
        <v/>
      </c>
      <c r="G25" s="92" t="str">
        <f>Weekly!W17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>
      <c r="B26" s="81" t="str">
        <f>Weekly!B18</f>
        <v>1258</v>
      </c>
      <c r="C26" s="90" t="str">
        <f>Weekly!C18</f>
        <v>Dennis</v>
      </c>
      <c r="D26" s="90" t="str">
        <f>Weekly!D19</f>
        <v>Hou</v>
      </c>
      <c r="E26" s="91" t="str">
        <f>VLOOKUP(B26,Team!$B$4:$E$183,4,FALSE)</f>
        <v>Stat.</v>
      </c>
      <c r="F26" s="92">
        <f>Weekly!V18</f>
        <v>0.624999999999999</v>
      </c>
      <c r="G26" s="92">
        <f>Weekly!W18</f>
        <v>0.83333333333333204</v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>Stat.</v>
      </c>
      <c r="AO26" s="48" t="str">
        <f t="shared" si="38"/>
        <v>Stat.</v>
      </c>
      <c r="AP26" s="48" t="str">
        <f t="shared" si="39"/>
        <v>Stat.</v>
      </c>
      <c r="AQ26" s="84" t="str">
        <f t="shared" si="40"/>
        <v>Stat.</v>
      </c>
      <c r="AR26" s="82" t="str">
        <f t="shared" si="41"/>
        <v>Stat.</v>
      </c>
      <c r="AS26" s="48" t="str">
        <f t="shared" si="42"/>
        <v>Stat.</v>
      </c>
      <c r="AT26" s="48" t="str">
        <f t="shared" si="43"/>
        <v>Stat.</v>
      </c>
      <c r="AU26" s="84" t="str">
        <f t="shared" si="44"/>
        <v>Stat.</v>
      </c>
      <c r="AV26" s="82" t="str">
        <f t="shared" si="45"/>
        <v>Stat.</v>
      </c>
      <c r="AW26" s="48" t="str">
        <f t="shared" si="46"/>
        <v>Stat.</v>
      </c>
      <c r="AX26" s="48" t="str">
        <f t="shared" si="47"/>
        <v>Stat.</v>
      </c>
      <c r="AY26" s="84" t="str">
        <f t="shared" si="48"/>
        <v>Stat.</v>
      </c>
      <c r="AZ26" s="82" t="str">
        <f t="shared" si="49"/>
        <v>Stat.</v>
      </c>
      <c r="BA26" s="48" t="str">
        <f t="shared" si="50"/>
        <v>Stat.</v>
      </c>
      <c r="BB26" s="48" t="str">
        <f t="shared" si="51"/>
        <v>Stat.</v>
      </c>
      <c r="BC26" s="84" t="str">
        <f t="shared" si="52"/>
        <v>Stat.</v>
      </c>
      <c r="BD26" s="82" t="str">
        <f t="shared" si="53"/>
        <v>Stat.</v>
      </c>
      <c r="BE26" s="48" t="str">
        <f t="shared" si="54"/>
        <v>Stat.</v>
      </c>
      <c r="BF26" s="48" t="str">
        <f t="shared" si="55"/>
        <v>Stat.</v>
      </c>
      <c r="BG26" s="84" t="str">
        <f t="shared" si="56"/>
        <v>Stat.</v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>
      <c r="B27" s="81" t="str">
        <f>Weekly!B19</f>
        <v>1131</v>
      </c>
      <c r="C27" s="90" t="str">
        <f>Weekly!C19</f>
        <v>Doris</v>
      </c>
      <c r="D27" s="90" t="str">
        <f>Weekly!D20</f>
        <v>Choi</v>
      </c>
      <c r="E27" s="91" t="str">
        <f>VLOOKUP(B27,Team!$B$4:$E$183,4,FALSE)</f>
        <v>L's</v>
      </c>
      <c r="F27" s="92" t="str">
        <f>Weekly!V19</f>
        <v/>
      </c>
      <c r="G27" s="92" t="str">
        <f>Weekly!W19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>
      <c r="B28" s="81" t="str">
        <f>Weekly!B20</f>
        <v>01601</v>
      </c>
      <c r="C28" s="90" t="str">
        <f>Weekly!C20</f>
        <v>Dorothy</v>
      </c>
      <c r="D28" s="90" t="str">
        <f>Weekly!D21</f>
        <v>Trac</v>
      </c>
      <c r="E28" s="91" t="str">
        <f>VLOOKUP(B28,Team!$B$4:$E$183,4,FALSE)</f>
        <v>M's</v>
      </c>
      <c r="F28" s="92">
        <f>Weekly!V20</f>
        <v>0.45833333333333298</v>
      </c>
      <c r="G28" s="92">
        <f>Weekly!W20</f>
        <v>0.79166666666666596</v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>M's</v>
      </c>
      <c r="Y28" s="48" t="str">
        <f t="shared" si="22"/>
        <v>M's</v>
      </c>
      <c r="Z28" s="48" t="str">
        <f t="shared" si="23"/>
        <v>M's</v>
      </c>
      <c r="AA28" s="84" t="str">
        <f t="shared" si="24"/>
        <v>M's</v>
      </c>
      <c r="AB28" s="82" t="str">
        <f t="shared" si="25"/>
        <v>M's</v>
      </c>
      <c r="AC28" s="48" t="str">
        <f t="shared" si="26"/>
        <v>M's</v>
      </c>
      <c r="AD28" s="48" t="str">
        <f t="shared" si="27"/>
        <v>M's</v>
      </c>
      <c r="AE28" s="84" t="str">
        <f t="shared" si="28"/>
        <v>M's</v>
      </c>
      <c r="AF28" s="82" t="str">
        <f t="shared" si="29"/>
        <v>M's</v>
      </c>
      <c r="AG28" s="48" t="str">
        <f t="shared" si="30"/>
        <v>M's</v>
      </c>
      <c r="AH28" s="48" t="str">
        <f t="shared" si="31"/>
        <v>M's</v>
      </c>
      <c r="AI28" s="84" t="str">
        <f t="shared" si="32"/>
        <v>M's</v>
      </c>
      <c r="AJ28" s="82" t="str">
        <f t="shared" si="33"/>
        <v>M's</v>
      </c>
      <c r="AK28" s="48" t="str">
        <f t="shared" si="34"/>
        <v>M's</v>
      </c>
      <c r="AL28" s="48" t="str">
        <f t="shared" si="35"/>
        <v>M's</v>
      </c>
      <c r="AM28" s="84" t="str">
        <f t="shared" si="36"/>
        <v>M's</v>
      </c>
      <c r="AN28" s="82" t="str">
        <f t="shared" si="37"/>
        <v>M's</v>
      </c>
      <c r="AO28" s="48" t="str">
        <f t="shared" si="38"/>
        <v>M's</v>
      </c>
      <c r="AP28" s="48" t="str">
        <f t="shared" si="39"/>
        <v>M's</v>
      </c>
      <c r="AQ28" s="84" t="str">
        <f t="shared" si="40"/>
        <v>M's</v>
      </c>
      <c r="AR28" s="82" t="str">
        <f t="shared" si="41"/>
        <v>M's</v>
      </c>
      <c r="AS28" s="48" t="str">
        <f t="shared" si="42"/>
        <v>M's</v>
      </c>
      <c r="AT28" s="48" t="str">
        <f t="shared" si="43"/>
        <v>M's</v>
      </c>
      <c r="AU28" s="84" t="str">
        <f t="shared" si="44"/>
        <v>M's</v>
      </c>
      <c r="AV28" s="82" t="str">
        <f t="shared" si="45"/>
        <v>M's</v>
      </c>
      <c r="AW28" s="48" t="str">
        <f t="shared" si="46"/>
        <v>M's</v>
      </c>
      <c r="AX28" s="48" t="str">
        <f t="shared" si="47"/>
        <v>M's</v>
      </c>
      <c r="AY28" s="84" t="str">
        <f t="shared" si="48"/>
        <v>M's</v>
      </c>
      <c r="AZ28" s="82" t="str">
        <f t="shared" si="49"/>
        <v>M's</v>
      </c>
      <c r="BA28" s="48" t="str">
        <f t="shared" si="50"/>
        <v>M's</v>
      </c>
      <c r="BB28" s="48" t="str">
        <f t="shared" si="51"/>
        <v>M's</v>
      </c>
      <c r="BC28" s="84" t="str">
        <f t="shared" si="52"/>
        <v>M's</v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>
      <c r="B29" s="81" t="str">
        <f>Weekly!B21</f>
        <v>01506</v>
      </c>
      <c r="C29" s="90" t="str">
        <f>Weekly!C21</f>
        <v>Duke</v>
      </c>
      <c r="D29" s="90" t="str">
        <f>Weekly!D22</f>
        <v>Blackburn</v>
      </c>
      <c r="E29" s="91" t="str">
        <f>VLOOKUP(B29,Team!$B$4:$E$183,4,FALSE)</f>
        <v>HH</v>
      </c>
      <c r="F29" s="92">
        <f>Weekly!V21</f>
        <v>0.499999999999999</v>
      </c>
      <c r="G29" s="92">
        <f>Weekly!W21</f>
        <v>0.83333333333333204</v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/>
      </c>
      <c r="Y29" s="48" t="str">
        <f t="shared" si="22"/>
        <v/>
      </c>
      <c r="Z29" s="48" t="str">
        <f t="shared" si="23"/>
        <v/>
      </c>
      <c r="AA29" s="84" t="str">
        <f t="shared" si="24"/>
        <v/>
      </c>
      <c r="AB29" s="82" t="str">
        <f t="shared" si="25"/>
        <v>HH</v>
      </c>
      <c r="AC29" s="48" t="str">
        <f t="shared" si="26"/>
        <v>HH</v>
      </c>
      <c r="AD29" s="48" t="str">
        <f t="shared" si="27"/>
        <v>HH</v>
      </c>
      <c r="AE29" s="84" t="str">
        <f t="shared" si="28"/>
        <v>HH</v>
      </c>
      <c r="AF29" s="82" t="str">
        <f t="shared" si="29"/>
        <v>HH</v>
      </c>
      <c r="AG29" s="48" t="str">
        <f t="shared" si="30"/>
        <v>HH</v>
      </c>
      <c r="AH29" s="48" t="str">
        <f t="shared" si="31"/>
        <v>HH</v>
      </c>
      <c r="AI29" s="84" t="str">
        <f t="shared" si="32"/>
        <v>HH</v>
      </c>
      <c r="AJ29" s="82" t="str">
        <f t="shared" si="33"/>
        <v>HH</v>
      </c>
      <c r="AK29" s="48" t="str">
        <f t="shared" si="34"/>
        <v>HH</v>
      </c>
      <c r="AL29" s="48" t="str">
        <f t="shared" si="35"/>
        <v>HH</v>
      </c>
      <c r="AM29" s="84" t="str">
        <f t="shared" si="36"/>
        <v>HH</v>
      </c>
      <c r="AN29" s="82" t="str">
        <f t="shared" si="37"/>
        <v>HH</v>
      </c>
      <c r="AO29" s="48" t="str">
        <f t="shared" si="38"/>
        <v>HH</v>
      </c>
      <c r="AP29" s="48" t="str">
        <f t="shared" si="39"/>
        <v>HH</v>
      </c>
      <c r="AQ29" s="84" t="str">
        <f t="shared" si="40"/>
        <v>HH</v>
      </c>
      <c r="AR29" s="82" t="str">
        <f t="shared" si="41"/>
        <v>HH</v>
      </c>
      <c r="AS29" s="48" t="str">
        <f t="shared" si="42"/>
        <v>HH</v>
      </c>
      <c r="AT29" s="48" t="str">
        <f t="shared" si="43"/>
        <v>HH</v>
      </c>
      <c r="AU29" s="84" t="str">
        <f t="shared" si="44"/>
        <v>HH</v>
      </c>
      <c r="AV29" s="82" t="str">
        <f t="shared" si="45"/>
        <v>HH</v>
      </c>
      <c r="AW29" s="48" t="str">
        <f t="shared" si="46"/>
        <v>HH</v>
      </c>
      <c r="AX29" s="48" t="str">
        <f t="shared" si="47"/>
        <v>HH</v>
      </c>
      <c r="AY29" s="84" t="str">
        <f t="shared" si="48"/>
        <v>HH</v>
      </c>
      <c r="AZ29" s="82" t="str">
        <f t="shared" si="49"/>
        <v>HH</v>
      </c>
      <c r="BA29" s="48" t="str">
        <f t="shared" si="50"/>
        <v>HH</v>
      </c>
      <c r="BB29" s="48" t="str">
        <f t="shared" si="51"/>
        <v>HH</v>
      </c>
      <c r="BC29" s="84" t="str">
        <f t="shared" si="52"/>
        <v>HH</v>
      </c>
      <c r="BD29" s="82" t="str">
        <f t="shared" si="53"/>
        <v>HH</v>
      </c>
      <c r="BE29" s="48" t="str">
        <f t="shared" si="54"/>
        <v>HH</v>
      </c>
      <c r="BF29" s="48" t="str">
        <f t="shared" si="55"/>
        <v>HH</v>
      </c>
      <c r="BG29" s="84" t="str">
        <f t="shared" si="56"/>
        <v>HH</v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>
      <c r="B30" s="81" t="str">
        <f>Weekly!B22</f>
        <v>01526</v>
      </c>
      <c r="C30" s="90" t="str">
        <f>Weekly!C22</f>
        <v>Emma</v>
      </c>
      <c r="D30" s="90" t="str">
        <f>Weekly!D23</f>
        <v>Deng</v>
      </c>
      <c r="E30" s="91" t="str">
        <f>VLOOKUP(B30,Team!$B$4:$E$183,4,FALSE)</f>
        <v>L's</v>
      </c>
      <c r="F30" s="92" t="str">
        <f>Weekly!V22</f>
        <v/>
      </c>
      <c r="G30" s="92" t="str">
        <f>Weekly!W22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/>
      </c>
      <c r="AK30" s="48" t="str">
        <f t="shared" si="34"/>
        <v/>
      </c>
      <c r="AL30" s="48" t="str">
        <f t="shared" si="35"/>
        <v/>
      </c>
      <c r="AM30" s="84" t="str">
        <f t="shared" si="36"/>
        <v/>
      </c>
      <c r="AN30" s="82" t="str">
        <f t="shared" si="37"/>
        <v/>
      </c>
      <c r="AO30" s="48" t="str">
        <f t="shared" si="38"/>
        <v/>
      </c>
      <c r="AP30" s="48" t="str">
        <f t="shared" si="39"/>
        <v/>
      </c>
      <c r="AQ30" s="84" t="str">
        <f t="shared" si="40"/>
        <v/>
      </c>
      <c r="AR30" s="82" t="str">
        <f t="shared" si="41"/>
        <v/>
      </c>
      <c r="AS30" s="48" t="str">
        <f t="shared" si="42"/>
        <v/>
      </c>
      <c r="AT30" s="48" t="str">
        <f t="shared" si="43"/>
        <v/>
      </c>
      <c r="AU30" s="84" t="str">
        <f t="shared" si="44"/>
        <v/>
      </c>
      <c r="AV30" s="82" t="str">
        <f t="shared" si="45"/>
        <v/>
      </c>
      <c r="AW30" s="48" t="str">
        <f t="shared" si="46"/>
        <v/>
      </c>
      <c r="AX30" s="48" t="str">
        <f t="shared" si="47"/>
        <v/>
      </c>
      <c r="AY30" s="84" t="str">
        <f t="shared" si="48"/>
        <v/>
      </c>
      <c r="AZ30" s="82" t="str">
        <f t="shared" si="49"/>
        <v/>
      </c>
      <c r="BA30" s="48" t="str">
        <f t="shared" si="50"/>
        <v/>
      </c>
      <c r="BB30" s="48" t="str">
        <f t="shared" si="51"/>
        <v/>
      </c>
      <c r="BC30" s="84" t="str">
        <f t="shared" si="52"/>
        <v/>
      </c>
      <c r="BD30" s="82" t="str">
        <f t="shared" si="53"/>
        <v/>
      </c>
      <c r="BE30" s="48" t="str">
        <f t="shared" si="54"/>
        <v/>
      </c>
      <c r="BF30" s="48" t="str">
        <f t="shared" si="55"/>
        <v/>
      </c>
      <c r="BG30" s="84" t="str">
        <f t="shared" si="56"/>
        <v/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>
      <c r="B31" s="81" t="str">
        <f>Weekly!B23</f>
        <v>1025</v>
      </c>
      <c r="C31" s="90" t="str">
        <f>Weekly!C23</f>
        <v>Eunice</v>
      </c>
      <c r="D31" s="90" t="str">
        <f>Weekly!D24</f>
        <v>Hwa</v>
      </c>
      <c r="E31" s="91" t="str">
        <f>VLOOKUP(B31,Team!$B$4:$E$183,4,FALSE)</f>
        <v>L's</v>
      </c>
      <c r="F31" s="92" t="str">
        <f>Weekly!V23</f>
        <v/>
      </c>
      <c r="G31" s="92" t="str">
        <f>Weekly!W23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>
      <c r="B32" s="81" t="str">
        <f>Weekly!B24</f>
        <v>670</v>
      </c>
      <c r="C32" s="90" t="str">
        <f>Weekly!C24</f>
        <v>Fern</v>
      </c>
      <c r="D32" s="90" t="str">
        <f>Weekly!D25</f>
        <v>Abad</v>
      </c>
      <c r="E32" s="91" t="str">
        <f>VLOOKUP(B32,Team!$B$4:$E$183,4,FALSE)</f>
        <v>SM</v>
      </c>
      <c r="F32" s="92" t="str">
        <f>Weekly!V24</f>
        <v/>
      </c>
      <c r="G32" s="92" t="str">
        <f>Weekly!W24</f>
        <v/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/>
      </c>
      <c r="AC32" s="48" t="str">
        <f t="shared" si="26"/>
        <v/>
      </c>
      <c r="AD32" s="48" t="str">
        <f t="shared" si="27"/>
        <v/>
      </c>
      <c r="AE32" s="84" t="str">
        <f t="shared" si="28"/>
        <v/>
      </c>
      <c r="AF32" s="82" t="str">
        <f t="shared" si="29"/>
        <v/>
      </c>
      <c r="AG32" s="48" t="str">
        <f t="shared" si="30"/>
        <v/>
      </c>
      <c r="AH32" s="48" t="str">
        <f t="shared" si="31"/>
        <v/>
      </c>
      <c r="AI32" s="84" t="str">
        <f t="shared" si="32"/>
        <v/>
      </c>
      <c r="AJ32" s="82" t="str">
        <f t="shared" si="33"/>
        <v/>
      </c>
      <c r="AK32" s="48" t="str">
        <f t="shared" si="34"/>
        <v/>
      </c>
      <c r="AL32" s="48" t="str">
        <f t="shared" si="35"/>
        <v/>
      </c>
      <c r="AM32" s="84" t="str">
        <f t="shared" si="36"/>
        <v/>
      </c>
      <c r="AN32" s="82" t="str">
        <f t="shared" si="37"/>
        <v/>
      </c>
      <c r="AO32" s="48" t="str">
        <f t="shared" si="38"/>
        <v/>
      </c>
      <c r="AP32" s="48" t="str">
        <f t="shared" si="39"/>
        <v/>
      </c>
      <c r="AQ32" s="84" t="str">
        <f t="shared" si="40"/>
        <v/>
      </c>
      <c r="AR32" s="82" t="str">
        <f t="shared" si="41"/>
        <v/>
      </c>
      <c r="AS32" s="48" t="str">
        <f t="shared" si="42"/>
        <v/>
      </c>
      <c r="AT32" s="48" t="str">
        <f t="shared" si="43"/>
        <v/>
      </c>
      <c r="AU32" s="84" t="str">
        <f t="shared" si="44"/>
        <v/>
      </c>
      <c r="AV32" s="82" t="str">
        <f t="shared" si="45"/>
        <v/>
      </c>
      <c r="AW32" s="48" t="str">
        <f t="shared" si="46"/>
        <v/>
      </c>
      <c r="AX32" s="48" t="str">
        <f t="shared" si="47"/>
        <v/>
      </c>
      <c r="AY32" s="84" t="str">
        <f t="shared" si="48"/>
        <v/>
      </c>
      <c r="AZ32" s="82" t="str">
        <f t="shared" si="49"/>
        <v/>
      </c>
      <c r="BA32" s="48" t="str">
        <f t="shared" si="50"/>
        <v/>
      </c>
      <c r="BB32" s="48" t="str">
        <f t="shared" si="51"/>
        <v/>
      </c>
      <c r="BC32" s="84" t="str">
        <f t="shared" si="52"/>
        <v/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>
      <c r="B33" s="81" t="str">
        <f>Weekly!B25</f>
        <v>01504</v>
      </c>
      <c r="C33" s="90" t="str">
        <f>Weekly!C25</f>
        <v>Hannah</v>
      </c>
      <c r="D33" s="90" t="str">
        <f>Weekly!D26</f>
        <v>Lee</v>
      </c>
      <c r="E33" s="91" t="str">
        <f>VLOOKUP(B33,Team!$B$4:$E$183,4,FALSE)</f>
        <v>L's</v>
      </c>
      <c r="F33" s="92" t="str">
        <f>Weekly!V25</f>
        <v/>
      </c>
      <c r="G33" s="92" t="str">
        <f>Weekly!W25</f>
        <v/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/>
      </c>
      <c r="AC33" s="48" t="str">
        <f t="shared" si="26"/>
        <v/>
      </c>
      <c r="AD33" s="48" t="str">
        <f t="shared" si="27"/>
        <v/>
      </c>
      <c r="AE33" s="84" t="str">
        <f t="shared" si="28"/>
        <v/>
      </c>
      <c r="AF33" s="82" t="str">
        <f t="shared" si="29"/>
        <v/>
      </c>
      <c r="AG33" s="48" t="str">
        <f t="shared" si="30"/>
        <v/>
      </c>
      <c r="AH33" s="48" t="str">
        <f t="shared" si="31"/>
        <v/>
      </c>
      <c r="AI33" s="84" t="str">
        <f t="shared" si="32"/>
        <v/>
      </c>
      <c r="AJ33" s="82" t="str">
        <f t="shared" si="33"/>
        <v/>
      </c>
      <c r="AK33" s="48" t="str">
        <f t="shared" si="34"/>
        <v/>
      </c>
      <c r="AL33" s="48" t="str">
        <f t="shared" si="35"/>
        <v/>
      </c>
      <c r="AM33" s="84" t="str">
        <f t="shared" si="36"/>
        <v/>
      </c>
      <c r="AN33" s="82" t="str">
        <f t="shared" si="37"/>
        <v/>
      </c>
      <c r="AO33" s="48" t="str">
        <f t="shared" si="38"/>
        <v/>
      </c>
      <c r="AP33" s="48" t="str">
        <f t="shared" si="39"/>
        <v/>
      </c>
      <c r="AQ33" s="84" t="str">
        <f t="shared" si="40"/>
        <v/>
      </c>
      <c r="AR33" s="82" t="str">
        <f t="shared" si="41"/>
        <v/>
      </c>
      <c r="AS33" s="48" t="str">
        <f t="shared" si="42"/>
        <v/>
      </c>
      <c r="AT33" s="48" t="str">
        <f t="shared" si="43"/>
        <v/>
      </c>
      <c r="AU33" s="84" t="str">
        <f t="shared" si="44"/>
        <v/>
      </c>
      <c r="AV33" s="82" t="str">
        <f t="shared" si="45"/>
        <v/>
      </c>
      <c r="AW33" s="48" t="str">
        <f t="shared" si="46"/>
        <v/>
      </c>
      <c r="AX33" s="48" t="str">
        <f t="shared" si="47"/>
        <v/>
      </c>
      <c r="AY33" s="84" t="str">
        <f t="shared" si="48"/>
        <v/>
      </c>
      <c r="AZ33" s="82" t="str">
        <f t="shared" si="49"/>
        <v/>
      </c>
      <c r="BA33" s="48" t="str">
        <f t="shared" si="50"/>
        <v/>
      </c>
      <c r="BB33" s="48" t="str">
        <f t="shared" si="51"/>
        <v/>
      </c>
      <c r="BC33" s="84" t="str">
        <f t="shared" si="52"/>
        <v/>
      </c>
      <c r="BD33" s="82" t="str">
        <f t="shared" si="53"/>
        <v/>
      </c>
      <c r="BE33" s="48" t="str">
        <f t="shared" si="54"/>
        <v/>
      </c>
      <c r="BF33" s="48" t="str">
        <f t="shared" si="55"/>
        <v/>
      </c>
      <c r="BG33" s="84" t="str">
        <f t="shared" si="56"/>
        <v/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>
      <c r="B34" s="81" t="str">
        <f>Weekly!B26</f>
        <v>01524</v>
      </c>
      <c r="C34" s="90" t="str">
        <f>Weekly!C26</f>
        <v>Isabelle</v>
      </c>
      <c r="D34" s="90" t="str">
        <f>Weekly!D27</f>
        <v>Viernes</v>
      </c>
      <c r="E34" s="91" t="str">
        <f>VLOOKUP(B34,Team!$B$4:$E$183,4,FALSE)</f>
        <v>HH</v>
      </c>
      <c r="F34" s="92" t="str">
        <f>Weekly!V26</f>
        <v/>
      </c>
      <c r="G34" s="92" t="str">
        <f>Weekly!W26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>
      <c r="B35" s="81" t="str">
        <f>Weekly!B27</f>
        <v>1216</v>
      </c>
      <c r="C35" s="90" t="str">
        <f>Weekly!C27</f>
        <v>Janelle</v>
      </c>
      <c r="D35" s="90" t="str">
        <f>Weekly!D28</f>
        <v>Hui</v>
      </c>
      <c r="E35" s="91" t="str">
        <f>VLOOKUP(B35,Team!$B$4:$E$183,4,FALSE)</f>
        <v>M's</v>
      </c>
      <c r="F35" s="92" t="str">
        <f>Weekly!V27</f>
        <v/>
      </c>
      <c r="G35" s="92" t="str">
        <f>Weekly!W27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>
      <c r="B36" s="81" t="str">
        <f>Weekly!B28</f>
        <v>1228</v>
      </c>
      <c r="C36" s="90" t="str">
        <f>Weekly!C28</f>
        <v>Jared</v>
      </c>
      <c r="D36" s="90" t="str">
        <f>Weekly!D29</f>
        <v>Rao</v>
      </c>
      <c r="E36" s="91" t="str">
        <f>VLOOKUP(B36,Team!$B$4:$E$183,4,FALSE)</f>
        <v>HH</v>
      </c>
      <c r="F36" s="92" t="str">
        <f>Weekly!V28</f>
        <v/>
      </c>
      <c r="G36" s="92" t="str">
        <f>Weekly!W28</f>
        <v/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/>
      </c>
      <c r="Q36" s="48" t="str">
        <f t="shared" si="14"/>
        <v/>
      </c>
      <c r="R36" s="48" t="str">
        <f t="shared" si="15"/>
        <v/>
      </c>
      <c r="S36" s="84" t="str">
        <f t="shared" si="16"/>
        <v/>
      </c>
      <c r="T36" s="82" t="str">
        <f t="shared" si="17"/>
        <v/>
      </c>
      <c r="U36" s="48" t="str">
        <f t="shared" si="18"/>
        <v/>
      </c>
      <c r="V36" s="48" t="str">
        <f t="shared" si="19"/>
        <v/>
      </c>
      <c r="W36" s="84" t="str">
        <f t="shared" si="20"/>
        <v/>
      </c>
      <c r="X36" s="82" t="str">
        <f t="shared" si="21"/>
        <v/>
      </c>
      <c r="Y36" s="48" t="str">
        <f t="shared" si="22"/>
        <v/>
      </c>
      <c r="Z36" s="48" t="str">
        <f t="shared" si="23"/>
        <v/>
      </c>
      <c r="AA36" s="84" t="str">
        <f t="shared" si="24"/>
        <v/>
      </c>
      <c r="AB36" s="82" t="str">
        <f t="shared" si="25"/>
        <v/>
      </c>
      <c r="AC36" s="48" t="str">
        <f t="shared" si="26"/>
        <v/>
      </c>
      <c r="AD36" s="48" t="str">
        <f t="shared" si="27"/>
        <v/>
      </c>
      <c r="AE36" s="84" t="str">
        <f t="shared" si="28"/>
        <v/>
      </c>
      <c r="AF36" s="82" t="str">
        <f t="shared" si="29"/>
        <v/>
      </c>
      <c r="AG36" s="48" t="str">
        <f t="shared" si="30"/>
        <v/>
      </c>
      <c r="AH36" s="48" t="str">
        <f t="shared" si="31"/>
        <v/>
      </c>
      <c r="AI36" s="84" t="str">
        <f t="shared" si="32"/>
        <v/>
      </c>
      <c r="AJ36" s="82" t="str">
        <f t="shared" si="33"/>
        <v/>
      </c>
      <c r="AK36" s="48" t="str">
        <f t="shared" si="34"/>
        <v/>
      </c>
      <c r="AL36" s="48" t="str">
        <f t="shared" si="35"/>
        <v/>
      </c>
      <c r="AM36" s="84" t="str">
        <f t="shared" si="36"/>
        <v/>
      </c>
      <c r="AN36" s="82" t="str">
        <f t="shared" si="37"/>
        <v/>
      </c>
      <c r="AO36" s="48" t="str">
        <f t="shared" si="38"/>
        <v/>
      </c>
      <c r="AP36" s="48" t="str">
        <f t="shared" si="39"/>
        <v/>
      </c>
      <c r="AQ36" s="84" t="str">
        <f t="shared" si="40"/>
        <v/>
      </c>
      <c r="AR36" s="82" t="str">
        <f t="shared" si="41"/>
        <v/>
      </c>
      <c r="AS36" s="48" t="str">
        <f t="shared" si="42"/>
        <v/>
      </c>
      <c r="AT36" s="48" t="str">
        <f t="shared" si="43"/>
        <v/>
      </c>
      <c r="AU36" s="84" t="str">
        <f t="shared" si="44"/>
        <v/>
      </c>
      <c r="AV36" s="82" t="str">
        <f t="shared" si="45"/>
        <v/>
      </c>
      <c r="AW36" s="48" t="str">
        <f t="shared" si="46"/>
        <v/>
      </c>
      <c r="AX36" s="48" t="str">
        <f t="shared" si="47"/>
        <v/>
      </c>
      <c r="AY36" s="84" t="str">
        <f t="shared" si="48"/>
        <v/>
      </c>
      <c r="AZ36" s="82" t="str">
        <f t="shared" si="49"/>
        <v/>
      </c>
      <c r="BA36" s="48" t="str">
        <f t="shared" si="50"/>
        <v/>
      </c>
      <c r="BB36" s="48" t="str">
        <f t="shared" si="51"/>
        <v/>
      </c>
      <c r="BC36" s="84" t="str">
        <f t="shared" si="52"/>
        <v/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>
      <c r="B37" s="81" t="str">
        <f>Weekly!B29</f>
        <v>1196</v>
      </c>
      <c r="C37" s="90" t="str">
        <f>Weekly!C29</f>
        <v>Jessica</v>
      </c>
      <c r="D37" s="90" t="str">
        <f>Weekly!D30</f>
        <v>Zhang</v>
      </c>
      <c r="E37" s="91" t="str">
        <f>VLOOKUP(B37,Team!$B$4:$E$183,4,FALSE)</f>
        <v>SPV</v>
      </c>
      <c r="F37" s="92">
        <f>Weekly!V29</f>
        <v>0.499999999999999</v>
      </c>
      <c r="G37" s="92">
        <f>Weekly!W29</f>
        <v>0.83333333333333204</v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/>
      </c>
      <c r="Y37" s="48" t="str">
        <f t="shared" si="22"/>
        <v/>
      </c>
      <c r="Z37" s="48" t="str">
        <f t="shared" si="23"/>
        <v/>
      </c>
      <c r="AA37" s="84" t="str">
        <f t="shared" si="24"/>
        <v/>
      </c>
      <c r="AB37" s="82" t="str">
        <f t="shared" si="25"/>
        <v>SPV</v>
      </c>
      <c r="AC37" s="48" t="str">
        <f t="shared" si="26"/>
        <v>SPV</v>
      </c>
      <c r="AD37" s="48" t="str">
        <f t="shared" si="27"/>
        <v>SPV</v>
      </c>
      <c r="AE37" s="84" t="str">
        <f t="shared" si="28"/>
        <v>SPV</v>
      </c>
      <c r="AF37" s="82" t="str">
        <f t="shared" si="29"/>
        <v>SPV</v>
      </c>
      <c r="AG37" s="48" t="str">
        <f t="shared" si="30"/>
        <v>SPV</v>
      </c>
      <c r="AH37" s="48" t="str">
        <f t="shared" si="31"/>
        <v>SPV</v>
      </c>
      <c r="AI37" s="84" t="str">
        <f t="shared" si="32"/>
        <v>SPV</v>
      </c>
      <c r="AJ37" s="82" t="str">
        <f t="shared" si="33"/>
        <v>SPV</v>
      </c>
      <c r="AK37" s="48" t="str">
        <f t="shared" si="34"/>
        <v>SPV</v>
      </c>
      <c r="AL37" s="48" t="str">
        <f t="shared" si="35"/>
        <v>SPV</v>
      </c>
      <c r="AM37" s="84" t="str">
        <f t="shared" si="36"/>
        <v>SPV</v>
      </c>
      <c r="AN37" s="82" t="str">
        <f t="shared" si="37"/>
        <v>SPV</v>
      </c>
      <c r="AO37" s="48" t="str">
        <f t="shared" si="38"/>
        <v>SPV</v>
      </c>
      <c r="AP37" s="48" t="str">
        <f t="shared" si="39"/>
        <v>SPV</v>
      </c>
      <c r="AQ37" s="84" t="str">
        <f t="shared" si="40"/>
        <v>SPV</v>
      </c>
      <c r="AR37" s="82" t="str">
        <f t="shared" si="41"/>
        <v>SPV</v>
      </c>
      <c r="AS37" s="48" t="str">
        <f t="shared" si="42"/>
        <v>SPV</v>
      </c>
      <c r="AT37" s="48" t="str">
        <f t="shared" si="43"/>
        <v>SPV</v>
      </c>
      <c r="AU37" s="84" t="str">
        <f t="shared" si="44"/>
        <v>SPV</v>
      </c>
      <c r="AV37" s="82" t="str">
        <f t="shared" si="45"/>
        <v>SPV</v>
      </c>
      <c r="AW37" s="48" t="str">
        <f t="shared" si="46"/>
        <v>SPV</v>
      </c>
      <c r="AX37" s="48" t="str">
        <f t="shared" si="47"/>
        <v>SPV</v>
      </c>
      <c r="AY37" s="84" t="str">
        <f t="shared" si="48"/>
        <v>SPV</v>
      </c>
      <c r="AZ37" s="82" t="str">
        <f t="shared" si="49"/>
        <v>SPV</v>
      </c>
      <c r="BA37" s="48" t="str">
        <f t="shared" si="50"/>
        <v>SPV</v>
      </c>
      <c r="BB37" s="48" t="str">
        <f t="shared" si="51"/>
        <v>SPV</v>
      </c>
      <c r="BC37" s="84" t="str">
        <f t="shared" si="52"/>
        <v>SPV</v>
      </c>
      <c r="BD37" s="82" t="str">
        <f t="shared" si="53"/>
        <v>SPV</v>
      </c>
      <c r="BE37" s="48" t="str">
        <f t="shared" si="54"/>
        <v>SPV</v>
      </c>
      <c r="BF37" s="48" t="str">
        <f t="shared" si="55"/>
        <v>SPV</v>
      </c>
      <c r="BG37" s="84" t="str">
        <f t="shared" si="56"/>
        <v>SPV</v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>
      <c r="B38" s="81" t="str">
        <f>Weekly!B30</f>
        <v>01520</v>
      </c>
      <c r="C38" s="90" t="str">
        <f>Weekly!C30</f>
        <v>Jessie</v>
      </c>
      <c r="D38" s="90" t="str">
        <f>Weekly!D31</f>
        <v>Yabut</v>
      </c>
      <c r="E38" s="91" t="str">
        <f>VLOOKUP(B38,Team!$B$4:$E$183,4,FALSE)</f>
        <v>L's</v>
      </c>
      <c r="F38" s="92" t="str">
        <f>Weekly!V30</f>
        <v/>
      </c>
      <c r="G38" s="92" t="str">
        <f>Weekly!W30</f>
        <v/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/>
      </c>
      <c r="Y38" s="48" t="str">
        <f t="shared" si="22"/>
        <v/>
      </c>
      <c r="Z38" s="48" t="str">
        <f t="shared" si="23"/>
        <v/>
      </c>
      <c r="AA38" s="84" t="str">
        <f t="shared" si="24"/>
        <v/>
      </c>
      <c r="AB38" s="82" t="str">
        <f t="shared" si="25"/>
        <v/>
      </c>
      <c r="AC38" s="48" t="str">
        <f t="shared" si="26"/>
        <v/>
      </c>
      <c r="AD38" s="48" t="str">
        <f t="shared" si="27"/>
        <v/>
      </c>
      <c r="AE38" s="84" t="str">
        <f t="shared" si="28"/>
        <v/>
      </c>
      <c r="AF38" s="82" t="str">
        <f t="shared" si="29"/>
        <v/>
      </c>
      <c r="AG38" s="48" t="str">
        <f t="shared" si="30"/>
        <v/>
      </c>
      <c r="AH38" s="48" t="str">
        <f t="shared" si="31"/>
        <v/>
      </c>
      <c r="AI38" s="84" t="str">
        <f t="shared" si="32"/>
        <v/>
      </c>
      <c r="AJ38" s="82" t="str">
        <f t="shared" si="33"/>
        <v/>
      </c>
      <c r="AK38" s="48" t="str">
        <f t="shared" si="34"/>
        <v/>
      </c>
      <c r="AL38" s="48" t="str">
        <f t="shared" si="35"/>
        <v/>
      </c>
      <c r="AM38" s="84" t="str">
        <f t="shared" si="36"/>
        <v/>
      </c>
      <c r="AN38" s="82" t="str">
        <f t="shared" si="37"/>
        <v/>
      </c>
      <c r="AO38" s="48" t="str">
        <f t="shared" si="38"/>
        <v/>
      </c>
      <c r="AP38" s="48" t="str">
        <f t="shared" si="39"/>
        <v/>
      </c>
      <c r="AQ38" s="84" t="str">
        <f t="shared" si="40"/>
        <v/>
      </c>
      <c r="AR38" s="82" t="str">
        <f t="shared" si="41"/>
        <v/>
      </c>
      <c r="AS38" s="48" t="str">
        <f t="shared" si="42"/>
        <v/>
      </c>
      <c r="AT38" s="48" t="str">
        <f t="shared" si="43"/>
        <v/>
      </c>
      <c r="AU38" s="84" t="str">
        <f t="shared" si="44"/>
        <v/>
      </c>
      <c r="AV38" s="82" t="str">
        <f t="shared" si="45"/>
        <v/>
      </c>
      <c r="AW38" s="48" t="str">
        <f t="shared" si="46"/>
        <v/>
      </c>
      <c r="AX38" s="48" t="str">
        <f t="shared" si="47"/>
        <v/>
      </c>
      <c r="AY38" s="84" t="str">
        <f t="shared" si="48"/>
        <v/>
      </c>
      <c r="AZ38" s="82" t="str">
        <f t="shared" si="49"/>
        <v/>
      </c>
      <c r="BA38" s="48" t="str">
        <f t="shared" si="50"/>
        <v/>
      </c>
      <c r="BB38" s="48" t="str">
        <f t="shared" si="51"/>
        <v/>
      </c>
      <c r="BC38" s="84" t="str">
        <f t="shared" si="52"/>
        <v/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>
      <c r="B39" s="81" t="str">
        <f>Weekly!B31</f>
        <v>01505</v>
      </c>
      <c r="C39" s="90" t="str">
        <f>Weekly!C31</f>
        <v>Jewel</v>
      </c>
      <c r="D39" s="90" t="str">
        <f>Weekly!D32</f>
        <v>Shue</v>
      </c>
      <c r="E39" s="91" t="str">
        <f>VLOOKUP(B39,Team!$B$4:$E$183,4,FALSE)</f>
        <v>L's</v>
      </c>
      <c r="F39" s="92" t="str">
        <f>Weekly!V31</f>
        <v/>
      </c>
      <c r="G39" s="92" t="str">
        <f>Weekly!W31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>
      <c r="B40" s="81" t="str">
        <f>Weekly!B32</f>
        <v>1289</v>
      </c>
      <c r="C40" s="90" t="str">
        <f>Weekly!C32</f>
        <v>Jordan</v>
      </c>
      <c r="D40" s="90" t="str">
        <f>Weekly!D33</f>
        <v>Lam</v>
      </c>
      <c r="E40" s="91" t="str">
        <f>VLOOKUP(B40,Team!$B$4:$E$183,4,FALSE)</f>
        <v>SPV</v>
      </c>
      <c r="F40" s="92" t="str">
        <f>Weekly!V32</f>
        <v/>
      </c>
      <c r="G40" s="92" t="str">
        <f>Weekly!W32</f>
        <v/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/>
      </c>
      <c r="Y40" s="48" t="str">
        <f t="shared" si="22"/>
        <v/>
      </c>
      <c r="Z40" s="48" t="str">
        <f t="shared" si="23"/>
        <v/>
      </c>
      <c r="AA40" s="84" t="str">
        <f t="shared" si="24"/>
        <v/>
      </c>
      <c r="AB40" s="82" t="str">
        <f t="shared" si="25"/>
        <v/>
      </c>
      <c r="AC40" s="48" t="str">
        <f t="shared" si="26"/>
        <v/>
      </c>
      <c r="AD40" s="48" t="str">
        <f t="shared" si="27"/>
        <v/>
      </c>
      <c r="AE40" s="84" t="str">
        <f t="shared" si="28"/>
        <v/>
      </c>
      <c r="AF40" s="82" t="str">
        <f t="shared" si="29"/>
        <v/>
      </c>
      <c r="AG40" s="48" t="str">
        <f t="shared" si="30"/>
        <v/>
      </c>
      <c r="AH40" s="48" t="str">
        <f t="shared" si="31"/>
        <v/>
      </c>
      <c r="AI40" s="84" t="str">
        <f t="shared" si="32"/>
        <v/>
      </c>
      <c r="AJ40" s="82" t="str">
        <f t="shared" si="33"/>
        <v/>
      </c>
      <c r="AK40" s="48" t="str">
        <f t="shared" si="34"/>
        <v/>
      </c>
      <c r="AL40" s="48" t="str">
        <f t="shared" si="35"/>
        <v/>
      </c>
      <c r="AM40" s="84" t="str">
        <f t="shared" si="36"/>
        <v/>
      </c>
      <c r="AN40" s="82" t="str">
        <f t="shared" si="37"/>
        <v/>
      </c>
      <c r="AO40" s="48" t="str">
        <f t="shared" si="38"/>
        <v/>
      </c>
      <c r="AP40" s="48" t="str">
        <f t="shared" si="39"/>
        <v/>
      </c>
      <c r="AQ40" s="84" t="str">
        <f t="shared" si="40"/>
        <v/>
      </c>
      <c r="AR40" s="82" t="str">
        <f t="shared" si="41"/>
        <v/>
      </c>
      <c r="AS40" s="48" t="str">
        <f t="shared" si="42"/>
        <v/>
      </c>
      <c r="AT40" s="48" t="str">
        <f t="shared" si="43"/>
        <v/>
      </c>
      <c r="AU40" s="84" t="str">
        <f t="shared" si="44"/>
        <v/>
      </c>
      <c r="AV40" s="82" t="str">
        <f t="shared" si="45"/>
        <v/>
      </c>
      <c r="AW40" s="48" t="str">
        <f t="shared" si="46"/>
        <v/>
      </c>
      <c r="AX40" s="48" t="str">
        <f t="shared" si="47"/>
        <v/>
      </c>
      <c r="AY40" s="84" t="str">
        <f t="shared" si="48"/>
        <v/>
      </c>
      <c r="AZ40" s="82" t="str">
        <f t="shared" si="49"/>
        <v/>
      </c>
      <c r="BA40" s="48" t="str">
        <f t="shared" si="50"/>
        <v/>
      </c>
      <c r="BB40" s="48" t="str">
        <f t="shared" si="51"/>
        <v/>
      </c>
      <c r="BC40" s="84" t="str">
        <f t="shared" si="52"/>
        <v/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>
      <c r="B41" s="81" t="str">
        <f>Weekly!B33</f>
        <v>1094</v>
      </c>
      <c r="C41" s="90" t="str">
        <f>Weekly!C33</f>
        <v>Joslyn</v>
      </c>
      <c r="D41" s="90" t="str">
        <f>Weekly!D34</f>
        <v>Ko</v>
      </c>
      <c r="E41" s="91" t="str">
        <f>VLOOKUP(B41,Team!$B$4:$E$183,4,FALSE)</f>
        <v>HH</v>
      </c>
      <c r="F41" s="92" t="str">
        <f>Weekly!V33</f>
        <v/>
      </c>
      <c r="G41" s="92" t="str">
        <f>Weekly!W33</f>
        <v/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/>
      </c>
      <c r="Q41" s="48" t="str">
        <f t="shared" si="14"/>
        <v/>
      </c>
      <c r="R41" s="48" t="str">
        <f t="shared" si="15"/>
        <v/>
      </c>
      <c r="S41" s="84" t="str">
        <f t="shared" si="16"/>
        <v/>
      </c>
      <c r="T41" s="82" t="str">
        <f t="shared" si="17"/>
        <v/>
      </c>
      <c r="U41" s="48" t="str">
        <f t="shared" si="18"/>
        <v/>
      </c>
      <c r="V41" s="48" t="str">
        <f t="shared" si="19"/>
        <v/>
      </c>
      <c r="W41" s="84" t="str">
        <f t="shared" si="20"/>
        <v/>
      </c>
      <c r="X41" s="82" t="str">
        <f t="shared" si="21"/>
        <v/>
      </c>
      <c r="Y41" s="48" t="str">
        <f t="shared" si="22"/>
        <v/>
      </c>
      <c r="Z41" s="48" t="str">
        <f t="shared" si="23"/>
        <v/>
      </c>
      <c r="AA41" s="84" t="str">
        <f t="shared" si="24"/>
        <v/>
      </c>
      <c r="AB41" s="82" t="str">
        <f t="shared" si="25"/>
        <v/>
      </c>
      <c r="AC41" s="48" t="str">
        <f t="shared" si="26"/>
        <v/>
      </c>
      <c r="AD41" s="48" t="str">
        <f t="shared" si="27"/>
        <v/>
      </c>
      <c r="AE41" s="84" t="str">
        <f t="shared" si="28"/>
        <v/>
      </c>
      <c r="AF41" s="82" t="str">
        <f t="shared" si="29"/>
        <v/>
      </c>
      <c r="AG41" s="48" t="str">
        <f t="shared" si="30"/>
        <v/>
      </c>
      <c r="AH41" s="48" t="str">
        <f t="shared" si="31"/>
        <v/>
      </c>
      <c r="AI41" s="84" t="str">
        <f t="shared" si="32"/>
        <v/>
      </c>
      <c r="AJ41" s="82" t="str">
        <f t="shared" si="33"/>
        <v/>
      </c>
      <c r="AK41" s="48" t="str">
        <f t="shared" si="34"/>
        <v/>
      </c>
      <c r="AL41" s="48" t="str">
        <f t="shared" si="35"/>
        <v/>
      </c>
      <c r="AM41" s="84" t="str">
        <f t="shared" si="36"/>
        <v/>
      </c>
      <c r="AN41" s="82" t="str">
        <f t="shared" si="37"/>
        <v/>
      </c>
      <c r="AO41" s="48" t="str">
        <f t="shared" si="38"/>
        <v/>
      </c>
      <c r="AP41" s="48" t="str">
        <f t="shared" si="39"/>
        <v/>
      </c>
      <c r="AQ41" s="84" t="str">
        <f t="shared" si="40"/>
        <v/>
      </c>
      <c r="AR41" s="82" t="str">
        <f t="shared" si="41"/>
        <v/>
      </c>
      <c r="AS41" s="48" t="str">
        <f t="shared" si="42"/>
        <v/>
      </c>
      <c r="AT41" s="48" t="str">
        <f t="shared" si="43"/>
        <v/>
      </c>
      <c r="AU41" s="84" t="str">
        <f t="shared" si="44"/>
        <v/>
      </c>
      <c r="AV41" s="82" t="str">
        <f t="shared" si="45"/>
        <v/>
      </c>
      <c r="AW41" s="48" t="str">
        <f t="shared" si="46"/>
        <v/>
      </c>
      <c r="AX41" s="48" t="str">
        <f t="shared" si="47"/>
        <v/>
      </c>
      <c r="AY41" s="84" t="str">
        <f t="shared" si="48"/>
        <v/>
      </c>
      <c r="AZ41" s="82" t="str">
        <f t="shared" si="49"/>
        <v/>
      </c>
      <c r="BA41" s="48" t="str">
        <f t="shared" si="50"/>
        <v/>
      </c>
      <c r="BB41" s="48" t="str">
        <f t="shared" si="51"/>
        <v/>
      </c>
      <c r="BC41" s="84" t="str">
        <f t="shared" si="52"/>
        <v/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>
      <c r="B42" s="81" t="str">
        <f>Weekly!B34</f>
        <v>1014</v>
      </c>
      <c r="C42" s="90" t="str">
        <f>Weekly!C34</f>
        <v>Julie K.</v>
      </c>
      <c r="D42" s="90" t="str">
        <f>Weekly!D35</f>
        <v>Luong</v>
      </c>
      <c r="E42" s="91" t="str">
        <f>VLOOKUP(B42,Team!$B$4:$E$183,4,FALSE)</f>
        <v>H&amp;B</v>
      </c>
      <c r="F42" s="92">
        <f>Weekly!V34</f>
        <v>0.375</v>
      </c>
      <c r="G42" s="92">
        <f>Weekly!W34</f>
        <v>0.70833333333333304</v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>H&amp;B</v>
      </c>
      <c r="Q42" s="48" t="str">
        <f t="shared" si="14"/>
        <v>H&amp;B</v>
      </c>
      <c r="R42" s="48" t="str">
        <f t="shared" si="15"/>
        <v>H&amp;B</v>
      </c>
      <c r="S42" s="84" t="str">
        <f t="shared" si="16"/>
        <v>H&amp;B</v>
      </c>
      <c r="T42" s="82" t="str">
        <f t="shared" si="17"/>
        <v>H&amp;B</v>
      </c>
      <c r="U42" s="48" t="str">
        <f t="shared" si="18"/>
        <v>H&amp;B</v>
      </c>
      <c r="V42" s="48" t="str">
        <f t="shared" si="19"/>
        <v>H&amp;B</v>
      </c>
      <c r="W42" s="84" t="str">
        <f t="shared" si="20"/>
        <v>H&amp;B</v>
      </c>
      <c r="X42" s="82" t="str">
        <f t="shared" si="21"/>
        <v>H&amp;B</v>
      </c>
      <c r="Y42" s="48" t="str">
        <f t="shared" si="22"/>
        <v>H&amp;B</v>
      </c>
      <c r="Z42" s="48" t="str">
        <f t="shared" si="23"/>
        <v>H&amp;B</v>
      </c>
      <c r="AA42" s="84" t="str">
        <f t="shared" si="24"/>
        <v>H&amp;B</v>
      </c>
      <c r="AB42" s="82" t="str">
        <f t="shared" si="25"/>
        <v>H&amp;B</v>
      </c>
      <c r="AC42" s="48" t="str">
        <f t="shared" si="26"/>
        <v>H&amp;B</v>
      </c>
      <c r="AD42" s="48" t="str">
        <f t="shared" si="27"/>
        <v>H&amp;B</v>
      </c>
      <c r="AE42" s="84" t="str">
        <f t="shared" si="28"/>
        <v>H&amp;B</v>
      </c>
      <c r="AF42" s="82" t="str">
        <f t="shared" si="29"/>
        <v>H&amp;B</v>
      </c>
      <c r="AG42" s="48" t="str">
        <f t="shared" si="30"/>
        <v>H&amp;B</v>
      </c>
      <c r="AH42" s="48" t="str">
        <f t="shared" si="31"/>
        <v>H&amp;B</v>
      </c>
      <c r="AI42" s="84" t="str">
        <f t="shared" si="32"/>
        <v>H&amp;B</v>
      </c>
      <c r="AJ42" s="82" t="str">
        <f t="shared" si="33"/>
        <v>H&amp;B</v>
      </c>
      <c r="AK42" s="48" t="str">
        <f t="shared" si="34"/>
        <v>H&amp;B</v>
      </c>
      <c r="AL42" s="48" t="str">
        <f t="shared" si="35"/>
        <v>H&amp;B</v>
      </c>
      <c r="AM42" s="84" t="str">
        <f t="shared" si="36"/>
        <v>H&amp;B</v>
      </c>
      <c r="AN42" s="82" t="str">
        <f t="shared" si="37"/>
        <v>H&amp;B</v>
      </c>
      <c r="AO42" s="48" t="str">
        <f t="shared" si="38"/>
        <v>H&amp;B</v>
      </c>
      <c r="AP42" s="48" t="str">
        <f t="shared" si="39"/>
        <v>H&amp;B</v>
      </c>
      <c r="AQ42" s="84" t="str">
        <f t="shared" si="40"/>
        <v>H&amp;B</v>
      </c>
      <c r="AR42" s="82" t="str">
        <f t="shared" si="41"/>
        <v>H&amp;B</v>
      </c>
      <c r="AS42" s="48" t="str">
        <f t="shared" si="42"/>
        <v>H&amp;B</v>
      </c>
      <c r="AT42" s="48" t="str">
        <f t="shared" si="43"/>
        <v>H&amp;B</v>
      </c>
      <c r="AU42" s="84" t="str">
        <f t="shared" si="44"/>
        <v>H&amp;B</v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>
      <c r="B43" s="81" t="str">
        <f>Weekly!B35</f>
        <v>01518</v>
      </c>
      <c r="C43" s="90" t="str">
        <f>Weekly!C35</f>
        <v>Julie L.</v>
      </c>
      <c r="D43" s="90" t="str">
        <f>Weekly!D36</f>
        <v>Sy</v>
      </c>
      <c r="E43" s="91" t="str">
        <f>VLOOKUP(B43,Team!$B$4:$E$183,4,FALSE)</f>
        <v>F</v>
      </c>
      <c r="F43" s="92">
        <f>Weekly!V35</f>
        <v>0.375</v>
      </c>
      <c r="G43" s="92">
        <f>Weekly!W35</f>
        <v>0.70833333333333304</v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>F</v>
      </c>
      <c r="Q43" s="48" t="str">
        <f t="shared" si="14"/>
        <v>F</v>
      </c>
      <c r="R43" s="48" t="str">
        <f t="shared" si="15"/>
        <v>F</v>
      </c>
      <c r="S43" s="84" t="str">
        <f t="shared" si="16"/>
        <v>F</v>
      </c>
      <c r="T43" s="82" t="str">
        <f t="shared" si="17"/>
        <v>F</v>
      </c>
      <c r="U43" s="48" t="str">
        <f t="shared" si="18"/>
        <v>F</v>
      </c>
      <c r="V43" s="48" t="str">
        <f t="shared" si="19"/>
        <v>F</v>
      </c>
      <c r="W43" s="84" t="str">
        <f t="shared" si="20"/>
        <v>F</v>
      </c>
      <c r="X43" s="82" t="str">
        <f t="shared" si="21"/>
        <v>F</v>
      </c>
      <c r="Y43" s="48" t="str">
        <f t="shared" si="22"/>
        <v>F</v>
      </c>
      <c r="Z43" s="48" t="str">
        <f t="shared" si="23"/>
        <v>F</v>
      </c>
      <c r="AA43" s="84" t="str">
        <f t="shared" si="24"/>
        <v>F</v>
      </c>
      <c r="AB43" s="82" t="str">
        <f t="shared" si="25"/>
        <v>F</v>
      </c>
      <c r="AC43" s="48" t="str">
        <f t="shared" si="26"/>
        <v>F</v>
      </c>
      <c r="AD43" s="48" t="str">
        <f t="shared" si="27"/>
        <v>F</v>
      </c>
      <c r="AE43" s="84" t="str">
        <f t="shared" si="28"/>
        <v>F</v>
      </c>
      <c r="AF43" s="82" t="str">
        <f t="shared" si="29"/>
        <v>F</v>
      </c>
      <c r="AG43" s="48" t="str">
        <f t="shared" si="30"/>
        <v>F</v>
      </c>
      <c r="AH43" s="48" t="str">
        <f t="shared" si="31"/>
        <v>F</v>
      </c>
      <c r="AI43" s="84" t="str">
        <f t="shared" si="32"/>
        <v>F</v>
      </c>
      <c r="AJ43" s="82" t="str">
        <f t="shared" si="33"/>
        <v>F</v>
      </c>
      <c r="AK43" s="48" t="str">
        <f t="shared" si="34"/>
        <v>F</v>
      </c>
      <c r="AL43" s="48" t="str">
        <f t="shared" si="35"/>
        <v>F</v>
      </c>
      <c r="AM43" s="84" t="str">
        <f t="shared" si="36"/>
        <v>F</v>
      </c>
      <c r="AN43" s="82" t="str">
        <f t="shared" si="37"/>
        <v>F</v>
      </c>
      <c r="AO43" s="48" t="str">
        <f t="shared" si="38"/>
        <v>F</v>
      </c>
      <c r="AP43" s="48" t="str">
        <f t="shared" si="39"/>
        <v>F</v>
      </c>
      <c r="AQ43" s="84" t="str">
        <f t="shared" si="40"/>
        <v>F</v>
      </c>
      <c r="AR43" s="82" t="str">
        <f t="shared" si="41"/>
        <v>F</v>
      </c>
      <c r="AS43" s="48" t="str">
        <f t="shared" si="42"/>
        <v>F</v>
      </c>
      <c r="AT43" s="48" t="str">
        <f t="shared" si="43"/>
        <v>F</v>
      </c>
      <c r="AU43" s="84" t="str">
        <f t="shared" si="44"/>
        <v>F</v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>
      <c r="B44" s="81" t="str">
        <f>Weekly!B36</f>
        <v>01527</v>
      </c>
      <c r="C44" s="90" t="str">
        <f>Weekly!C36</f>
        <v>Justine</v>
      </c>
      <c r="D44" s="90" t="str">
        <f>Weekly!D37</f>
        <v>Htun</v>
      </c>
      <c r="E44" s="91" t="str">
        <f>VLOOKUP(B44,Team!$B$4:$E$183,4,FALSE)</f>
        <v>Stat.</v>
      </c>
      <c r="F44" s="92">
        <f>Weekly!V36</f>
        <v>0.375</v>
      </c>
      <c r="G44" s="92">
        <f>Weekly!W36</f>
        <v>0.58333333333333304</v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>Stat.</v>
      </c>
      <c r="Q44" s="48" t="str">
        <f t="shared" si="14"/>
        <v>Stat.</v>
      </c>
      <c r="R44" s="48" t="str">
        <f t="shared" si="15"/>
        <v>Stat.</v>
      </c>
      <c r="S44" s="84" t="str">
        <f t="shared" si="16"/>
        <v>Stat.</v>
      </c>
      <c r="T44" s="82" t="str">
        <f t="shared" si="17"/>
        <v>Stat.</v>
      </c>
      <c r="U44" s="48" t="str">
        <f t="shared" si="18"/>
        <v>Stat.</v>
      </c>
      <c r="V44" s="48" t="str">
        <f t="shared" si="19"/>
        <v>Stat.</v>
      </c>
      <c r="W44" s="84" t="str">
        <f t="shared" si="20"/>
        <v>Stat.</v>
      </c>
      <c r="X44" s="82" t="str">
        <f t="shared" si="21"/>
        <v>Stat.</v>
      </c>
      <c r="Y44" s="48" t="str">
        <f t="shared" si="22"/>
        <v>Stat.</v>
      </c>
      <c r="Z44" s="48" t="str">
        <f t="shared" si="23"/>
        <v>Stat.</v>
      </c>
      <c r="AA44" s="84" t="str">
        <f t="shared" si="24"/>
        <v>Stat.</v>
      </c>
      <c r="AB44" s="82" t="str">
        <f t="shared" si="25"/>
        <v>Stat.</v>
      </c>
      <c r="AC44" s="48" t="str">
        <f t="shared" si="26"/>
        <v>Stat.</v>
      </c>
      <c r="AD44" s="48" t="str">
        <f t="shared" si="27"/>
        <v>Stat.</v>
      </c>
      <c r="AE44" s="84" t="str">
        <f t="shared" si="28"/>
        <v>Stat.</v>
      </c>
      <c r="AF44" s="82" t="str">
        <f t="shared" si="29"/>
        <v>Stat.</v>
      </c>
      <c r="AG44" s="48" t="str">
        <f t="shared" si="30"/>
        <v>Stat.</v>
      </c>
      <c r="AH44" s="48" t="str">
        <f t="shared" si="31"/>
        <v>Stat.</v>
      </c>
      <c r="AI44" s="84" t="str">
        <f t="shared" si="32"/>
        <v>Stat.</v>
      </c>
      <c r="AJ44" s="82" t="str">
        <f t="shared" si="33"/>
        <v/>
      </c>
      <c r="AK44" s="48" t="str">
        <f t="shared" si="34"/>
        <v/>
      </c>
      <c r="AL44" s="48" t="str">
        <f t="shared" si="35"/>
        <v/>
      </c>
      <c r="AM44" s="84" t="str">
        <f t="shared" si="36"/>
        <v/>
      </c>
      <c r="AN44" s="82" t="str">
        <f t="shared" si="37"/>
        <v/>
      </c>
      <c r="AO44" s="48" t="str">
        <f t="shared" si="38"/>
        <v/>
      </c>
      <c r="AP44" s="48" t="str">
        <f t="shared" si="39"/>
        <v/>
      </c>
      <c r="AQ44" s="84" t="str">
        <f t="shared" si="40"/>
        <v/>
      </c>
      <c r="AR44" s="82" t="str">
        <f t="shared" si="41"/>
        <v/>
      </c>
      <c r="AS44" s="48" t="str">
        <f t="shared" si="42"/>
        <v/>
      </c>
      <c r="AT44" s="48" t="str">
        <f t="shared" si="43"/>
        <v/>
      </c>
      <c r="AU44" s="84" t="str">
        <f t="shared" si="44"/>
        <v/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>
      <c r="B45" s="81" t="str">
        <f>Weekly!B37</f>
        <v>01519</v>
      </c>
      <c r="C45" s="90" t="str">
        <f>Weekly!C37</f>
        <v>Kathy</v>
      </c>
      <c r="D45" s="90" t="str">
        <f>Weekly!D38</f>
        <v>Bongolan</v>
      </c>
      <c r="E45" s="91" t="str">
        <f>VLOOKUP(B45,Team!$B$4:$E$183,4,FALSE)</f>
        <v>Stat.</v>
      </c>
      <c r="F45" s="92" t="str">
        <f>Weekly!V37</f>
        <v/>
      </c>
      <c r="G45" s="92" t="str">
        <f>Weekly!W37</f>
        <v/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/>
      </c>
      <c r="Y45" s="48" t="str">
        <f t="shared" si="22"/>
        <v/>
      </c>
      <c r="Z45" s="48" t="str">
        <f t="shared" si="23"/>
        <v/>
      </c>
      <c r="AA45" s="84" t="str">
        <f t="shared" si="24"/>
        <v/>
      </c>
      <c r="AB45" s="82" t="str">
        <f t="shared" si="25"/>
        <v/>
      </c>
      <c r="AC45" s="48" t="str">
        <f t="shared" si="26"/>
        <v/>
      </c>
      <c r="AD45" s="48" t="str">
        <f t="shared" si="27"/>
        <v/>
      </c>
      <c r="AE45" s="84" t="str">
        <f t="shared" si="28"/>
        <v/>
      </c>
      <c r="AF45" s="82" t="str">
        <f t="shared" si="29"/>
        <v/>
      </c>
      <c r="AG45" s="48" t="str">
        <f t="shared" si="30"/>
        <v/>
      </c>
      <c r="AH45" s="48" t="str">
        <f t="shared" si="31"/>
        <v/>
      </c>
      <c r="AI45" s="84" t="str">
        <f t="shared" si="32"/>
        <v/>
      </c>
      <c r="AJ45" s="82" t="str">
        <f t="shared" si="33"/>
        <v/>
      </c>
      <c r="AK45" s="48" t="str">
        <f t="shared" si="34"/>
        <v/>
      </c>
      <c r="AL45" s="48" t="str">
        <f t="shared" si="35"/>
        <v/>
      </c>
      <c r="AM45" s="84" t="str">
        <f t="shared" si="36"/>
        <v/>
      </c>
      <c r="AN45" s="82" t="str">
        <f t="shared" si="37"/>
        <v/>
      </c>
      <c r="AO45" s="48" t="str">
        <f t="shared" si="38"/>
        <v/>
      </c>
      <c r="AP45" s="48" t="str">
        <f t="shared" si="39"/>
        <v/>
      </c>
      <c r="AQ45" s="84" t="str">
        <f t="shared" si="40"/>
        <v/>
      </c>
      <c r="AR45" s="82" t="str">
        <f t="shared" si="41"/>
        <v/>
      </c>
      <c r="AS45" s="48" t="str">
        <f t="shared" si="42"/>
        <v/>
      </c>
      <c r="AT45" s="48" t="str">
        <f t="shared" si="43"/>
        <v/>
      </c>
      <c r="AU45" s="84" t="str">
        <f t="shared" si="44"/>
        <v/>
      </c>
      <c r="AV45" s="82" t="str">
        <f t="shared" si="45"/>
        <v/>
      </c>
      <c r="AW45" s="48" t="str">
        <f t="shared" si="46"/>
        <v/>
      </c>
      <c r="AX45" s="48" t="str">
        <f t="shared" si="47"/>
        <v/>
      </c>
      <c r="AY45" s="84" t="str">
        <f t="shared" si="48"/>
        <v/>
      </c>
      <c r="AZ45" s="82" t="str">
        <f t="shared" si="49"/>
        <v/>
      </c>
      <c r="BA45" s="48" t="str">
        <f t="shared" si="50"/>
        <v/>
      </c>
      <c r="BB45" s="48" t="str">
        <f t="shared" si="51"/>
        <v/>
      </c>
      <c r="BC45" s="84" t="str">
        <f t="shared" si="52"/>
        <v/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>
      <c r="B46" s="81" t="str">
        <f>Weekly!B38</f>
        <v>1143</v>
      </c>
      <c r="C46" s="90" t="str">
        <f>Weekly!C38</f>
        <v>Kaye</v>
      </c>
      <c r="D46" s="90" t="str">
        <f>Weekly!D39</f>
        <v>Ng</v>
      </c>
      <c r="E46" s="91" t="str">
        <f>VLOOKUP(B46,Team!$B$4:$E$183,4,FALSE)</f>
        <v>L's</v>
      </c>
      <c r="F46" s="92">
        <f>Weekly!V38</f>
        <v>0.499999999999999</v>
      </c>
      <c r="G46" s="92">
        <f>Weekly!W38</f>
        <v>0.83333333333333204</v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/>
      </c>
      <c r="Y46" s="48" t="str">
        <f t="shared" si="22"/>
        <v/>
      </c>
      <c r="Z46" s="48" t="str">
        <f t="shared" si="23"/>
        <v/>
      </c>
      <c r="AA46" s="84" t="str">
        <f t="shared" si="24"/>
        <v/>
      </c>
      <c r="AB46" s="82" t="str">
        <f t="shared" si="25"/>
        <v>L's</v>
      </c>
      <c r="AC46" s="48" t="str">
        <f t="shared" si="26"/>
        <v>L's</v>
      </c>
      <c r="AD46" s="48" t="str">
        <f t="shared" si="27"/>
        <v>L's</v>
      </c>
      <c r="AE46" s="84" t="str">
        <f t="shared" si="28"/>
        <v>L's</v>
      </c>
      <c r="AF46" s="82" t="str">
        <f t="shared" si="29"/>
        <v>L's</v>
      </c>
      <c r="AG46" s="48" t="str">
        <f t="shared" si="30"/>
        <v>L's</v>
      </c>
      <c r="AH46" s="48" t="str">
        <f t="shared" si="31"/>
        <v>L's</v>
      </c>
      <c r="AI46" s="84" t="str">
        <f t="shared" si="32"/>
        <v>L's</v>
      </c>
      <c r="AJ46" s="82" t="str">
        <f t="shared" si="33"/>
        <v>L's</v>
      </c>
      <c r="AK46" s="48" t="str">
        <f t="shared" si="34"/>
        <v>L's</v>
      </c>
      <c r="AL46" s="48" t="str">
        <f t="shared" si="35"/>
        <v>L's</v>
      </c>
      <c r="AM46" s="84" t="str">
        <f t="shared" si="36"/>
        <v>L's</v>
      </c>
      <c r="AN46" s="82" t="str">
        <f t="shared" si="37"/>
        <v>L's</v>
      </c>
      <c r="AO46" s="48" t="str">
        <f t="shared" si="38"/>
        <v>L's</v>
      </c>
      <c r="AP46" s="48" t="str">
        <f t="shared" si="39"/>
        <v>L's</v>
      </c>
      <c r="AQ46" s="84" t="str">
        <f t="shared" si="40"/>
        <v>L's</v>
      </c>
      <c r="AR46" s="82" t="str">
        <f t="shared" si="41"/>
        <v>L's</v>
      </c>
      <c r="AS46" s="48" t="str">
        <f t="shared" si="42"/>
        <v>L's</v>
      </c>
      <c r="AT46" s="48" t="str">
        <f t="shared" si="43"/>
        <v>L's</v>
      </c>
      <c r="AU46" s="84" t="str">
        <f t="shared" si="44"/>
        <v>L's</v>
      </c>
      <c r="AV46" s="82" t="str">
        <f t="shared" si="45"/>
        <v>L's</v>
      </c>
      <c r="AW46" s="48" t="str">
        <f t="shared" si="46"/>
        <v>L's</v>
      </c>
      <c r="AX46" s="48" t="str">
        <f t="shared" si="47"/>
        <v>L's</v>
      </c>
      <c r="AY46" s="84" t="str">
        <f t="shared" si="48"/>
        <v>L's</v>
      </c>
      <c r="AZ46" s="82" t="str">
        <f t="shared" si="49"/>
        <v>L's</v>
      </c>
      <c r="BA46" s="48" t="str">
        <f t="shared" si="50"/>
        <v>L's</v>
      </c>
      <c r="BB46" s="48" t="str">
        <f t="shared" si="51"/>
        <v>L's</v>
      </c>
      <c r="BC46" s="84" t="str">
        <f t="shared" si="52"/>
        <v>L's</v>
      </c>
      <c r="BD46" s="82" t="str">
        <f t="shared" si="53"/>
        <v>L's</v>
      </c>
      <c r="BE46" s="48" t="str">
        <f t="shared" si="54"/>
        <v>L's</v>
      </c>
      <c r="BF46" s="48" t="str">
        <f t="shared" si="55"/>
        <v>L's</v>
      </c>
      <c r="BG46" s="84" t="str">
        <f t="shared" si="56"/>
        <v>L's</v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>
      <c r="B47" s="81" t="str">
        <f>Weekly!B39</f>
        <v>01523</v>
      </c>
      <c r="C47" s="90" t="str">
        <f>Weekly!C39</f>
        <v>Lachlan</v>
      </c>
      <c r="D47" s="90" t="str">
        <f>Weekly!D40</f>
        <v>Huynh</v>
      </c>
      <c r="E47" s="91" t="str">
        <f>VLOOKUP(B47,Team!$B$4:$E$183,4,FALSE)</f>
        <v>L's</v>
      </c>
      <c r="F47" s="92" t="str">
        <f>Weekly!V39</f>
        <v/>
      </c>
      <c r="G47" s="92" t="str">
        <f>Weekly!W39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>
      <c r="B48" s="81" t="str">
        <f>Weekly!B40</f>
        <v>614</v>
      </c>
      <c r="C48" s="90" t="str">
        <f>Weekly!C40</f>
        <v>Lauren</v>
      </c>
      <c r="D48" s="90" t="str">
        <f>Weekly!D41</f>
        <v>Simkhada</v>
      </c>
      <c r="E48" s="91" t="str">
        <f>VLOOKUP(B48,Team!$B$4:$E$183,4,FALSE)</f>
        <v>L's</v>
      </c>
      <c r="F48" s="92" t="str">
        <f>Weekly!V40</f>
        <v/>
      </c>
      <c r="G48" s="92" t="str">
        <f>Weekly!W40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>
      <c r="B49" s="81" t="str">
        <f>Weekly!B41</f>
        <v>01517</v>
      </c>
      <c r="C49" s="90" t="str">
        <f>Weekly!C41</f>
        <v>Lona</v>
      </c>
      <c r="D49" s="90" t="str">
        <f>Weekly!D42</f>
        <v>Lee</v>
      </c>
      <c r="E49" s="91" t="str">
        <f>VLOOKUP(B49,Team!$B$4:$E$183,4,FALSE)</f>
        <v>M's</v>
      </c>
      <c r="F49" s="92" t="str">
        <f>Weekly!V41</f>
        <v/>
      </c>
      <c r="G49" s="92" t="str">
        <f>Weekly!W41</f>
        <v/>
      </c>
      <c r="H49" s="48" t="str">
        <f t="shared" ref="H49:H80" si="70">IF(AND($H$12&gt;=$F49,$H$12&lt;$G49),$E49,"")</f>
        <v/>
      </c>
      <c r="I49" s="48" t="str">
        <f t="shared" ref="I49:I80" si="71">IF(AND($I$12&gt;=$F49,$I$12&lt;$G49),$E49,"")</f>
        <v/>
      </c>
      <c r="J49" s="48" t="str">
        <f t="shared" ref="J49:J80" si="72">IF(AND($J$12&gt;=$F49,$J$12&lt;$G49),$E49,"")</f>
        <v/>
      </c>
      <c r="K49" s="84" t="str">
        <f t="shared" ref="K49:K80" si="73">IF(AND($K$12&gt;=$F49,$K$12&lt;$G49),$E49,"")</f>
        <v/>
      </c>
      <c r="L49" s="82" t="str">
        <f t="shared" ref="L49:L80" si="74">IF(AND($L$12&gt;=$F49,$L$12&lt;$G49),$E49,"")</f>
        <v/>
      </c>
      <c r="M49" s="48" t="str">
        <f t="shared" ref="M49:M80" si="75">IF(AND($M$12&gt;=$F49,$M$12&lt;$G49),$E49,"")</f>
        <v/>
      </c>
      <c r="N49" s="48" t="str">
        <f t="shared" ref="N49:N80" si="76">IF(AND($N$12&gt;=$F49,$N$12&lt;$G49),$E49,"")</f>
        <v/>
      </c>
      <c r="O49" s="84" t="str">
        <f t="shared" ref="O49:O80" si="77">IF(AND($O$12&gt;=$F49,$O$12&lt;$G49),$E49,"")</f>
        <v/>
      </c>
      <c r="P49" s="82" t="str">
        <f t="shared" ref="P49:P80" si="78">IF(AND($P$12&gt;=$F49,$P$12&lt;$G49),$E49,"")</f>
        <v/>
      </c>
      <c r="Q49" s="48" t="str">
        <f t="shared" ref="Q49:Q80" si="79">IF(AND($Q$12&gt;=$F49,$Q$12&lt;$G49),$E49,"")</f>
        <v/>
      </c>
      <c r="R49" s="48" t="str">
        <f t="shared" ref="R49:R80" si="80">IF(AND($R$12&gt;=$F49,$R$12&lt;$G49),$E49,"")</f>
        <v/>
      </c>
      <c r="S49" s="84" t="str">
        <f t="shared" ref="S49:S80" si="81">IF(AND($S$12&gt;=$F49,$S$12&lt;$G49),$E49,"")</f>
        <v/>
      </c>
      <c r="T49" s="82" t="str">
        <f t="shared" ref="T49:T80" si="82">IF(AND($T$12&gt;=$F49,$T$12&lt;$G49),$E49,"")</f>
        <v/>
      </c>
      <c r="U49" s="48" t="str">
        <f t="shared" ref="U49:U80" si="83">IF(AND($U$12&gt;=$F49,$U$12&lt;$G49),$E49,"")</f>
        <v/>
      </c>
      <c r="V49" s="48" t="str">
        <f t="shared" ref="V49:V80" si="84">IF(AND($V$12&gt;=$F49,$V$12&lt;$G49),$E49,"")</f>
        <v/>
      </c>
      <c r="W49" s="84" t="str">
        <f t="shared" ref="W49:W80" si="85">IF(AND($W$12&gt;=$F49,$W$12&lt;$G49),$E49,"")</f>
        <v/>
      </c>
      <c r="X49" s="82" t="str">
        <f t="shared" ref="X49:X80" si="86">IF(AND($X$12&gt;=$F49,$X$12&lt;$G49),$E49,"")</f>
        <v/>
      </c>
      <c r="Y49" s="48" t="str">
        <f t="shared" ref="Y49:Y80" si="87">IF(AND($Y$12&gt;=$F49,$Y$12&lt;$G49),$E49,"")</f>
        <v/>
      </c>
      <c r="Z49" s="48" t="str">
        <f t="shared" ref="Z49:Z80" si="88">IF(AND($Z$12&gt;=$F49,$Z$12&lt;$G49),$E49,"")</f>
        <v/>
      </c>
      <c r="AA49" s="84" t="str">
        <f t="shared" ref="AA49:AA80" si="89">IF(AND($AA$12&gt;=$F49,$AA$12&lt;$G49),$E49,"")</f>
        <v/>
      </c>
      <c r="AB49" s="82" t="str">
        <f t="shared" ref="AB49:AB80" si="90">IF(AND($AB$12&gt;=$F49,$AB$12&lt;$G49),$E49,"")</f>
        <v/>
      </c>
      <c r="AC49" s="48" t="str">
        <f t="shared" ref="AC49:AC80" si="91">IF(AND($AC$12&gt;=$F49,$AC$12&lt;$G49),$E49,"")</f>
        <v/>
      </c>
      <c r="AD49" s="48" t="str">
        <f t="shared" ref="AD49:AD80" si="92">IF(AND($AD$12&gt;=$F49,$AD$12&lt;$G49),$E49,"")</f>
        <v/>
      </c>
      <c r="AE49" s="84" t="str">
        <f t="shared" ref="AE49:AE80" si="93">IF(AND($AE$12&gt;=$F49,$AE$12&lt;$G49),$E49,"")</f>
        <v/>
      </c>
      <c r="AF49" s="82" t="str">
        <f t="shared" ref="AF49:AF80" si="94">IF(AND($AF$12&gt;=$F49,$AF$12&lt;$G49),$E49,"")</f>
        <v/>
      </c>
      <c r="AG49" s="48" t="str">
        <f t="shared" ref="AG49:AG80" si="95">IF(AND($AG$12&gt;=$F49,$AG$12&lt;$G49),$E49,"")</f>
        <v/>
      </c>
      <c r="AH49" s="48" t="str">
        <f t="shared" ref="AH49:AH80" si="96">IF(AND($AH$12&gt;=$F49,$AH$12&lt;$G49),$E49,"")</f>
        <v/>
      </c>
      <c r="AI49" s="84" t="str">
        <f t="shared" ref="AI49:AI80" si="97">IF(AND($AI$12&gt;=$F49,$AI$12&lt;$G49),$E49,"")</f>
        <v/>
      </c>
      <c r="AJ49" s="82" t="str">
        <f t="shared" ref="AJ49:AJ80" si="98">IF(AND($AJ$12&gt;=$F49,$AJ$12&lt;$G49),$E49,"")</f>
        <v/>
      </c>
      <c r="AK49" s="48" t="str">
        <f t="shared" ref="AK49:AK80" si="99">IF(AND($AK$12&gt;=$F49,$AK$12&lt;$G49),$E49,"")</f>
        <v/>
      </c>
      <c r="AL49" s="48" t="str">
        <f t="shared" ref="AL49:AL80" si="100">IF(AND($AL$12&gt;=$F49,$AL$12&lt;$G49),$E49,"")</f>
        <v/>
      </c>
      <c r="AM49" s="84" t="str">
        <f t="shared" ref="AM49:AM80" si="101">IF(AND($AM$12&gt;=$F49,$AM$12&lt;$G49),$E49,"")</f>
        <v/>
      </c>
      <c r="AN49" s="82" t="str">
        <f t="shared" ref="AN49:AN80" si="102">IF(AND($AN$12&gt;=$F49,$AN$12&lt;$G49),$E49,"")</f>
        <v/>
      </c>
      <c r="AO49" s="48" t="str">
        <f t="shared" ref="AO49:AO80" si="103">IF(AND($AO$12&gt;=$F49,$AO$12&lt;$G49),$E49,"")</f>
        <v/>
      </c>
      <c r="AP49" s="48" t="str">
        <f t="shared" ref="AP49:AP80" si="104">IF(AND($AP$12&gt;=$F49,$AP$12&lt;$G49),$E49,"")</f>
        <v/>
      </c>
      <c r="AQ49" s="84" t="str">
        <f t="shared" ref="AQ49:AQ80" si="105">IF(AND($AQ$12&gt;=$F49,$AQ$12&lt;$G49),$E49,"")</f>
        <v/>
      </c>
      <c r="AR49" s="82" t="str">
        <f t="shared" ref="AR49:AR80" si="106">IF(AND($AR$12&gt;=$F49,$AR$12&lt;$G49),$E49,"")</f>
        <v/>
      </c>
      <c r="AS49" s="48" t="str">
        <f t="shared" ref="AS49:AS80" si="107">IF(AND($AS$12&gt;=$F49,$AS$12&lt;$G49),$E49,"")</f>
        <v/>
      </c>
      <c r="AT49" s="48" t="str">
        <f t="shared" ref="AT49:AT80" si="108">IF(AND($AT$12&gt;=$F49,$AT$12&lt;$G49),$E49,"")</f>
        <v/>
      </c>
      <c r="AU49" s="84" t="str">
        <f t="shared" ref="AU49:AU80" si="109">IF(AND($AU$12&gt;=$F49,$AU$12&lt;$G49),$E49,"")</f>
        <v/>
      </c>
      <c r="AV49" s="82" t="str">
        <f t="shared" ref="AV49:AV80" si="110">IF(AND($AV$12&gt;=$F49,$AV$12&lt;$G49),$E49,"")</f>
        <v/>
      </c>
      <c r="AW49" s="48" t="str">
        <f t="shared" ref="AW49:AW80" si="111">IF(AND($AW$12&gt;=$F49,$AW$12&lt;$G49),$E49,"")</f>
        <v/>
      </c>
      <c r="AX49" s="48" t="str">
        <f t="shared" ref="AX49:AX80" si="112">IF(AND($AX$12&gt;=$F49,$AX$12&lt;$G49),$E49,"")</f>
        <v/>
      </c>
      <c r="AY49" s="84" t="str">
        <f t="shared" ref="AY49:AY80" si="113">IF(AND($AY$12&gt;=$F49,$AY$12&lt;$G49),$E49,"")</f>
        <v/>
      </c>
      <c r="AZ49" s="82" t="str">
        <f t="shared" ref="AZ49:AZ80" si="114">IF(AND($AZ$12&gt;=$F49,$AZ$12&lt;$G49),$E49,"")</f>
        <v/>
      </c>
      <c r="BA49" s="48" t="str">
        <f t="shared" ref="BA49:BA80" si="115">IF(AND($BA$12&gt;=$F49,$BA$12&lt;$G49),$E49,"")</f>
        <v/>
      </c>
      <c r="BB49" s="48" t="str">
        <f t="shared" ref="BB49:BB80" si="116">IF(AND($BB$12&gt;=$F49,$BB$12&lt;$G49),$E49,"")</f>
        <v/>
      </c>
      <c r="BC49" s="84" t="str">
        <f t="shared" ref="BC49:BC80" si="117">IF(AND($BC$12&gt;=$F49,$BC$12&lt;$G49),$E49,"")</f>
        <v/>
      </c>
      <c r="BD49" s="82" t="str">
        <f t="shared" ref="BD49:BD80" si="118">IF(AND($BD$12&gt;=$F49,$BD$12&lt;$G49),$E49,"")</f>
        <v/>
      </c>
      <c r="BE49" s="48" t="str">
        <f t="shared" ref="BE49:BE80" si="119">IF(AND($BE$12&gt;=$F49,$BE$12&lt;$G49),$E49,"")</f>
        <v/>
      </c>
      <c r="BF49" s="48" t="str">
        <f t="shared" ref="BF49:BF80" si="120">IF(AND($BF$12&gt;=$F49,$BF$12&lt;$G49),$E49,"")</f>
        <v/>
      </c>
      <c r="BG49" s="84" t="str">
        <f t="shared" ref="BG49:BG80" si="121">IF(AND($BG$12&gt;=$F49,$BG$12&lt;$G49),$E49,"")</f>
        <v/>
      </c>
      <c r="BH49" s="87" t="str">
        <f t="shared" ref="BH49:BH80" si="122">IF(AND($BH$12&gt;=$F49,$BH$12&lt;$G49),$E49,"")</f>
        <v/>
      </c>
      <c r="BI49" s="49" t="str">
        <f t="shared" ref="BI49:BI80" si="123">IF(AND($BI$12&gt;=$F49,$BI$12&lt;$G49),$E49,"")</f>
        <v/>
      </c>
      <c r="BJ49" s="49" t="str">
        <f t="shared" ref="BJ49:BJ80" si="124">IF(AND($BJ$12&gt;=$F49,$BJ$12&lt;$G49),$E49,"")</f>
        <v/>
      </c>
      <c r="BK49" s="89" t="str">
        <f t="shared" ref="BK49:BK80" si="125">IF(AND($BK$12&gt;=$F49,$BK$12&lt;$G49),$E49,"")</f>
        <v/>
      </c>
      <c r="BL49" s="87" t="str">
        <f t="shared" ref="BL49:BL80" si="126">IF(AND($BL$12&gt;=$F49,$BL$12&lt;$G49),$E49,"")</f>
        <v/>
      </c>
      <c r="BM49" s="49" t="str">
        <f t="shared" ref="BM49:BM80" si="127">IF(AND($BM$12&gt;=$F49,$BM$12&lt;$G49),$E49,"")</f>
        <v/>
      </c>
      <c r="BN49" s="49" t="str">
        <f t="shared" ref="BN49:BN80" si="128">IF(AND($BN$12&gt;=$F49,$BN$12&lt;$G49),$E49,"")</f>
        <v/>
      </c>
      <c r="BO49" s="89" t="str">
        <f t="shared" ref="BO49:BO80" si="129">IF(AND($BO$12&gt;=$F49,$BO$12&lt;$G49),$E49,"")</f>
        <v/>
      </c>
      <c r="BP49" s="87" t="str">
        <f t="shared" ref="BP49:BP80" si="130">IF(AND($BP$12&gt;=$F49,$BP$12&lt;$G49),$E49,"")</f>
        <v/>
      </c>
      <c r="BQ49" s="49" t="str">
        <f t="shared" ref="BQ49:BQ80" si="131">IF(AND($BQ$12&gt;=$F49,$BQ$12&lt;$G49),$E49,"")</f>
        <v/>
      </c>
      <c r="BR49" s="49" t="str">
        <f t="shared" ref="BR49:BR80" si="132">IF(AND($BR$12&gt;=$F49,$BR$12&lt;$G49),$E49,"")</f>
        <v/>
      </c>
      <c r="BS49" s="89" t="str">
        <f t="shared" ref="BS49:BS80" si="133">IF(AND($BS$12&gt;=$F49,$BS$12&lt;$G49),$E49,"")</f>
        <v/>
      </c>
      <c r="BT49" s="87" t="str">
        <f t="shared" ref="BT49:BT80" si="134">IF(AND($BT$12&gt;=$F49,$BT$12&lt;$G49),$E49,"")</f>
        <v/>
      </c>
    </row>
    <row r="50" spans="2:72">
      <c r="B50" s="81" t="str">
        <f>Weekly!B42</f>
        <v>882</v>
      </c>
      <c r="C50" s="90" t="str">
        <f>Weekly!C42</f>
        <v>Masami</v>
      </c>
      <c r="D50" s="90" t="str">
        <f>Weekly!D43</f>
        <v>Banh</v>
      </c>
      <c r="E50" s="91" t="str">
        <f>VLOOKUP(B50,Team!$B$4:$E$183,4,FALSE)</f>
        <v>Acc.</v>
      </c>
      <c r="F50" s="92" t="str">
        <f>Weekly!V42</f>
        <v/>
      </c>
      <c r="G50" s="92" t="str">
        <f>Weekly!W42</f>
        <v/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/>
      </c>
      <c r="O50" s="84" t="str">
        <f t="shared" si="77"/>
        <v/>
      </c>
      <c r="P50" s="82" t="str">
        <f t="shared" si="78"/>
        <v/>
      </c>
      <c r="Q50" s="48" t="str">
        <f t="shared" si="79"/>
        <v/>
      </c>
      <c r="R50" s="48" t="str">
        <f t="shared" si="80"/>
        <v/>
      </c>
      <c r="S50" s="84" t="str">
        <f t="shared" si="81"/>
        <v/>
      </c>
      <c r="T50" s="82" t="str">
        <f t="shared" si="82"/>
        <v/>
      </c>
      <c r="U50" s="48" t="str">
        <f t="shared" si="83"/>
        <v/>
      </c>
      <c r="V50" s="48" t="str">
        <f t="shared" si="84"/>
        <v/>
      </c>
      <c r="W50" s="84" t="str">
        <f t="shared" si="85"/>
        <v/>
      </c>
      <c r="X50" s="82" t="str">
        <f t="shared" si="86"/>
        <v/>
      </c>
      <c r="Y50" s="48" t="str">
        <f t="shared" si="87"/>
        <v/>
      </c>
      <c r="Z50" s="48" t="str">
        <f t="shared" si="88"/>
        <v/>
      </c>
      <c r="AA50" s="84" t="str">
        <f t="shared" si="89"/>
        <v/>
      </c>
      <c r="AB50" s="82" t="str">
        <f t="shared" si="90"/>
        <v/>
      </c>
      <c r="AC50" s="48" t="str">
        <f t="shared" si="91"/>
        <v/>
      </c>
      <c r="AD50" s="48" t="str">
        <f t="shared" si="92"/>
        <v/>
      </c>
      <c r="AE50" s="84" t="str">
        <f t="shared" si="93"/>
        <v/>
      </c>
      <c r="AF50" s="82" t="str">
        <f t="shared" si="94"/>
        <v/>
      </c>
      <c r="AG50" s="48" t="str">
        <f t="shared" si="95"/>
        <v/>
      </c>
      <c r="AH50" s="48" t="str">
        <f t="shared" si="96"/>
        <v/>
      </c>
      <c r="AI50" s="84" t="str">
        <f t="shared" si="97"/>
        <v/>
      </c>
      <c r="AJ50" s="82" t="str">
        <f t="shared" si="98"/>
        <v/>
      </c>
      <c r="AK50" s="48" t="str">
        <f t="shared" si="99"/>
        <v/>
      </c>
      <c r="AL50" s="48" t="str">
        <f t="shared" si="100"/>
        <v/>
      </c>
      <c r="AM50" s="84" t="str">
        <f t="shared" si="101"/>
        <v/>
      </c>
      <c r="AN50" s="82" t="str">
        <f t="shared" si="102"/>
        <v/>
      </c>
      <c r="AO50" s="48" t="str">
        <f t="shared" si="103"/>
        <v/>
      </c>
      <c r="AP50" s="48" t="str">
        <f t="shared" si="104"/>
        <v/>
      </c>
      <c r="AQ50" s="84" t="str">
        <f t="shared" si="105"/>
        <v/>
      </c>
      <c r="AR50" s="82" t="str">
        <f t="shared" si="106"/>
        <v/>
      </c>
      <c r="AS50" s="48" t="str">
        <f t="shared" si="107"/>
        <v/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>
      <c r="B51" s="81" t="str">
        <f>Weekly!B43</f>
        <v>1132</v>
      </c>
      <c r="C51" s="90" t="str">
        <f>Weekly!C43</f>
        <v>Michelle B.</v>
      </c>
      <c r="D51" s="90" t="str">
        <f>Weekly!D44</f>
        <v>Tran Wo</v>
      </c>
      <c r="E51" s="91" t="str">
        <f>VLOOKUP(B51,Team!$B$4:$E$183,4,FALSE)</f>
        <v>Stat.</v>
      </c>
      <c r="F51" s="92" t="str">
        <f>Weekly!V43</f>
        <v/>
      </c>
      <c r="G51" s="92" t="str">
        <f>Weekly!W43</f>
        <v/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/>
      </c>
      <c r="O51" s="84" t="str">
        <f t="shared" si="77"/>
        <v/>
      </c>
      <c r="P51" s="82" t="str">
        <f t="shared" si="78"/>
        <v/>
      </c>
      <c r="Q51" s="48" t="str">
        <f t="shared" si="79"/>
        <v/>
      </c>
      <c r="R51" s="48" t="str">
        <f t="shared" si="80"/>
        <v/>
      </c>
      <c r="S51" s="84" t="str">
        <f t="shared" si="81"/>
        <v/>
      </c>
      <c r="T51" s="82" t="str">
        <f t="shared" si="82"/>
        <v/>
      </c>
      <c r="U51" s="48" t="str">
        <f t="shared" si="83"/>
        <v/>
      </c>
      <c r="V51" s="48" t="str">
        <f t="shared" si="84"/>
        <v/>
      </c>
      <c r="W51" s="84" t="str">
        <f t="shared" si="85"/>
        <v/>
      </c>
      <c r="X51" s="82" t="str">
        <f t="shared" si="86"/>
        <v/>
      </c>
      <c r="Y51" s="48" t="str">
        <f t="shared" si="87"/>
        <v/>
      </c>
      <c r="Z51" s="48" t="str">
        <f t="shared" si="88"/>
        <v/>
      </c>
      <c r="AA51" s="84" t="str">
        <f t="shared" si="89"/>
        <v/>
      </c>
      <c r="AB51" s="82" t="str">
        <f t="shared" si="90"/>
        <v/>
      </c>
      <c r="AC51" s="48" t="str">
        <f t="shared" si="91"/>
        <v/>
      </c>
      <c r="AD51" s="48" t="str">
        <f t="shared" si="92"/>
        <v/>
      </c>
      <c r="AE51" s="84" t="str">
        <f t="shared" si="93"/>
        <v/>
      </c>
      <c r="AF51" s="82" t="str">
        <f t="shared" si="94"/>
        <v/>
      </c>
      <c r="AG51" s="48" t="str">
        <f t="shared" si="95"/>
        <v/>
      </c>
      <c r="AH51" s="48" t="str">
        <f t="shared" si="96"/>
        <v/>
      </c>
      <c r="AI51" s="84" t="str">
        <f t="shared" si="97"/>
        <v/>
      </c>
      <c r="AJ51" s="82" t="str">
        <f t="shared" si="98"/>
        <v/>
      </c>
      <c r="AK51" s="48" t="str">
        <f t="shared" si="99"/>
        <v/>
      </c>
      <c r="AL51" s="48" t="str">
        <f t="shared" si="100"/>
        <v/>
      </c>
      <c r="AM51" s="84" t="str">
        <f t="shared" si="101"/>
        <v/>
      </c>
      <c r="AN51" s="82" t="str">
        <f t="shared" si="102"/>
        <v/>
      </c>
      <c r="AO51" s="48" t="str">
        <f t="shared" si="103"/>
        <v/>
      </c>
      <c r="AP51" s="48" t="str">
        <f t="shared" si="104"/>
        <v/>
      </c>
      <c r="AQ51" s="84" t="str">
        <f t="shared" si="105"/>
        <v/>
      </c>
      <c r="AR51" s="82" t="str">
        <f t="shared" si="106"/>
        <v/>
      </c>
      <c r="AS51" s="48" t="str">
        <f t="shared" si="107"/>
        <v/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>
      <c r="B52" s="81" t="str">
        <f>Weekly!B44</f>
        <v>01525</v>
      </c>
      <c r="C52" s="90" t="str">
        <f>Weekly!C44</f>
        <v>Michelle T.</v>
      </c>
      <c r="D52" s="90" t="str">
        <f>Weekly!D45</f>
        <v>Ishikawa</v>
      </c>
      <c r="E52" s="91" t="str">
        <f>VLOOKUP(B52,Team!$B$4:$E$183,4,FALSE)</f>
        <v>Acc.</v>
      </c>
      <c r="F52" s="92" t="str">
        <f>Weekly!V44</f>
        <v/>
      </c>
      <c r="G52" s="92" t="str">
        <f>Weekly!W44</f>
        <v/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/>
      </c>
      <c r="O52" s="84" t="str">
        <f t="shared" si="77"/>
        <v/>
      </c>
      <c r="P52" s="82" t="str">
        <f t="shared" si="78"/>
        <v/>
      </c>
      <c r="Q52" s="48" t="str">
        <f t="shared" si="79"/>
        <v/>
      </c>
      <c r="R52" s="48" t="str">
        <f t="shared" si="80"/>
        <v/>
      </c>
      <c r="S52" s="84" t="str">
        <f t="shared" si="81"/>
        <v/>
      </c>
      <c r="T52" s="82" t="str">
        <f t="shared" si="82"/>
        <v/>
      </c>
      <c r="U52" s="48" t="str">
        <f t="shared" si="83"/>
        <v/>
      </c>
      <c r="V52" s="48" t="str">
        <f t="shared" si="84"/>
        <v/>
      </c>
      <c r="W52" s="84" t="str">
        <f t="shared" si="85"/>
        <v/>
      </c>
      <c r="X52" s="82" t="str">
        <f t="shared" si="86"/>
        <v/>
      </c>
      <c r="Y52" s="48" t="str">
        <f t="shared" si="87"/>
        <v/>
      </c>
      <c r="Z52" s="48" t="str">
        <f t="shared" si="88"/>
        <v/>
      </c>
      <c r="AA52" s="84" t="str">
        <f t="shared" si="89"/>
        <v/>
      </c>
      <c r="AB52" s="82" t="str">
        <f t="shared" si="90"/>
        <v/>
      </c>
      <c r="AC52" s="48" t="str">
        <f t="shared" si="91"/>
        <v/>
      </c>
      <c r="AD52" s="48" t="str">
        <f t="shared" si="92"/>
        <v/>
      </c>
      <c r="AE52" s="84" t="str">
        <f t="shared" si="93"/>
        <v/>
      </c>
      <c r="AF52" s="82" t="str">
        <f t="shared" si="94"/>
        <v/>
      </c>
      <c r="AG52" s="48" t="str">
        <f t="shared" si="95"/>
        <v/>
      </c>
      <c r="AH52" s="48" t="str">
        <f t="shared" si="96"/>
        <v/>
      </c>
      <c r="AI52" s="84" t="str">
        <f t="shared" si="97"/>
        <v/>
      </c>
      <c r="AJ52" s="82" t="str">
        <f t="shared" si="98"/>
        <v/>
      </c>
      <c r="AK52" s="48" t="str">
        <f t="shared" si="99"/>
        <v/>
      </c>
      <c r="AL52" s="48" t="str">
        <f t="shared" si="100"/>
        <v/>
      </c>
      <c r="AM52" s="84" t="str">
        <f t="shared" si="101"/>
        <v/>
      </c>
      <c r="AN52" s="82" t="str">
        <f t="shared" si="102"/>
        <v/>
      </c>
      <c r="AO52" s="48" t="str">
        <f t="shared" si="103"/>
        <v/>
      </c>
      <c r="AP52" s="48" t="str">
        <f t="shared" si="104"/>
        <v/>
      </c>
      <c r="AQ52" s="84" t="str">
        <f t="shared" si="105"/>
        <v/>
      </c>
      <c r="AR52" s="82" t="str">
        <f t="shared" si="106"/>
        <v/>
      </c>
      <c r="AS52" s="48" t="str">
        <f t="shared" si="107"/>
        <v/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>
      <c r="B53" s="81" t="str">
        <f>Weekly!B45</f>
        <v>1234</v>
      </c>
      <c r="C53" s="90" t="str">
        <f>Weekly!C45</f>
        <v>Misato</v>
      </c>
      <c r="D53" s="90" t="str">
        <f>Weekly!D46</f>
        <v>Choi</v>
      </c>
      <c r="E53" s="91" t="str">
        <f>VLOOKUP(B53,Team!$B$4:$E$183,4,FALSE)</f>
        <v>L's</v>
      </c>
      <c r="F53" s="92" t="str">
        <f>Weekly!V45</f>
        <v/>
      </c>
      <c r="G53" s="92" t="str">
        <f>Weekly!W45</f>
        <v/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/>
      </c>
      <c r="O53" s="84" t="str">
        <f t="shared" si="77"/>
        <v/>
      </c>
      <c r="P53" s="82" t="str">
        <f t="shared" si="78"/>
        <v/>
      </c>
      <c r="Q53" s="48" t="str">
        <f t="shared" si="79"/>
        <v/>
      </c>
      <c r="R53" s="48" t="str">
        <f t="shared" si="80"/>
        <v/>
      </c>
      <c r="S53" s="84" t="str">
        <f t="shared" si="81"/>
        <v/>
      </c>
      <c r="T53" s="82" t="str">
        <f t="shared" si="82"/>
        <v/>
      </c>
      <c r="U53" s="48" t="str">
        <f t="shared" si="83"/>
        <v/>
      </c>
      <c r="V53" s="48" t="str">
        <f t="shared" si="84"/>
        <v/>
      </c>
      <c r="W53" s="84" t="str">
        <f t="shared" si="85"/>
        <v/>
      </c>
      <c r="X53" s="82" t="str">
        <f t="shared" si="86"/>
        <v/>
      </c>
      <c r="Y53" s="48" t="str">
        <f t="shared" si="87"/>
        <v/>
      </c>
      <c r="Z53" s="48" t="str">
        <f t="shared" si="88"/>
        <v/>
      </c>
      <c r="AA53" s="84" t="str">
        <f t="shared" si="89"/>
        <v/>
      </c>
      <c r="AB53" s="82" t="str">
        <f t="shared" si="90"/>
        <v/>
      </c>
      <c r="AC53" s="48" t="str">
        <f t="shared" si="91"/>
        <v/>
      </c>
      <c r="AD53" s="48" t="str">
        <f t="shared" si="92"/>
        <v/>
      </c>
      <c r="AE53" s="84" t="str">
        <f t="shared" si="93"/>
        <v/>
      </c>
      <c r="AF53" s="82" t="str">
        <f t="shared" si="94"/>
        <v/>
      </c>
      <c r="AG53" s="48" t="str">
        <f t="shared" si="95"/>
        <v/>
      </c>
      <c r="AH53" s="48" t="str">
        <f t="shared" si="96"/>
        <v/>
      </c>
      <c r="AI53" s="84" t="str">
        <f t="shared" si="97"/>
        <v/>
      </c>
      <c r="AJ53" s="82" t="str">
        <f t="shared" si="98"/>
        <v/>
      </c>
      <c r="AK53" s="48" t="str">
        <f t="shared" si="99"/>
        <v/>
      </c>
      <c r="AL53" s="48" t="str">
        <f t="shared" si="100"/>
        <v/>
      </c>
      <c r="AM53" s="84" t="str">
        <f t="shared" si="101"/>
        <v/>
      </c>
      <c r="AN53" s="82" t="str">
        <f t="shared" si="102"/>
        <v/>
      </c>
      <c r="AO53" s="48" t="str">
        <f t="shared" si="103"/>
        <v/>
      </c>
      <c r="AP53" s="48" t="str">
        <f t="shared" si="104"/>
        <v/>
      </c>
      <c r="AQ53" s="84" t="str">
        <f t="shared" si="105"/>
        <v/>
      </c>
      <c r="AR53" s="82" t="str">
        <f t="shared" si="106"/>
        <v/>
      </c>
      <c r="AS53" s="48" t="str">
        <f t="shared" si="107"/>
        <v/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>
      <c r="B54" s="81" t="str">
        <f>Weekly!B46</f>
        <v>1015</v>
      </c>
      <c r="C54" s="90" t="str">
        <f>Weekly!C46</f>
        <v>Natalie C.</v>
      </c>
      <c r="D54" s="90" t="str">
        <f>Weekly!D47</f>
        <v>Nguyen</v>
      </c>
      <c r="E54" s="91" t="str">
        <f>VLOOKUP(B54,Team!$B$4:$E$183,4,FALSE)</f>
        <v>H&amp;B</v>
      </c>
      <c r="F54" s="92">
        <f>Weekly!V46</f>
        <v>0.375</v>
      </c>
      <c r="G54" s="92">
        <f>Weekly!W46</f>
        <v>0.70833333333333304</v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>H&amp;B</v>
      </c>
      <c r="Q54" s="48" t="str">
        <f t="shared" si="79"/>
        <v>H&amp;B</v>
      </c>
      <c r="R54" s="48" t="str">
        <f t="shared" si="80"/>
        <v>H&amp;B</v>
      </c>
      <c r="S54" s="84" t="str">
        <f t="shared" si="81"/>
        <v>H&amp;B</v>
      </c>
      <c r="T54" s="82" t="str">
        <f t="shared" si="82"/>
        <v>H&amp;B</v>
      </c>
      <c r="U54" s="48" t="str">
        <f t="shared" si="83"/>
        <v>H&amp;B</v>
      </c>
      <c r="V54" s="48" t="str">
        <f t="shared" si="84"/>
        <v>H&amp;B</v>
      </c>
      <c r="W54" s="84" t="str">
        <f t="shared" si="85"/>
        <v>H&amp;B</v>
      </c>
      <c r="X54" s="82" t="str">
        <f t="shared" si="86"/>
        <v>H&amp;B</v>
      </c>
      <c r="Y54" s="48" t="str">
        <f t="shared" si="87"/>
        <v>H&amp;B</v>
      </c>
      <c r="Z54" s="48" t="str">
        <f t="shared" si="88"/>
        <v>H&amp;B</v>
      </c>
      <c r="AA54" s="84" t="str">
        <f t="shared" si="89"/>
        <v>H&amp;B</v>
      </c>
      <c r="AB54" s="82" t="str">
        <f t="shared" si="90"/>
        <v>H&amp;B</v>
      </c>
      <c r="AC54" s="48" t="str">
        <f t="shared" si="91"/>
        <v>H&amp;B</v>
      </c>
      <c r="AD54" s="48" t="str">
        <f t="shared" si="92"/>
        <v>H&amp;B</v>
      </c>
      <c r="AE54" s="84" t="str">
        <f t="shared" si="93"/>
        <v>H&amp;B</v>
      </c>
      <c r="AF54" s="82" t="str">
        <f t="shared" si="94"/>
        <v>H&amp;B</v>
      </c>
      <c r="AG54" s="48" t="str">
        <f t="shared" si="95"/>
        <v>H&amp;B</v>
      </c>
      <c r="AH54" s="48" t="str">
        <f t="shared" si="96"/>
        <v>H&amp;B</v>
      </c>
      <c r="AI54" s="84" t="str">
        <f t="shared" si="97"/>
        <v>H&amp;B</v>
      </c>
      <c r="AJ54" s="82" t="str">
        <f t="shared" si="98"/>
        <v>H&amp;B</v>
      </c>
      <c r="AK54" s="48" t="str">
        <f t="shared" si="99"/>
        <v>H&amp;B</v>
      </c>
      <c r="AL54" s="48" t="str">
        <f t="shared" si="100"/>
        <v>H&amp;B</v>
      </c>
      <c r="AM54" s="84" t="str">
        <f t="shared" si="101"/>
        <v>H&amp;B</v>
      </c>
      <c r="AN54" s="82" t="str">
        <f t="shared" si="102"/>
        <v>H&amp;B</v>
      </c>
      <c r="AO54" s="48" t="str">
        <f t="shared" si="103"/>
        <v>H&amp;B</v>
      </c>
      <c r="AP54" s="48" t="str">
        <f t="shared" si="104"/>
        <v>H&amp;B</v>
      </c>
      <c r="AQ54" s="84" t="str">
        <f t="shared" si="105"/>
        <v>H&amp;B</v>
      </c>
      <c r="AR54" s="82" t="str">
        <f t="shared" si="106"/>
        <v>H&amp;B</v>
      </c>
      <c r="AS54" s="48" t="str">
        <f t="shared" si="107"/>
        <v>H&amp;B</v>
      </c>
      <c r="AT54" s="48" t="str">
        <f t="shared" si="108"/>
        <v>H&amp;B</v>
      </c>
      <c r="AU54" s="84" t="str">
        <f t="shared" si="109"/>
        <v>H&amp;B</v>
      </c>
      <c r="AV54" s="82" t="str">
        <f t="shared" si="110"/>
        <v/>
      </c>
      <c r="AW54" s="48" t="str">
        <f t="shared" si="111"/>
        <v/>
      </c>
      <c r="AX54" s="48" t="str">
        <f t="shared" si="112"/>
        <v/>
      </c>
      <c r="AY54" s="84" t="str">
        <f t="shared" si="113"/>
        <v/>
      </c>
      <c r="AZ54" s="82" t="str">
        <f t="shared" si="114"/>
        <v/>
      </c>
      <c r="BA54" s="48" t="str">
        <f t="shared" si="115"/>
        <v/>
      </c>
      <c r="BB54" s="48" t="str">
        <f t="shared" si="116"/>
        <v/>
      </c>
      <c r="BC54" s="84" t="str">
        <f t="shared" si="117"/>
        <v/>
      </c>
      <c r="BD54" s="82" t="str">
        <f t="shared" si="118"/>
        <v/>
      </c>
      <c r="BE54" s="48" t="str">
        <f t="shared" si="119"/>
        <v/>
      </c>
      <c r="BF54" s="48" t="str">
        <f t="shared" si="120"/>
        <v/>
      </c>
      <c r="BG54" s="84" t="str">
        <f t="shared" si="121"/>
        <v/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>
      <c r="B55" s="81" t="str">
        <f>Weekly!B47</f>
        <v>01529</v>
      </c>
      <c r="C55" s="90" t="str">
        <f>Weekly!C47</f>
        <v>Natalie N.</v>
      </c>
      <c r="D55" s="90" t="str">
        <f>Weekly!D48</f>
        <v>De Vera</v>
      </c>
      <c r="E55" s="91" t="str">
        <f>VLOOKUP(B55,Team!$B$4:$E$183,4,FALSE)</f>
        <v>L's</v>
      </c>
      <c r="F55" s="92">
        <f>Weekly!V47</f>
        <v>0.499999999999999</v>
      </c>
      <c r="G55" s="92">
        <f>Weekly!W47</f>
        <v>0.83333333333333204</v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/>
      </c>
      <c r="O55" s="84" t="str">
        <f t="shared" si="77"/>
        <v/>
      </c>
      <c r="P55" s="82" t="str">
        <f t="shared" si="78"/>
        <v/>
      </c>
      <c r="Q55" s="48" t="str">
        <f t="shared" si="79"/>
        <v/>
      </c>
      <c r="R55" s="48" t="str">
        <f t="shared" si="80"/>
        <v/>
      </c>
      <c r="S55" s="84" t="str">
        <f t="shared" si="81"/>
        <v/>
      </c>
      <c r="T55" s="82" t="str">
        <f t="shared" si="82"/>
        <v/>
      </c>
      <c r="U55" s="48" t="str">
        <f t="shared" si="83"/>
        <v/>
      </c>
      <c r="V55" s="48" t="str">
        <f t="shared" si="84"/>
        <v/>
      </c>
      <c r="W55" s="84" t="str">
        <f t="shared" si="85"/>
        <v/>
      </c>
      <c r="X55" s="82" t="str">
        <f t="shared" si="86"/>
        <v/>
      </c>
      <c r="Y55" s="48" t="str">
        <f t="shared" si="87"/>
        <v/>
      </c>
      <c r="Z55" s="48" t="str">
        <f t="shared" si="88"/>
        <v/>
      </c>
      <c r="AA55" s="84" t="str">
        <f t="shared" si="89"/>
        <v/>
      </c>
      <c r="AB55" s="82" t="str">
        <f t="shared" si="90"/>
        <v>L's</v>
      </c>
      <c r="AC55" s="48" t="str">
        <f t="shared" si="91"/>
        <v>L's</v>
      </c>
      <c r="AD55" s="48" t="str">
        <f t="shared" si="92"/>
        <v>L's</v>
      </c>
      <c r="AE55" s="84" t="str">
        <f t="shared" si="93"/>
        <v>L's</v>
      </c>
      <c r="AF55" s="82" t="str">
        <f t="shared" si="94"/>
        <v>L's</v>
      </c>
      <c r="AG55" s="48" t="str">
        <f t="shared" si="95"/>
        <v>L's</v>
      </c>
      <c r="AH55" s="48" t="str">
        <f t="shared" si="96"/>
        <v>L's</v>
      </c>
      <c r="AI55" s="84" t="str">
        <f t="shared" si="97"/>
        <v>L's</v>
      </c>
      <c r="AJ55" s="82" t="str">
        <f t="shared" si="98"/>
        <v>L's</v>
      </c>
      <c r="AK55" s="48" t="str">
        <f t="shared" si="99"/>
        <v>L's</v>
      </c>
      <c r="AL55" s="48" t="str">
        <f t="shared" si="100"/>
        <v>L's</v>
      </c>
      <c r="AM55" s="84" t="str">
        <f t="shared" si="101"/>
        <v>L's</v>
      </c>
      <c r="AN55" s="82" t="str">
        <f t="shared" si="102"/>
        <v>L's</v>
      </c>
      <c r="AO55" s="48" t="str">
        <f t="shared" si="103"/>
        <v>L's</v>
      </c>
      <c r="AP55" s="48" t="str">
        <f t="shared" si="104"/>
        <v>L's</v>
      </c>
      <c r="AQ55" s="84" t="str">
        <f t="shared" si="105"/>
        <v>L's</v>
      </c>
      <c r="AR55" s="82" t="str">
        <f t="shared" si="106"/>
        <v>L's</v>
      </c>
      <c r="AS55" s="48" t="str">
        <f t="shared" si="107"/>
        <v>L's</v>
      </c>
      <c r="AT55" s="48" t="str">
        <f t="shared" si="108"/>
        <v>L's</v>
      </c>
      <c r="AU55" s="84" t="str">
        <f t="shared" si="109"/>
        <v>L's</v>
      </c>
      <c r="AV55" s="82" t="str">
        <f t="shared" si="110"/>
        <v>L's</v>
      </c>
      <c r="AW55" s="48" t="str">
        <f t="shared" si="111"/>
        <v>L's</v>
      </c>
      <c r="AX55" s="48" t="str">
        <f t="shared" si="112"/>
        <v>L's</v>
      </c>
      <c r="AY55" s="84" t="str">
        <f t="shared" si="113"/>
        <v>L's</v>
      </c>
      <c r="AZ55" s="82" t="str">
        <f t="shared" si="114"/>
        <v>L's</v>
      </c>
      <c r="BA55" s="48" t="str">
        <f t="shared" si="115"/>
        <v>L's</v>
      </c>
      <c r="BB55" s="48" t="str">
        <f t="shared" si="116"/>
        <v>L's</v>
      </c>
      <c r="BC55" s="84" t="str">
        <f t="shared" si="117"/>
        <v>L's</v>
      </c>
      <c r="BD55" s="82" t="str">
        <f t="shared" si="118"/>
        <v>L's</v>
      </c>
      <c r="BE55" s="48" t="str">
        <f t="shared" si="119"/>
        <v>L's</v>
      </c>
      <c r="BF55" s="48" t="str">
        <f t="shared" si="120"/>
        <v>L's</v>
      </c>
      <c r="BG55" s="84" t="str">
        <f t="shared" si="121"/>
        <v>L's</v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>
      <c r="B56" s="81" t="str">
        <f>Weekly!B48</f>
        <v>1257</v>
      </c>
      <c r="C56" s="90" t="str">
        <f>Weekly!C48</f>
        <v>Noreen</v>
      </c>
      <c r="D56" s="90" t="str">
        <f>Weekly!D49</f>
        <v>Lin</v>
      </c>
      <c r="E56" s="91" t="str">
        <f>VLOOKUP(B56,Team!$B$4:$E$183,4,FALSE)</f>
        <v>L's</v>
      </c>
      <c r="F56" s="92" t="str">
        <f>Weekly!V48</f>
        <v/>
      </c>
      <c r="G56" s="92" t="str">
        <f>Weekly!W48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>
      <c r="B57" s="81" t="str">
        <f>Weekly!B49</f>
        <v>1287</v>
      </c>
      <c r="C57" s="90" t="str">
        <f>Weekly!C49</f>
        <v>Pearl</v>
      </c>
      <c r="D57" s="90" t="str">
        <f>Weekly!D50</f>
        <v>Rabena</v>
      </c>
      <c r="E57" s="91" t="str">
        <f>VLOOKUP(B57,Team!$B$4:$E$183,4,FALSE)</f>
        <v>L's</v>
      </c>
      <c r="F57" s="92" t="str">
        <f>Weekly!V49</f>
        <v/>
      </c>
      <c r="G57" s="92" t="str">
        <f>Weekly!W49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>
      <c r="B58" s="81" t="str">
        <f>Weekly!B50</f>
        <v>1232</v>
      </c>
      <c r="C58" s="90" t="str">
        <f>Weekly!C50</f>
        <v>Penny</v>
      </c>
      <c r="D58" s="90" t="str">
        <f>Weekly!D51</f>
        <v>Seeto</v>
      </c>
      <c r="E58" s="91" t="str">
        <f>VLOOKUP(B58,Team!$B$4:$E$183,4,FALSE)</f>
        <v>L's</v>
      </c>
      <c r="F58" s="92" t="str">
        <f>Weekly!V50</f>
        <v/>
      </c>
      <c r="G58" s="92" t="str">
        <f>Weekly!W50</f>
        <v/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/>
      </c>
      <c r="O58" s="84" t="str">
        <f t="shared" si="77"/>
        <v/>
      </c>
      <c r="P58" s="82" t="str">
        <f t="shared" si="78"/>
        <v/>
      </c>
      <c r="Q58" s="48" t="str">
        <f t="shared" si="79"/>
        <v/>
      </c>
      <c r="R58" s="48" t="str">
        <f t="shared" si="80"/>
        <v/>
      </c>
      <c r="S58" s="84" t="str">
        <f t="shared" si="81"/>
        <v/>
      </c>
      <c r="T58" s="82" t="str">
        <f t="shared" si="82"/>
        <v/>
      </c>
      <c r="U58" s="48" t="str">
        <f t="shared" si="83"/>
        <v/>
      </c>
      <c r="V58" s="48" t="str">
        <f t="shared" si="84"/>
        <v/>
      </c>
      <c r="W58" s="84" t="str">
        <f t="shared" si="85"/>
        <v/>
      </c>
      <c r="X58" s="82" t="str">
        <f t="shared" si="86"/>
        <v/>
      </c>
      <c r="Y58" s="48" t="str">
        <f t="shared" si="87"/>
        <v/>
      </c>
      <c r="Z58" s="48" t="str">
        <f t="shared" si="88"/>
        <v/>
      </c>
      <c r="AA58" s="84" t="str">
        <f t="shared" si="89"/>
        <v/>
      </c>
      <c r="AB58" s="82" t="str">
        <f t="shared" si="90"/>
        <v/>
      </c>
      <c r="AC58" s="48" t="str">
        <f t="shared" si="91"/>
        <v/>
      </c>
      <c r="AD58" s="48" t="str">
        <f t="shared" si="92"/>
        <v/>
      </c>
      <c r="AE58" s="84" t="str">
        <f t="shared" si="93"/>
        <v/>
      </c>
      <c r="AF58" s="82" t="str">
        <f t="shared" si="94"/>
        <v/>
      </c>
      <c r="AG58" s="48" t="str">
        <f t="shared" si="95"/>
        <v/>
      </c>
      <c r="AH58" s="48" t="str">
        <f t="shared" si="96"/>
        <v/>
      </c>
      <c r="AI58" s="84" t="str">
        <f t="shared" si="97"/>
        <v/>
      </c>
      <c r="AJ58" s="82" t="str">
        <f t="shared" si="98"/>
        <v/>
      </c>
      <c r="AK58" s="48" t="str">
        <f t="shared" si="99"/>
        <v/>
      </c>
      <c r="AL58" s="48" t="str">
        <f t="shared" si="100"/>
        <v/>
      </c>
      <c r="AM58" s="84" t="str">
        <f t="shared" si="101"/>
        <v/>
      </c>
      <c r="AN58" s="82" t="str">
        <f t="shared" si="102"/>
        <v/>
      </c>
      <c r="AO58" s="48" t="str">
        <f t="shared" si="103"/>
        <v/>
      </c>
      <c r="AP58" s="48" t="str">
        <f t="shared" si="104"/>
        <v/>
      </c>
      <c r="AQ58" s="84" t="str">
        <f t="shared" si="105"/>
        <v/>
      </c>
      <c r="AR58" s="82" t="str">
        <f t="shared" si="106"/>
        <v/>
      </c>
      <c r="AS58" s="48" t="str">
        <f t="shared" si="107"/>
        <v/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>
      <c r="B59" s="81" t="str">
        <f>Weekly!B51</f>
        <v>303</v>
      </c>
      <c r="C59" s="90" t="str">
        <f>Weekly!C51</f>
        <v>Rachel</v>
      </c>
      <c r="D59" s="90" t="str">
        <f>Weekly!D52</f>
        <v>Deoferio</v>
      </c>
      <c r="E59" s="91" t="str">
        <f>VLOOKUP(B59,Team!$B$4:$E$183,4,FALSE)</f>
        <v>ADM</v>
      </c>
      <c r="F59" s="92" t="str">
        <f>Weekly!V51</f>
        <v/>
      </c>
      <c r="G59" s="92" t="str">
        <f>Weekly!W51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>
      <c r="B60" s="81" t="str">
        <f>Weekly!B52</f>
        <v>1142</v>
      </c>
      <c r="C60" s="90" t="str">
        <f>Weekly!C52</f>
        <v>Ralph</v>
      </c>
      <c r="D60" s="90" t="str">
        <f>Weekly!D53</f>
        <v>Chen</v>
      </c>
      <c r="E60" s="91" t="str">
        <f>VLOOKUP(B60,Team!$B$4:$E$183,4,FALSE)</f>
        <v>L's</v>
      </c>
      <c r="F60" s="92" t="str">
        <f>Weekly!V52</f>
        <v/>
      </c>
      <c r="G60" s="92" t="str">
        <f>Weekly!W52</f>
        <v/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/>
      </c>
      <c r="O60" s="84" t="str">
        <f t="shared" si="77"/>
        <v/>
      </c>
      <c r="P60" s="82" t="str">
        <f t="shared" si="78"/>
        <v/>
      </c>
      <c r="Q60" s="48" t="str">
        <f t="shared" si="79"/>
        <v/>
      </c>
      <c r="R60" s="48" t="str">
        <f t="shared" si="80"/>
        <v/>
      </c>
      <c r="S60" s="84" t="str">
        <f t="shared" si="81"/>
        <v/>
      </c>
      <c r="T60" s="82" t="str">
        <f t="shared" si="82"/>
        <v/>
      </c>
      <c r="U60" s="48" t="str">
        <f t="shared" si="83"/>
        <v/>
      </c>
      <c r="V60" s="48" t="str">
        <f t="shared" si="84"/>
        <v/>
      </c>
      <c r="W60" s="84" t="str">
        <f t="shared" si="85"/>
        <v/>
      </c>
      <c r="X60" s="82" t="str">
        <f t="shared" si="86"/>
        <v/>
      </c>
      <c r="Y60" s="48" t="str">
        <f t="shared" si="87"/>
        <v/>
      </c>
      <c r="Z60" s="48" t="str">
        <f t="shared" si="88"/>
        <v/>
      </c>
      <c r="AA60" s="84" t="str">
        <f t="shared" si="89"/>
        <v/>
      </c>
      <c r="AB60" s="82" t="str">
        <f t="shared" si="90"/>
        <v/>
      </c>
      <c r="AC60" s="48" t="str">
        <f t="shared" si="91"/>
        <v/>
      </c>
      <c r="AD60" s="48" t="str">
        <f t="shared" si="92"/>
        <v/>
      </c>
      <c r="AE60" s="84" t="str">
        <f t="shared" si="93"/>
        <v/>
      </c>
      <c r="AF60" s="82" t="str">
        <f t="shared" si="94"/>
        <v/>
      </c>
      <c r="AG60" s="48" t="str">
        <f t="shared" si="95"/>
        <v/>
      </c>
      <c r="AH60" s="48" t="str">
        <f t="shared" si="96"/>
        <v/>
      </c>
      <c r="AI60" s="84" t="str">
        <f t="shared" si="97"/>
        <v/>
      </c>
      <c r="AJ60" s="82" t="str">
        <f t="shared" si="98"/>
        <v/>
      </c>
      <c r="AK60" s="48" t="str">
        <f t="shared" si="99"/>
        <v/>
      </c>
      <c r="AL60" s="48" t="str">
        <f t="shared" si="100"/>
        <v/>
      </c>
      <c r="AM60" s="84" t="str">
        <f t="shared" si="101"/>
        <v/>
      </c>
      <c r="AN60" s="82" t="str">
        <f t="shared" si="102"/>
        <v/>
      </c>
      <c r="AO60" s="48" t="str">
        <f t="shared" si="103"/>
        <v/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>
      <c r="B61" s="81" t="str">
        <f>Weekly!B53</f>
        <v>01528</v>
      </c>
      <c r="C61" s="90" t="str">
        <f>Weekly!C53</f>
        <v>Rena</v>
      </c>
      <c r="D61" s="90" t="str">
        <f>Weekly!D54</f>
        <v>Ma</v>
      </c>
      <c r="E61" s="91" t="str">
        <f>VLOOKUP(B61,Team!$B$4:$E$183,4,FALSE)</f>
        <v>L's</v>
      </c>
      <c r="F61" s="92" t="str">
        <f>Weekly!V53</f>
        <v/>
      </c>
      <c r="G61" s="92" t="str">
        <f>Weekly!W53</f>
        <v/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/>
      </c>
      <c r="O61" s="84" t="str">
        <f t="shared" si="77"/>
        <v/>
      </c>
      <c r="P61" s="82" t="str">
        <f t="shared" si="78"/>
        <v/>
      </c>
      <c r="Q61" s="48" t="str">
        <f t="shared" si="79"/>
        <v/>
      </c>
      <c r="R61" s="48" t="str">
        <f t="shared" si="80"/>
        <v/>
      </c>
      <c r="S61" s="84" t="str">
        <f t="shared" si="81"/>
        <v/>
      </c>
      <c r="T61" s="82" t="str">
        <f t="shared" si="82"/>
        <v/>
      </c>
      <c r="U61" s="48" t="str">
        <f t="shared" si="83"/>
        <v/>
      </c>
      <c r="V61" s="48" t="str">
        <f t="shared" si="84"/>
        <v/>
      </c>
      <c r="W61" s="84" t="str">
        <f t="shared" si="85"/>
        <v/>
      </c>
      <c r="X61" s="82" t="str">
        <f t="shared" si="86"/>
        <v/>
      </c>
      <c r="Y61" s="48" t="str">
        <f t="shared" si="87"/>
        <v/>
      </c>
      <c r="Z61" s="48" t="str">
        <f t="shared" si="88"/>
        <v/>
      </c>
      <c r="AA61" s="84" t="str">
        <f t="shared" si="89"/>
        <v/>
      </c>
      <c r="AB61" s="82" t="str">
        <f t="shared" si="90"/>
        <v/>
      </c>
      <c r="AC61" s="48" t="str">
        <f t="shared" si="91"/>
        <v/>
      </c>
      <c r="AD61" s="48" t="str">
        <f t="shared" si="92"/>
        <v/>
      </c>
      <c r="AE61" s="84" t="str">
        <f t="shared" si="93"/>
        <v/>
      </c>
      <c r="AF61" s="82" t="str">
        <f t="shared" si="94"/>
        <v/>
      </c>
      <c r="AG61" s="48" t="str">
        <f t="shared" si="95"/>
        <v/>
      </c>
      <c r="AH61" s="48" t="str">
        <f t="shared" si="96"/>
        <v/>
      </c>
      <c r="AI61" s="84" t="str">
        <f t="shared" si="97"/>
        <v/>
      </c>
      <c r="AJ61" s="82" t="str">
        <f t="shared" si="98"/>
        <v/>
      </c>
      <c r="AK61" s="48" t="str">
        <f t="shared" si="99"/>
        <v/>
      </c>
      <c r="AL61" s="48" t="str">
        <f t="shared" si="100"/>
        <v/>
      </c>
      <c r="AM61" s="84" t="str">
        <f t="shared" si="101"/>
        <v/>
      </c>
      <c r="AN61" s="82" t="str">
        <f t="shared" si="102"/>
        <v/>
      </c>
      <c r="AO61" s="48" t="str">
        <f t="shared" si="103"/>
        <v/>
      </c>
      <c r="AP61" s="48" t="str">
        <f t="shared" si="104"/>
        <v/>
      </c>
      <c r="AQ61" s="84" t="str">
        <f t="shared" si="105"/>
        <v/>
      </c>
      <c r="AR61" s="82" t="str">
        <f t="shared" si="106"/>
        <v/>
      </c>
      <c r="AS61" s="48" t="str">
        <f t="shared" si="107"/>
        <v/>
      </c>
      <c r="AT61" s="48" t="str">
        <f t="shared" si="108"/>
        <v/>
      </c>
      <c r="AU61" s="84" t="str">
        <f t="shared" si="109"/>
        <v/>
      </c>
      <c r="AV61" s="82" t="str">
        <f t="shared" si="110"/>
        <v/>
      </c>
      <c r="AW61" s="48" t="str">
        <f t="shared" si="111"/>
        <v/>
      </c>
      <c r="AX61" s="48" t="str">
        <f t="shared" si="112"/>
        <v/>
      </c>
      <c r="AY61" s="84" t="str">
        <f t="shared" si="113"/>
        <v/>
      </c>
      <c r="AZ61" s="82" t="str">
        <f t="shared" si="114"/>
        <v/>
      </c>
      <c r="BA61" s="48" t="str">
        <f t="shared" si="115"/>
        <v/>
      </c>
      <c r="BB61" s="48" t="str">
        <f t="shared" si="116"/>
        <v/>
      </c>
      <c r="BC61" s="84" t="str">
        <f t="shared" si="117"/>
        <v/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>
      <c r="B62" s="81" t="str">
        <f>Weekly!B54</f>
        <v>1237</v>
      </c>
      <c r="C62" s="90" t="str">
        <f>Weekly!C54</f>
        <v>Rich</v>
      </c>
      <c r="D62" s="90" t="str">
        <f>Weekly!D55</f>
        <v>Lee</v>
      </c>
      <c r="E62" s="91" t="str">
        <f>VLOOKUP(B62,Team!$B$4:$E$183,4,FALSE)</f>
        <v>F</v>
      </c>
      <c r="F62" s="92">
        <f>Weekly!V54</f>
        <v>0.375</v>
      </c>
      <c r="G62" s="92">
        <f>Weekly!W54</f>
        <v>0.70833333333333304</v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>F</v>
      </c>
      <c r="Q62" s="48" t="str">
        <f t="shared" si="79"/>
        <v>F</v>
      </c>
      <c r="R62" s="48" t="str">
        <f t="shared" si="80"/>
        <v>F</v>
      </c>
      <c r="S62" s="84" t="str">
        <f t="shared" si="81"/>
        <v>F</v>
      </c>
      <c r="T62" s="82" t="str">
        <f t="shared" si="82"/>
        <v>F</v>
      </c>
      <c r="U62" s="48" t="str">
        <f t="shared" si="83"/>
        <v>F</v>
      </c>
      <c r="V62" s="48" t="str">
        <f t="shared" si="84"/>
        <v>F</v>
      </c>
      <c r="W62" s="84" t="str">
        <f t="shared" si="85"/>
        <v>F</v>
      </c>
      <c r="X62" s="82" t="str">
        <f t="shared" si="86"/>
        <v>F</v>
      </c>
      <c r="Y62" s="48" t="str">
        <f t="shared" si="87"/>
        <v>F</v>
      </c>
      <c r="Z62" s="48" t="str">
        <f t="shared" si="88"/>
        <v>F</v>
      </c>
      <c r="AA62" s="84" t="str">
        <f t="shared" si="89"/>
        <v>F</v>
      </c>
      <c r="AB62" s="82" t="str">
        <f t="shared" si="90"/>
        <v>F</v>
      </c>
      <c r="AC62" s="48" t="str">
        <f t="shared" si="91"/>
        <v>F</v>
      </c>
      <c r="AD62" s="48" t="str">
        <f t="shared" si="92"/>
        <v>F</v>
      </c>
      <c r="AE62" s="84" t="str">
        <f t="shared" si="93"/>
        <v>F</v>
      </c>
      <c r="AF62" s="82" t="str">
        <f t="shared" si="94"/>
        <v>F</v>
      </c>
      <c r="AG62" s="48" t="str">
        <f t="shared" si="95"/>
        <v>F</v>
      </c>
      <c r="AH62" s="48" t="str">
        <f t="shared" si="96"/>
        <v>F</v>
      </c>
      <c r="AI62" s="84" t="str">
        <f t="shared" si="97"/>
        <v>F</v>
      </c>
      <c r="AJ62" s="82" t="str">
        <f t="shared" si="98"/>
        <v>F</v>
      </c>
      <c r="AK62" s="48" t="str">
        <f t="shared" si="99"/>
        <v>F</v>
      </c>
      <c r="AL62" s="48" t="str">
        <f t="shared" si="100"/>
        <v>F</v>
      </c>
      <c r="AM62" s="84" t="str">
        <f t="shared" si="101"/>
        <v>F</v>
      </c>
      <c r="AN62" s="82" t="str">
        <f t="shared" si="102"/>
        <v>F</v>
      </c>
      <c r="AO62" s="48" t="str">
        <f t="shared" si="103"/>
        <v>F</v>
      </c>
      <c r="AP62" s="48" t="str">
        <f t="shared" si="104"/>
        <v>F</v>
      </c>
      <c r="AQ62" s="84" t="str">
        <f t="shared" si="105"/>
        <v>F</v>
      </c>
      <c r="AR62" s="82" t="str">
        <f t="shared" si="106"/>
        <v>F</v>
      </c>
      <c r="AS62" s="48" t="str">
        <f t="shared" si="107"/>
        <v>F</v>
      </c>
      <c r="AT62" s="48" t="str">
        <f t="shared" si="108"/>
        <v>F</v>
      </c>
      <c r="AU62" s="84" t="str">
        <f t="shared" si="109"/>
        <v>F</v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>
      <c r="B63" s="81" t="str">
        <f>Weekly!B55</f>
        <v>1133</v>
      </c>
      <c r="C63" s="90" t="str">
        <f>Weekly!C55</f>
        <v>Sarah</v>
      </c>
      <c r="D63" s="90" t="str">
        <f>Weekly!D56</f>
        <v>Lim</v>
      </c>
      <c r="E63" s="91" t="str">
        <f>VLOOKUP(B63,Team!$B$4:$E$183,4,FALSE)</f>
        <v>L's</v>
      </c>
      <c r="F63" s="92" t="str">
        <f>Weekly!V55</f>
        <v/>
      </c>
      <c r="G63" s="92" t="str">
        <f>Weekly!W55</f>
        <v/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/>
      </c>
      <c r="Q63" s="48" t="str">
        <f t="shared" si="79"/>
        <v/>
      </c>
      <c r="R63" s="48" t="str">
        <f t="shared" si="80"/>
        <v/>
      </c>
      <c r="S63" s="84" t="str">
        <f t="shared" si="81"/>
        <v/>
      </c>
      <c r="T63" s="82" t="str">
        <f t="shared" si="82"/>
        <v/>
      </c>
      <c r="U63" s="48" t="str">
        <f t="shared" si="83"/>
        <v/>
      </c>
      <c r="V63" s="48" t="str">
        <f t="shared" si="84"/>
        <v/>
      </c>
      <c r="W63" s="84" t="str">
        <f t="shared" si="85"/>
        <v/>
      </c>
      <c r="X63" s="82" t="str">
        <f t="shared" si="86"/>
        <v/>
      </c>
      <c r="Y63" s="48" t="str">
        <f t="shared" si="87"/>
        <v/>
      </c>
      <c r="Z63" s="48" t="str">
        <f t="shared" si="88"/>
        <v/>
      </c>
      <c r="AA63" s="84" t="str">
        <f t="shared" si="89"/>
        <v/>
      </c>
      <c r="AB63" s="82" t="str">
        <f t="shared" si="90"/>
        <v/>
      </c>
      <c r="AC63" s="48" t="str">
        <f t="shared" si="91"/>
        <v/>
      </c>
      <c r="AD63" s="48" t="str">
        <f t="shared" si="92"/>
        <v/>
      </c>
      <c r="AE63" s="84" t="str">
        <f t="shared" si="93"/>
        <v/>
      </c>
      <c r="AF63" s="82" t="str">
        <f t="shared" si="94"/>
        <v/>
      </c>
      <c r="AG63" s="48" t="str">
        <f t="shared" si="95"/>
        <v/>
      </c>
      <c r="AH63" s="48" t="str">
        <f t="shared" si="96"/>
        <v/>
      </c>
      <c r="AI63" s="84" t="str">
        <f t="shared" si="97"/>
        <v/>
      </c>
      <c r="AJ63" s="82" t="str">
        <f t="shared" si="98"/>
        <v/>
      </c>
      <c r="AK63" s="48" t="str">
        <f t="shared" si="99"/>
        <v/>
      </c>
      <c r="AL63" s="48" t="str">
        <f t="shared" si="100"/>
        <v/>
      </c>
      <c r="AM63" s="84" t="str">
        <f t="shared" si="101"/>
        <v/>
      </c>
      <c r="AN63" s="82" t="str">
        <f t="shared" si="102"/>
        <v/>
      </c>
      <c r="AO63" s="48" t="str">
        <f t="shared" si="103"/>
        <v/>
      </c>
      <c r="AP63" s="48" t="str">
        <f t="shared" si="104"/>
        <v/>
      </c>
      <c r="AQ63" s="84" t="str">
        <f t="shared" si="105"/>
        <v/>
      </c>
      <c r="AR63" s="82" t="str">
        <f t="shared" si="106"/>
        <v/>
      </c>
      <c r="AS63" s="48" t="str">
        <f t="shared" si="107"/>
        <v/>
      </c>
      <c r="AT63" s="48" t="str">
        <f t="shared" si="108"/>
        <v/>
      </c>
      <c r="AU63" s="84" t="str">
        <f t="shared" si="109"/>
        <v/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>
      <c r="B64" s="81" t="str">
        <f>Weekly!B56</f>
        <v>891</v>
      </c>
      <c r="C64" s="90" t="str">
        <f>Weekly!C56</f>
        <v>Sienna</v>
      </c>
      <c r="D64" s="90" t="str">
        <f>Weekly!D57</f>
        <v>Turner</v>
      </c>
      <c r="E64" s="91" t="str">
        <f>VLOOKUP(B64,Team!$B$4:$E$183,4,FALSE)</f>
        <v>Stat.</v>
      </c>
      <c r="F64" s="92" t="str">
        <f>Weekly!V56</f>
        <v/>
      </c>
      <c r="G64" s="92" t="str">
        <f>Weekly!W56</f>
        <v/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/>
      </c>
      <c r="Y64" s="48" t="str">
        <f t="shared" si="87"/>
        <v/>
      </c>
      <c r="Z64" s="48" t="str">
        <f t="shared" si="88"/>
        <v/>
      </c>
      <c r="AA64" s="84" t="str">
        <f t="shared" si="89"/>
        <v/>
      </c>
      <c r="AB64" s="82" t="str">
        <f t="shared" si="90"/>
        <v/>
      </c>
      <c r="AC64" s="48" t="str">
        <f t="shared" si="91"/>
        <v/>
      </c>
      <c r="AD64" s="48" t="str">
        <f t="shared" si="92"/>
        <v/>
      </c>
      <c r="AE64" s="84" t="str">
        <f t="shared" si="93"/>
        <v/>
      </c>
      <c r="AF64" s="82" t="str">
        <f t="shared" si="94"/>
        <v/>
      </c>
      <c r="AG64" s="48" t="str">
        <f t="shared" si="95"/>
        <v/>
      </c>
      <c r="AH64" s="48" t="str">
        <f t="shared" si="96"/>
        <v/>
      </c>
      <c r="AI64" s="84" t="str">
        <f t="shared" si="97"/>
        <v/>
      </c>
      <c r="AJ64" s="82" t="str">
        <f t="shared" si="98"/>
        <v/>
      </c>
      <c r="AK64" s="48" t="str">
        <f t="shared" si="99"/>
        <v/>
      </c>
      <c r="AL64" s="48" t="str">
        <f t="shared" si="100"/>
        <v/>
      </c>
      <c r="AM64" s="84" t="str">
        <f t="shared" si="101"/>
        <v/>
      </c>
      <c r="AN64" s="82" t="str">
        <f t="shared" si="102"/>
        <v/>
      </c>
      <c r="AO64" s="48" t="str">
        <f t="shared" si="103"/>
        <v/>
      </c>
      <c r="AP64" s="48" t="str">
        <f t="shared" si="104"/>
        <v/>
      </c>
      <c r="AQ64" s="84" t="str">
        <f t="shared" si="105"/>
        <v/>
      </c>
      <c r="AR64" s="82" t="str">
        <f t="shared" si="106"/>
        <v/>
      </c>
      <c r="AS64" s="48" t="str">
        <f t="shared" si="107"/>
        <v/>
      </c>
      <c r="AT64" s="48" t="str">
        <f t="shared" si="108"/>
        <v/>
      </c>
      <c r="AU64" s="84" t="str">
        <f t="shared" si="109"/>
        <v/>
      </c>
      <c r="AV64" s="82" t="str">
        <f t="shared" si="110"/>
        <v/>
      </c>
      <c r="AW64" s="48" t="str">
        <f t="shared" si="111"/>
        <v/>
      </c>
      <c r="AX64" s="48" t="str">
        <f t="shared" si="112"/>
        <v/>
      </c>
      <c r="AY64" s="84" t="str">
        <f t="shared" si="113"/>
        <v/>
      </c>
      <c r="AZ64" s="82" t="str">
        <f t="shared" si="114"/>
        <v/>
      </c>
      <c r="BA64" s="48" t="str">
        <f t="shared" si="115"/>
        <v/>
      </c>
      <c r="BB64" s="48" t="str">
        <f t="shared" si="116"/>
        <v/>
      </c>
      <c r="BC64" s="84" t="str">
        <f t="shared" si="117"/>
        <v/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>
      <c r="B65" s="81" t="str">
        <f>Weekly!B57</f>
        <v>1108</v>
      </c>
      <c r="C65" s="90" t="str">
        <f>Weekly!C57</f>
        <v>Tara</v>
      </c>
      <c r="D65" s="90" t="str">
        <f>Weekly!D58</f>
        <v>Wu</v>
      </c>
      <c r="E65" s="91" t="str">
        <f>VLOOKUP(B65,Team!$B$4:$E$183,4,FALSE)</f>
        <v>ASM</v>
      </c>
      <c r="F65" s="92">
        <f>Weekly!V57</f>
        <v>0.375</v>
      </c>
      <c r="G65" s="92">
        <f>Weekly!W57</f>
        <v>0.70833333333333304</v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>ASM</v>
      </c>
      <c r="Q65" s="48" t="str">
        <f t="shared" si="79"/>
        <v>ASM</v>
      </c>
      <c r="R65" s="48" t="str">
        <f t="shared" si="80"/>
        <v>ASM</v>
      </c>
      <c r="S65" s="84" t="str">
        <f t="shared" si="81"/>
        <v>ASM</v>
      </c>
      <c r="T65" s="82" t="str">
        <f t="shared" si="82"/>
        <v>ASM</v>
      </c>
      <c r="U65" s="48" t="str">
        <f t="shared" si="83"/>
        <v>ASM</v>
      </c>
      <c r="V65" s="48" t="str">
        <f t="shared" si="84"/>
        <v>ASM</v>
      </c>
      <c r="W65" s="84" t="str">
        <f t="shared" si="85"/>
        <v>ASM</v>
      </c>
      <c r="X65" s="82" t="str">
        <f t="shared" si="86"/>
        <v>ASM</v>
      </c>
      <c r="Y65" s="48" t="str">
        <f t="shared" si="87"/>
        <v>ASM</v>
      </c>
      <c r="Z65" s="48" t="str">
        <f t="shared" si="88"/>
        <v>ASM</v>
      </c>
      <c r="AA65" s="84" t="str">
        <f t="shared" si="89"/>
        <v>ASM</v>
      </c>
      <c r="AB65" s="82" t="str">
        <f t="shared" si="90"/>
        <v>ASM</v>
      </c>
      <c r="AC65" s="48" t="str">
        <f t="shared" si="91"/>
        <v>ASM</v>
      </c>
      <c r="AD65" s="48" t="str">
        <f t="shared" si="92"/>
        <v>ASM</v>
      </c>
      <c r="AE65" s="84" t="str">
        <f t="shared" si="93"/>
        <v>ASM</v>
      </c>
      <c r="AF65" s="82" t="str">
        <f t="shared" si="94"/>
        <v>ASM</v>
      </c>
      <c r="AG65" s="48" t="str">
        <f t="shared" si="95"/>
        <v>ASM</v>
      </c>
      <c r="AH65" s="48" t="str">
        <f t="shared" si="96"/>
        <v>ASM</v>
      </c>
      <c r="AI65" s="84" t="str">
        <f t="shared" si="97"/>
        <v>ASM</v>
      </c>
      <c r="AJ65" s="82" t="str">
        <f t="shared" si="98"/>
        <v>ASM</v>
      </c>
      <c r="AK65" s="48" t="str">
        <f t="shared" si="99"/>
        <v>ASM</v>
      </c>
      <c r="AL65" s="48" t="str">
        <f t="shared" si="100"/>
        <v>ASM</v>
      </c>
      <c r="AM65" s="84" t="str">
        <f t="shared" si="101"/>
        <v>ASM</v>
      </c>
      <c r="AN65" s="82" t="str">
        <f t="shared" si="102"/>
        <v>ASM</v>
      </c>
      <c r="AO65" s="48" t="str">
        <f t="shared" si="103"/>
        <v>ASM</v>
      </c>
      <c r="AP65" s="48" t="str">
        <f t="shared" si="104"/>
        <v>ASM</v>
      </c>
      <c r="AQ65" s="84" t="str">
        <f t="shared" si="105"/>
        <v>ASM</v>
      </c>
      <c r="AR65" s="82" t="str">
        <f t="shared" si="106"/>
        <v>ASM</v>
      </c>
      <c r="AS65" s="48" t="str">
        <f t="shared" si="107"/>
        <v>ASM</v>
      </c>
      <c r="AT65" s="48" t="str">
        <f t="shared" si="108"/>
        <v>ASM</v>
      </c>
      <c r="AU65" s="84" t="str">
        <f t="shared" si="109"/>
        <v>ASM</v>
      </c>
      <c r="AV65" s="82" t="str">
        <f t="shared" si="110"/>
        <v/>
      </c>
      <c r="AW65" s="48" t="str">
        <f t="shared" si="111"/>
        <v/>
      </c>
      <c r="AX65" s="48" t="str">
        <f t="shared" si="112"/>
        <v/>
      </c>
      <c r="AY65" s="84" t="str">
        <f t="shared" si="113"/>
        <v/>
      </c>
      <c r="AZ65" s="82" t="str">
        <f t="shared" si="114"/>
        <v/>
      </c>
      <c r="BA65" s="48" t="str">
        <f t="shared" si="115"/>
        <v/>
      </c>
      <c r="BB65" s="48" t="str">
        <f t="shared" si="116"/>
        <v/>
      </c>
      <c r="BC65" s="84" t="str">
        <f t="shared" si="117"/>
        <v/>
      </c>
      <c r="BD65" s="82" t="str">
        <f t="shared" si="118"/>
        <v/>
      </c>
      <c r="BE65" s="48" t="str">
        <f t="shared" si="119"/>
        <v/>
      </c>
      <c r="BF65" s="48" t="str">
        <f t="shared" si="120"/>
        <v/>
      </c>
      <c r="BG65" s="84" t="str">
        <f t="shared" si="121"/>
        <v/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>
      <c r="B66" s="81" t="str">
        <f>Weekly!B58</f>
        <v>01521</v>
      </c>
      <c r="C66" s="90" t="str">
        <f>Weekly!C58</f>
        <v>Tom</v>
      </c>
      <c r="D66" s="90" t="str">
        <f>Weekly!D59</f>
        <v>Shimada</v>
      </c>
      <c r="E66" s="91" t="str">
        <f>VLOOKUP(B66,Team!$B$4:$E$183,4,FALSE)</f>
        <v>M's</v>
      </c>
      <c r="F66" s="92" t="str">
        <f>Weekly!V58</f>
        <v/>
      </c>
      <c r="G66" s="92" t="str">
        <f>Weekly!W58</f>
        <v/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/>
      </c>
      <c r="Q66" s="48" t="str">
        <f t="shared" si="79"/>
        <v/>
      </c>
      <c r="R66" s="48" t="str">
        <f t="shared" si="80"/>
        <v/>
      </c>
      <c r="S66" s="84" t="str">
        <f t="shared" si="81"/>
        <v/>
      </c>
      <c r="T66" s="82" t="str">
        <f t="shared" si="82"/>
        <v/>
      </c>
      <c r="U66" s="48" t="str">
        <f t="shared" si="83"/>
        <v/>
      </c>
      <c r="V66" s="48" t="str">
        <f t="shared" si="84"/>
        <v/>
      </c>
      <c r="W66" s="84" t="str">
        <f t="shared" si="85"/>
        <v/>
      </c>
      <c r="X66" s="82" t="str">
        <f t="shared" si="86"/>
        <v/>
      </c>
      <c r="Y66" s="48" t="str">
        <f t="shared" si="87"/>
        <v/>
      </c>
      <c r="Z66" s="48" t="str">
        <f t="shared" si="88"/>
        <v/>
      </c>
      <c r="AA66" s="84" t="str">
        <f t="shared" si="89"/>
        <v/>
      </c>
      <c r="AB66" s="82" t="str">
        <f t="shared" si="90"/>
        <v/>
      </c>
      <c r="AC66" s="48" t="str">
        <f t="shared" si="91"/>
        <v/>
      </c>
      <c r="AD66" s="48" t="str">
        <f t="shared" si="92"/>
        <v/>
      </c>
      <c r="AE66" s="84" t="str">
        <f t="shared" si="93"/>
        <v/>
      </c>
      <c r="AF66" s="82" t="str">
        <f t="shared" si="94"/>
        <v/>
      </c>
      <c r="AG66" s="48" t="str">
        <f t="shared" si="95"/>
        <v/>
      </c>
      <c r="AH66" s="48" t="str">
        <f t="shared" si="96"/>
        <v/>
      </c>
      <c r="AI66" s="84" t="str">
        <f t="shared" si="97"/>
        <v/>
      </c>
      <c r="AJ66" s="82" t="str">
        <f t="shared" si="98"/>
        <v/>
      </c>
      <c r="AK66" s="48" t="str">
        <f t="shared" si="99"/>
        <v/>
      </c>
      <c r="AL66" s="48" t="str">
        <f t="shared" si="100"/>
        <v/>
      </c>
      <c r="AM66" s="84" t="str">
        <f t="shared" si="101"/>
        <v/>
      </c>
      <c r="AN66" s="82" t="str">
        <f t="shared" si="102"/>
        <v/>
      </c>
      <c r="AO66" s="48" t="str">
        <f t="shared" si="103"/>
        <v/>
      </c>
      <c r="AP66" s="48" t="str">
        <f t="shared" si="104"/>
        <v/>
      </c>
      <c r="AQ66" s="84" t="str">
        <f t="shared" si="105"/>
        <v/>
      </c>
      <c r="AR66" s="82" t="str">
        <f t="shared" si="106"/>
        <v/>
      </c>
      <c r="AS66" s="48" t="str">
        <f t="shared" si="107"/>
        <v/>
      </c>
      <c r="AT66" s="48" t="str">
        <f t="shared" si="108"/>
        <v/>
      </c>
      <c r="AU66" s="84" t="str">
        <f t="shared" si="109"/>
        <v/>
      </c>
      <c r="AV66" s="82" t="str">
        <f t="shared" si="110"/>
        <v/>
      </c>
      <c r="AW66" s="48" t="str">
        <f t="shared" si="111"/>
        <v/>
      </c>
      <c r="AX66" s="48" t="str">
        <f t="shared" si="112"/>
        <v/>
      </c>
      <c r="AY66" s="84" t="str">
        <f t="shared" si="113"/>
        <v/>
      </c>
      <c r="AZ66" s="82" t="str">
        <f t="shared" si="114"/>
        <v/>
      </c>
      <c r="BA66" s="48" t="str">
        <f t="shared" si="115"/>
        <v/>
      </c>
      <c r="BB66" s="48" t="str">
        <f t="shared" si="116"/>
        <v/>
      </c>
      <c r="BC66" s="84" t="str">
        <f t="shared" si="117"/>
        <v/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>
      <c r="B67" s="81" t="str">
        <f>Weekly!B59</f>
        <v>1062</v>
      </c>
      <c r="C67" s="90" t="str">
        <f>Weekly!C59</f>
        <v>Tomoko</v>
      </c>
      <c r="D67" s="90" t="str">
        <f>Weekly!D60</f>
        <v>Kim</v>
      </c>
      <c r="E67" s="91" t="str">
        <f>VLOOKUP(B67,Team!$B$4:$E$183,4,FALSE)</f>
        <v>L's</v>
      </c>
      <c r="F67" s="92">
        <f>Weekly!V59</f>
        <v>0.499999999999999</v>
      </c>
      <c r="G67" s="92">
        <f>Weekly!W59</f>
        <v>0.83333333333333204</v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>L's</v>
      </c>
      <c r="AC67" s="48" t="str">
        <f t="shared" si="91"/>
        <v>L's</v>
      </c>
      <c r="AD67" s="48" t="str">
        <f t="shared" si="92"/>
        <v>L's</v>
      </c>
      <c r="AE67" s="84" t="str">
        <f t="shared" si="93"/>
        <v>L's</v>
      </c>
      <c r="AF67" s="82" t="str">
        <f t="shared" si="94"/>
        <v>L's</v>
      </c>
      <c r="AG67" s="48" t="str">
        <f t="shared" si="95"/>
        <v>L's</v>
      </c>
      <c r="AH67" s="48" t="str">
        <f t="shared" si="96"/>
        <v>L's</v>
      </c>
      <c r="AI67" s="84" t="str">
        <f t="shared" si="97"/>
        <v>L's</v>
      </c>
      <c r="AJ67" s="82" t="str">
        <f t="shared" si="98"/>
        <v>L's</v>
      </c>
      <c r="AK67" s="48" t="str">
        <f t="shared" si="99"/>
        <v>L's</v>
      </c>
      <c r="AL67" s="48" t="str">
        <f t="shared" si="100"/>
        <v>L's</v>
      </c>
      <c r="AM67" s="84" t="str">
        <f t="shared" si="101"/>
        <v>L's</v>
      </c>
      <c r="AN67" s="82" t="str">
        <f t="shared" si="102"/>
        <v>L's</v>
      </c>
      <c r="AO67" s="48" t="str">
        <f t="shared" si="103"/>
        <v>L's</v>
      </c>
      <c r="AP67" s="48" t="str">
        <f t="shared" si="104"/>
        <v>L's</v>
      </c>
      <c r="AQ67" s="84" t="str">
        <f t="shared" si="105"/>
        <v>L's</v>
      </c>
      <c r="AR67" s="82" t="str">
        <f t="shared" si="106"/>
        <v>L's</v>
      </c>
      <c r="AS67" s="48" t="str">
        <f t="shared" si="107"/>
        <v>L's</v>
      </c>
      <c r="AT67" s="48" t="str">
        <f t="shared" si="108"/>
        <v>L's</v>
      </c>
      <c r="AU67" s="84" t="str">
        <f t="shared" si="109"/>
        <v>L's</v>
      </c>
      <c r="AV67" s="82" t="str">
        <f t="shared" si="110"/>
        <v>L's</v>
      </c>
      <c r="AW67" s="48" t="str">
        <f t="shared" si="111"/>
        <v>L's</v>
      </c>
      <c r="AX67" s="48" t="str">
        <f t="shared" si="112"/>
        <v>L's</v>
      </c>
      <c r="AY67" s="84" t="str">
        <f t="shared" si="113"/>
        <v>L's</v>
      </c>
      <c r="AZ67" s="82" t="str">
        <f t="shared" si="114"/>
        <v>L's</v>
      </c>
      <c r="BA67" s="48" t="str">
        <f t="shared" si="115"/>
        <v>L's</v>
      </c>
      <c r="BB67" s="48" t="str">
        <f t="shared" si="116"/>
        <v>L's</v>
      </c>
      <c r="BC67" s="84" t="str">
        <f t="shared" si="117"/>
        <v>L's</v>
      </c>
      <c r="BD67" s="82" t="str">
        <f t="shared" si="118"/>
        <v>L's</v>
      </c>
      <c r="BE67" s="48" t="str">
        <f t="shared" si="119"/>
        <v>L's</v>
      </c>
      <c r="BF67" s="48" t="str">
        <f t="shared" si="120"/>
        <v>L's</v>
      </c>
      <c r="BG67" s="84" t="str">
        <f t="shared" si="121"/>
        <v>L's</v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>
      <c r="B68" s="81" t="str">
        <f>Weekly!B60</f>
        <v>1149</v>
      </c>
      <c r="C68" s="90" t="str">
        <f>Weekly!C60</f>
        <v>Vera</v>
      </c>
      <c r="D68" s="90" t="str">
        <f>Weekly!D61</f>
        <v>Sin</v>
      </c>
      <c r="E68" s="91" t="str">
        <f>VLOOKUP(B68,Team!$B$4:$E$183,4,FALSE)</f>
        <v>L's</v>
      </c>
      <c r="F68" s="92" t="str">
        <f>Weekly!V60</f>
        <v/>
      </c>
      <c r="G68" s="92" t="str">
        <f>Weekly!W60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>
      <c r="B69" s="81" t="str">
        <f>Weekly!B61</f>
        <v>1160</v>
      </c>
      <c r="C69" s="90" t="str">
        <f>Weekly!C61</f>
        <v>Yura</v>
      </c>
      <c r="D69" s="90">
        <f>Weekly!D62</f>
        <v>0</v>
      </c>
      <c r="E69" s="91" t="str">
        <f>VLOOKUP(B69,Team!$B$4:$E$183,4,FALSE)</f>
        <v>SPV</v>
      </c>
      <c r="F69" s="92" t="str">
        <f>Weekly!V61</f>
        <v/>
      </c>
      <c r="G69" s="92" t="str">
        <f>Weekly!W61</f>
        <v/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/>
      </c>
      <c r="O69" s="84" t="str">
        <f t="shared" si="77"/>
        <v/>
      </c>
      <c r="P69" s="82" t="str">
        <f t="shared" si="78"/>
        <v/>
      </c>
      <c r="Q69" s="48" t="str">
        <f t="shared" si="79"/>
        <v/>
      </c>
      <c r="R69" s="48" t="str">
        <f t="shared" si="80"/>
        <v/>
      </c>
      <c r="S69" s="84" t="str">
        <f t="shared" si="81"/>
        <v/>
      </c>
      <c r="T69" s="82" t="str">
        <f t="shared" si="82"/>
        <v/>
      </c>
      <c r="U69" s="48" t="str">
        <f t="shared" si="83"/>
        <v/>
      </c>
      <c r="V69" s="48" t="str">
        <f t="shared" si="84"/>
        <v/>
      </c>
      <c r="W69" s="84" t="str">
        <f t="shared" si="85"/>
        <v/>
      </c>
      <c r="X69" s="82" t="str">
        <f t="shared" si="86"/>
        <v/>
      </c>
      <c r="Y69" s="48" t="str">
        <f t="shared" si="87"/>
        <v/>
      </c>
      <c r="Z69" s="48" t="str">
        <f t="shared" si="88"/>
        <v/>
      </c>
      <c r="AA69" s="84" t="str">
        <f t="shared" si="89"/>
        <v/>
      </c>
      <c r="AB69" s="82" t="str">
        <f t="shared" si="90"/>
        <v/>
      </c>
      <c r="AC69" s="48" t="str">
        <f t="shared" si="91"/>
        <v/>
      </c>
      <c r="AD69" s="48" t="str">
        <f t="shared" si="92"/>
        <v/>
      </c>
      <c r="AE69" s="84" t="str">
        <f t="shared" si="93"/>
        <v/>
      </c>
      <c r="AF69" s="82" t="str">
        <f t="shared" si="94"/>
        <v/>
      </c>
      <c r="AG69" s="48" t="str">
        <f t="shared" si="95"/>
        <v/>
      </c>
      <c r="AH69" s="48" t="str">
        <f t="shared" si="96"/>
        <v/>
      </c>
      <c r="AI69" s="84" t="str">
        <f t="shared" si="97"/>
        <v/>
      </c>
      <c r="AJ69" s="82" t="str">
        <f t="shared" si="98"/>
        <v/>
      </c>
      <c r="AK69" s="48" t="str">
        <f t="shared" si="99"/>
        <v/>
      </c>
      <c r="AL69" s="48" t="str">
        <f t="shared" si="100"/>
        <v/>
      </c>
      <c r="AM69" s="84" t="str">
        <f t="shared" si="101"/>
        <v/>
      </c>
      <c r="AN69" s="82" t="str">
        <f t="shared" si="102"/>
        <v/>
      </c>
      <c r="AO69" s="48" t="str">
        <f t="shared" si="103"/>
        <v/>
      </c>
      <c r="AP69" s="48" t="str">
        <f t="shared" si="104"/>
        <v/>
      </c>
      <c r="AQ69" s="84" t="str">
        <f t="shared" si="105"/>
        <v/>
      </c>
      <c r="AR69" s="82" t="str">
        <f t="shared" si="106"/>
        <v/>
      </c>
      <c r="AS69" s="48" t="str">
        <f t="shared" si="107"/>
        <v/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>
      <c r="B70" s="81">
        <f>Weekly!B62</f>
        <v>0</v>
      </c>
      <c r="C70" s="90">
        <f>Weekly!C62</f>
        <v>0</v>
      </c>
      <c r="D70" s="90">
        <f>Weekly!D63</f>
        <v>0</v>
      </c>
      <c r="E70" s="91" t="e">
        <f>VLOOKUP(B70,Team!$B$4:$E$183,4,FALSE)</f>
        <v>#N/A</v>
      </c>
      <c r="F70" s="92" t="str">
        <f>Weekly!V62</f>
        <v/>
      </c>
      <c r="G70" s="92" t="str">
        <f>Weekly!W62</f>
        <v/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/>
      </c>
      <c r="O70" s="84" t="str">
        <f t="shared" si="77"/>
        <v/>
      </c>
      <c r="P70" s="82" t="str">
        <f t="shared" si="78"/>
        <v/>
      </c>
      <c r="Q70" s="48" t="str">
        <f t="shared" si="79"/>
        <v/>
      </c>
      <c r="R70" s="48" t="str">
        <f t="shared" si="80"/>
        <v/>
      </c>
      <c r="S70" s="84" t="str">
        <f t="shared" si="81"/>
        <v/>
      </c>
      <c r="T70" s="82" t="str">
        <f t="shared" si="82"/>
        <v/>
      </c>
      <c r="U70" s="48" t="str">
        <f t="shared" si="83"/>
        <v/>
      </c>
      <c r="V70" s="48" t="str">
        <f t="shared" si="84"/>
        <v/>
      </c>
      <c r="W70" s="84" t="str">
        <f t="shared" si="85"/>
        <v/>
      </c>
      <c r="X70" s="82" t="str">
        <f t="shared" si="86"/>
        <v/>
      </c>
      <c r="Y70" s="48" t="str">
        <f t="shared" si="87"/>
        <v/>
      </c>
      <c r="Z70" s="48" t="str">
        <f t="shared" si="88"/>
        <v/>
      </c>
      <c r="AA70" s="84" t="str">
        <f t="shared" si="89"/>
        <v/>
      </c>
      <c r="AB70" s="82" t="str">
        <f t="shared" si="90"/>
        <v/>
      </c>
      <c r="AC70" s="48" t="str">
        <f t="shared" si="91"/>
        <v/>
      </c>
      <c r="AD70" s="48" t="str">
        <f t="shared" si="92"/>
        <v/>
      </c>
      <c r="AE70" s="84" t="str">
        <f t="shared" si="93"/>
        <v/>
      </c>
      <c r="AF70" s="82" t="str">
        <f t="shared" si="94"/>
        <v/>
      </c>
      <c r="AG70" s="48" t="str">
        <f t="shared" si="95"/>
        <v/>
      </c>
      <c r="AH70" s="48" t="str">
        <f t="shared" si="96"/>
        <v/>
      </c>
      <c r="AI70" s="84" t="str">
        <f t="shared" si="97"/>
        <v/>
      </c>
      <c r="AJ70" s="82" t="str">
        <f t="shared" si="98"/>
        <v/>
      </c>
      <c r="AK70" s="48" t="str">
        <f t="shared" si="99"/>
        <v/>
      </c>
      <c r="AL70" s="48" t="str">
        <f t="shared" si="100"/>
        <v/>
      </c>
      <c r="AM70" s="84" t="str">
        <f t="shared" si="101"/>
        <v/>
      </c>
      <c r="AN70" s="82" t="str">
        <f t="shared" si="102"/>
        <v/>
      </c>
      <c r="AO70" s="48" t="str">
        <f t="shared" si="103"/>
        <v/>
      </c>
      <c r="AP70" s="48" t="str">
        <f t="shared" si="104"/>
        <v/>
      </c>
      <c r="AQ70" s="84" t="str">
        <f t="shared" si="105"/>
        <v/>
      </c>
      <c r="AR70" s="82" t="str">
        <f t="shared" si="106"/>
        <v/>
      </c>
      <c r="AS70" s="48" t="str">
        <f t="shared" si="107"/>
        <v/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>
      <c r="B71" s="81">
        <f>Weekly!B63</f>
        <v>0</v>
      </c>
      <c r="C71" s="90">
        <f>Weekly!C63</f>
        <v>0</v>
      </c>
      <c r="D71" s="90">
        <f>Weekly!D64</f>
        <v>0</v>
      </c>
      <c r="E71" s="91" t="e">
        <f>VLOOKUP(B71,Team!$B$4:$E$183,4,FALSE)</f>
        <v>#N/A</v>
      </c>
      <c r="F71" s="92" t="str">
        <f>Weekly!V63</f>
        <v/>
      </c>
      <c r="G71" s="92" t="str">
        <f>Weekly!W63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>
      <c r="B72" s="81">
        <f>Weekly!B64</f>
        <v>0</v>
      </c>
      <c r="C72" s="90">
        <f>Weekly!C64</f>
        <v>0</v>
      </c>
      <c r="D72" s="90">
        <f>Weekly!D65</f>
        <v>0</v>
      </c>
      <c r="E72" s="91" t="e">
        <f>VLOOKUP(B72,Team!$B$4:$E$183,4,FALSE)</f>
        <v>#N/A</v>
      </c>
      <c r="F72" s="92" t="str">
        <f>Weekly!V64</f>
        <v/>
      </c>
      <c r="G72" s="92" t="str">
        <f>Weekly!W64</f>
        <v/>
      </c>
      <c r="H72" s="48" t="str">
        <f t="shared" si="70"/>
        <v/>
      </c>
      <c r="I72" s="48" t="str">
        <f t="shared" si="71"/>
        <v/>
      </c>
      <c r="J72" s="48" t="str">
        <f t="shared" si="72"/>
        <v/>
      </c>
      <c r="K72" s="84" t="str">
        <f t="shared" si="73"/>
        <v/>
      </c>
      <c r="L72" s="82" t="str">
        <f t="shared" si="74"/>
        <v/>
      </c>
      <c r="M72" s="48" t="str">
        <f t="shared" si="75"/>
        <v/>
      </c>
      <c r="N72" s="48" t="str">
        <f t="shared" si="76"/>
        <v/>
      </c>
      <c r="O72" s="84" t="str">
        <f t="shared" si="77"/>
        <v/>
      </c>
      <c r="P72" s="82" t="str">
        <f t="shared" si="78"/>
        <v/>
      </c>
      <c r="Q72" s="48" t="str">
        <f t="shared" si="79"/>
        <v/>
      </c>
      <c r="R72" s="48" t="str">
        <f t="shared" si="80"/>
        <v/>
      </c>
      <c r="S72" s="84" t="str">
        <f t="shared" si="81"/>
        <v/>
      </c>
      <c r="T72" s="82" t="str">
        <f t="shared" si="82"/>
        <v/>
      </c>
      <c r="U72" s="48" t="str">
        <f t="shared" si="83"/>
        <v/>
      </c>
      <c r="V72" s="48" t="str">
        <f t="shared" si="84"/>
        <v/>
      </c>
      <c r="W72" s="84" t="str">
        <f t="shared" si="85"/>
        <v/>
      </c>
      <c r="X72" s="82" t="str">
        <f t="shared" si="86"/>
        <v/>
      </c>
      <c r="Y72" s="48" t="str">
        <f t="shared" si="87"/>
        <v/>
      </c>
      <c r="Z72" s="48" t="str">
        <f t="shared" si="88"/>
        <v/>
      </c>
      <c r="AA72" s="84" t="str">
        <f t="shared" si="89"/>
        <v/>
      </c>
      <c r="AB72" s="82" t="str">
        <f t="shared" si="90"/>
        <v/>
      </c>
      <c r="AC72" s="48" t="str">
        <f t="shared" si="91"/>
        <v/>
      </c>
      <c r="AD72" s="48" t="str">
        <f t="shared" si="92"/>
        <v/>
      </c>
      <c r="AE72" s="84" t="str">
        <f t="shared" si="93"/>
        <v/>
      </c>
      <c r="AF72" s="82" t="str">
        <f t="shared" si="94"/>
        <v/>
      </c>
      <c r="AG72" s="48" t="str">
        <f t="shared" si="95"/>
        <v/>
      </c>
      <c r="AH72" s="48" t="str">
        <f t="shared" si="96"/>
        <v/>
      </c>
      <c r="AI72" s="84" t="str">
        <f t="shared" si="97"/>
        <v/>
      </c>
      <c r="AJ72" s="82" t="str">
        <f t="shared" si="98"/>
        <v/>
      </c>
      <c r="AK72" s="48" t="str">
        <f t="shared" si="99"/>
        <v/>
      </c>
      <c r="AL72" s="48" t="str">
        <f t="shared" si="100"/>
        <v/>
      </c>
      <c r="AM72" s="84" t="str">
        <f t="shared" si="101"/>
        <v/>
      </c>
      <c r="AN72" s="82" t="str">
        <f t="shared" si="102"/>
        <v/>
      </c>
      <c r="AO72" s="48" t="str">
        <f t="shared" si="103"/>
        <v/>
      </c>
      <c r="AP72" s="48" t="str">
        <f t="shared" si="104"/>
        <v/>
      </c>
      <c r="AQ72" s="84" t="str">
        <f t="shared" si="105"/>
        <v/>
      </c>
      <c r="AR72" s="82" t="str">
        <f t="shared" si="106"/>
        <v/>
      </c>
      <c r="AS72" s="48" t="str">
        <f t="shared" si="107"/>
        <v/>
      </c>
      <c r="AT72" s="48" t="str">
        <f t="shared" si="108"/>
        <v/>
      </c>
      <c r="AU72" s="84" t="str">
        <f t="shared" si="109"/>
        <v/>
      </c>
      <c r="AV72" s="82" t="str">
        <f t="shared" si="110"/>
        <v/>
      </c>
      <c r="AW72" s="48" t="str">
        <f t="shared" si="111"/>
        <v/>
      </c>
      <c r="AX72" s="48" t="str">
        <f t="shared" si="112"/>
        <v/>
      </c>
      <c r="AY72" s="84" t="str">
        <f t="shared" si="113"/>
        <v/>
      </c>
      <c r="AZ72" s="82" t="str">
        <f t="shared" si="114"/>
        <v/>
      </c>
      <c r="BA72" s="48" t="str">
        <f t="shared" si="115"/>
        <v/>
      </c>
      <c r="BB72" s="48" t="str">
        <f t="shared" si="116"/>
        <v/>
      </c>
      <c r="BC72" s="84" t="str">
        <f t="shared" si="117"/>
        <v/>
      </c>
      <c r="BD72" s="82" t="str">
        <f t="shared" si="118"/>
        <v/>
      </c>
      <c r="BE72" s="48" t="str">
        <f t="shared" si="119"/>
        <v/>
      </c>
      <c r="BF72" s="48" t="str">
        <f t="shared" si="120"/>
        <v/>
      </c>
      <c r="BG72" s="84" t="str">
        <f t="shared" si="121"/>
        <v/>
      </c>
      <c r="BH72" s="87" t="str">
        <f t="shared" si="122"/>
        <v/>
      </c>
      <c r="BI72" s="49" t="str">
        <f t="shared" si="123"/>
        <v/>
      </c>
      <c r="BJ72" s="49" t="str">
        <f t="shared" si="124"/>
        <v/>
      </c>
      <c r="BK72" s="89" t="str">
        <f t="shared" si="125"/>
        <v/>
      </c>
      <c r="BL72" s="87" t="str">
        <f t="shared" si="126"/>
        <v/>
      </c>
      <c r="BM72" s="49" t="str">
        <f t="shared" si="127"/>
        <v/>
      </c>
      <c r="BN72" s="49" t="str">
        <f t="shared" si="128"/>
        <v/>
      </c>
      <c r="BO72" s="89" t="str">
        <f t="shared" si="129"/>
        <v/>
      </c>
      <c r="BP72" s="87" t="str">
        <f t="shared" si="130"/>
        <v/>
      </c>
      <c r="BQ72" s="49" t="str">
        <f t="shared" si="131"/>
        <v/>
      </c>
      <c r="BR72" s="49" t="str">
        <f t="shared" si="132"/>
        <v/>
      </c>
      <c r="BS72" s="89" t="str">
        <f t="shared" si="133"/>
        <v/>
      </c>
      <c r="BT72" s="87" t="str">
        <f t="shared" si="134"/>
        <v/>
      </c>
    </row>
    <row r="73" spans="2:72">
      <c r="B73" s="81">
        <f>Weekly!B65</f>
        <v>0</v>
      </c>
      <c r="C73" s="90">
        <f>Weekly!C65</f>
        <v>0</v>
      </c>
      <c r="D73" s="90">
        <f>Weekly!D66</f>
        <v>0</v>
      </c>
      <c r="E73" s="91" t="e">
        <f>VLOOKUP(B73,Team!$B$4:$E$183,4,FALSE)</f>
        <v>#N/A</v>
      </c>
      <c r="F73" s="92" t="str">
        <f>Weekly!V65</f>
        <v/>
      </c>
      <c r="G73" s="92" t="str">
        <f>Weekly!W65</f>
        <v/>
      </c>
      <c r="H73" s="48" t="str">
        <f t="shared" si="70"/>
        <v/>
      </c>
      <c r="I73" s="48" t="str">
        <f t="shared" si="71"/>
        <v/>
      </c>
      <c r="J73" s="48" t="str">
        <f t="shared" si="72"/>
        <v/>
      </c>
      <c r="K73" s="84" t="str">
        <f t="shared" si="73"/>
        <v/>
      </c>
      <c r="L73" s="82" t="str">
        <f t="shared" si="74"/>
        <v/>
      </c>
      <c r="M73" s="48" t="str">
        <f t="shared" si="75"/>
        <v/>
      </c>
      <c r="N73" s="48" t="str">
        <f t="shared" si="76"/>
        <v/>
      </c>
      <c r="O73" s="84" t="str">
        <f t="shared" si="77"/>
        <v/>
      </c>
      <c r="P73" s="82" t="str">
        <f t="shared" si="78"/>
        <v/>
      </c>
      <c r="Q73" s="48" t="str">
        <f t="shared" si="79"/>
        <v/>
      </c>
      <c r="R73" s="48" t="str">
        <f t="shared" si="80"/>
        <v/>
      </c>
      <c r="S73" s="84" t="str">
        <f t="shared" si="81"/>
        <v/>
      </c>
      <c r="T73" s="82" t="str">
        <f t="shared" si="82"/>
        <v/>
      </c>
      <c r="U73" s="48" t="str">
        <f t="shared" si="83"/>
        <v/>
      </c>
      <c r="V73" s="48" t="str">
        <f t="shared" si="84"/>
        <v/>
      </c>
      <c r="W73" s="84" t="str">
        <f t="shared" si="85"/>
        <v/>
      </c>
      <c r="X73" s="82" t="str">
        <f t="shared" si="86"/>
        <v/>
      </c>
      <c r="Y73" s="48" t="str">
        <f t="shared" si="87"/>
        <v/>
      </c>
      <c r="Z73" s="48" t="str">
        <f t="shared" si="88"/>
        <v/>
      </c>
      <c r="AA73" s="84" t="str">
        <f t="shared" si="89"/>
        <v/>
      </c>
      <c r="AB73" s="82" t="str">
        <f t="shared" si="90"/>
        <v/>
      </c>
      <c r="AC73" s="48" t="str">
        <f t="shared" si="91"/>
        <v/>
      </c>
      <c r="AD73" s="48" t="str">
        <f t="shared" si="92"/>
        <v/>
      </c>
      <c r="AE73" s="84" t="str">
        <f t="shared" si="93"/>
        <v/>
      </c>
      <c r="AF73" s="82" t="str">
        <f t="shared" si="94"/>
        <v/>
      </c>
      <c r="AG73" s="48" t="str">
        <f t="shared" si="95"/>
        <v/>
      </c>
      <c r="AH73" s="48" t="str">
        <f t="shared" si="96"/>
        <v/>
      </c>
      <c r="AI73" s="84" t="str">
        <f t="shared" si="97"/>
        <v/>
      </c>
      <c r="AJ73" s="82" t="str">
        <f t="shared" si="98"/>
        <v/>
      </c>
      <c r="AK73" s="48" t="str">
        <f t="shared" si="99"/>
        <v/>
      </c>
      <c r="AL73" s="48" t="str">
        <f t="shared" si="100"/>
        <v/>
      </c>
      <c r="AM73" s="84" t="str">
        <f t="shared" si="101"/>
        <v/>
      </c>
      <c r="AN73" s="82" t="str">
        <f t="shared" si="102"/>
        <v/>
      </c>
      <c r="AO73" s="48" t="str">
        <f t="shared" si="103"/>
        <v/>
      </c>
      <c r="AP73" s="48" t="str">
        <f t="shared" si="104"/>
        <v/>
      </c>
      <c r="AQ73" s="84" t="str">
        <f t="shared" si="105"/>
        <v/>
      </c>
      <c r="AR73" s="82" t="str">
        <f t="shared" si="106"/>
        <v/>
      </c>
      <c r="AS73" s="48" t="str">
        <f t="shared" si="107"/>
        <v/>
      </c>
      <c r="AT73" s="48" t="str">
        <f t="shared" si="108"/>
        <v/>
      </c>
      <c r="AU73" s="84" t="str">
        <f t="shared" si="109"/>
        <v/>
      </c>
      <c r="AV73" s="82" t="str">
        <f t="shared" si="110"/>
        <v/>
      </c>
      <c r="AW73" s="48" t="str">
        <f t="shared" si="111"/>
        <v/>
      </c>
      <c r="AX73" s="48" t="str">
        <f t="shared" si="112"/>
        <v/>
      </c>
      <c r="AY73" s="84" t="str">
        <f t="shared" si="113"/>
        <v/>
      </c>
      <c r="AZ73" s="82" t="str">
        <f t="shared" si="114"/>
        <v/>
      </c>
      <c r="BA73" s="48" t="str">
        <f t="shared" si="115"/>
        <v/>
      </c>
      <c r="BB73" s="48" t="str">
        <f t="shared" si="116"/>
        <v/>
      </c>
      <c r="BC73" s="84" t="str">
        <f t="shared" si="117"/>
        <v/>
      </c>
      <c r="BD73" s="82" t="str">
        <f t="shared" si="118"/>
        <v/>
      </c>
      <c r="BE73" s="48" t="str">
        <f t="shared" si="119"/>
        <v/>
      </c>
      <c r="BF73" s="48" t="str">
        <f t="shared" si="120"/>
        <v/>
      </c>
      <c r="BG73" s="84" t="str">
        <f t="shared" si="121"/>
        <v/>
      </c>
      <c r="BH73" s="87" t="str">
        <f t="shared" si="122"/>
        <v/>
      </c>
      <c r="BI73" s="49" t="str">
        <f t="shared" si="123"/>
        <v/>
      </c>
      <c r="BJ73" s="49" t="str">
        <f t="shared" si="124"/>
        <v/>
      </c>
      <c r="BK73" s="89" t="str">
        <f t="shared" si="125"/>
        <v/>
      </c>
      <c r="BL73" s="87" t="str">
        <f t="shared" si="126"/>
        <v/>
      </c>
      <c r="BM73" s="49" t="str">
        <f t="shared" si="127"/>
        <v/>
      </c>
      <c r="BN73" s="49" t="str">
        <f t="shared" si="128"/>
        <v/>
      </c>
      <c r="BO73" s="89" t="str">
        <f t="shared" si="129"/>
        <v/>
      </c>
      <c r="BP73" s="87" t="str">
        <f t="shared" si="130"/>
        <v/>
      </c>
      <c r="BQ73" s="49" t="str">
        <f t="shared" si="131"/>
        <v/>
      </c>
      <c r="BR73" s="49" t="str">
        <f t="shared" si="132"/>
        <v/>
      </c>
      <c r="BS73" s="89" t="str">
        <f t="shared" si="133"/>
        <v/>
      </c>
      <c r="BT73" s="87" t="str">
        <f t="shared" si="134"/>
        <v/>
      </c>
    </row>
    <row r="74" spans="2:72">
      <c r="B74" s="81">
        <f>Weekly!B66</f>
        <v>0</v>
      </c>
      <c r="C74" s="90">
        <f>Weekly!C66</f>
        <v>0</v>
      </c>
      <c r="D74" s="90">
        <f>Weekly!D67</f>
        <v>0</v>
      </c>
      <c r="E74" s="91" t="e">
        <f>VLOOKUP(B74,Team!$B$4:$E$183,4,FALSE)</f>
        <v>#N/A</v>
      </c>
      <c r="F74" s="92" t="str">
        <f>Weekly!V66</f>
        <v/>
      </c>
      <c r="G74" s="92" t="str">
        <f>Weekly!W66</f>
        <v/>
      </c>
      <c r="H74" s="48" t="str">
        <f t="shared" si="70"/>
        <v/>
      </c>
      <c r="I74" s="48" t="str">
        <f t="shared" si="71"/>
        <v/>
      </c>
      <c r="J74" s="48" t="str">
        <f t="shared" si="72"/>
        <v/>
      </c>
      <c r="K74" s="84" t="str">
        <f t="shared" si="73"/>
        <v/>
      </c>
      <c r="L74" s="82" t="str">
        <f t="shared" si="74"/>
        <v/>
      </c>
      <c r="M74" s="48" t="str">
        <f t="shared" si="75"/>
        <v/>
      </c>
      <c r="N74" s="48" t="str">
        <f t="shared" si="76"/>
        <v/>
      </c>
      <c r="O74" s="84" t="str">
        <f t="shared" si="77"/>
        <v/>
      </c>
      <c r="P74" s="82" t="str">
        <f t="shared" si="78"/>
        <v/>
      </c>
      <c r="Q74" s="48" t="str">
        <f t="shared" si="79"/>
        <v/>
      </c>
      <c r="R74" s="48" t="str">
        <f t="shared" si="80"/>
        <v/>
      </c>
      <c r="S74" s="84" t="str">
        <f t="shared" si="81"/>
        <v/>
      </c>
      <c r="T74" s="82" t="str">
        <f t="shared" si="82"/>
        <v/>
      </c>
      <c r="U74" s="48" t="str">
        <f t="shared" si="83"/>
        <v/>
      </c>
      <c r="V74" s="48" t="str">
        <f t="shared" si="84"/>
        <v/>
      </c>
      <c r="W74" s="84" t="str">
        <f t="shared" si="85"/>
        <v/>
      </c>
      <c r="X74" s="82" t="str">
        <f t="shared" si="86"/>
        <v/>
      </c>
      <c r="Y74" s="48" t="str">
        <f t="shared" si="87"/>
        <v/>
      </c>
      <c r="Z74" s="48" t="str">
        <f t="shared" si="88"/>
        <v/>
      </c>
      <c r="AA74" s="84" t="str">
        <f t="shared" si="89"/>
        <v/>
      </c>
      <c r="AB74" s="82" t="str">
        <f t="shared" si="90"/>
        <v/>
      </c>
      <c r="AC74" s="48" t="str">
        <f t="shared" si="91"/>
        <v/>
      </c>
      <c r="AD74" s="48" t="str">
        <f t="shared" si="92"/>
        <v/>
      </c>
      <c r="AE74" s="84" t="str">
        <f t="shared" si="93"/>
        <v/>
      </c>
      <c r="AF74" s="82" t="str">
        <f t="shared" si="94"/>
        <v/>
      </c>
      <c r="AG74" s="48" t="str">
        <f t="shared" si="95"/>
        <v/>
      </c>
      <c r="AH74" s="48" t="str">
        <f t="shared" si="96"/>
        <v/>
      </c>
      <c r="AI74" s="84" t="str">
        <f t="shared" si="97"/>
        <v/>
      </c>
      <c r="AJ74" s="82" t="str">
        <f t="shared" si="98"/>
        <v/>
      </c>
      <c r="AK74" s="48" t="str">
        <f t="shared" si="99"/>
        <v/>
      </c>
      <c r="AL74" s="48" t="str">
        <f t="shared" si="100"/>
        <v/>
      </c>
      <c r="AM74" s="84" t="str">
        <f t="shared" si="101"/>
        <v/>
      </c>
      <c r="AN74" s="82" t="str">
        <f t="shared" si="102"/>
        <v/>
      </c>
      <c r="AO74" s="48" t="str">
        <f t="shared" si="103"/>
        <v/>
      </c>
      <c r="AP74" s="48" t="str">
        <f t="shared" si="104"/>
        <v/>
      </c>
      <c r="AQ74" s="84" t="str">
        <f t="shared" si="105"/>
        <v/>
      </c>
      <c r="AR74" s="82" t="str">
        <f t="shared" si="106"/>
        <v/>
      </c>
      <c r="AS74" s="48" t="str">
        <f t="shared" si="107"/>
        <v/>
      </c>
      <c r="AT74" s="48" t="str">
        <f t="shared" si="108"/>
        <v/>
      </c>
      <c r="AU74" s="84" t="str">
        <f t="shared" si="109"/>
        <v/>
      </c>
      <c r="AV74" s="82" t="str">
        <f t="shared" si="110"/>
        <v/>
      </c>
      <c r="AW74" s="48" t="str">
        <f t="shared" si="111"/>
        <v/>
      </c>
      <c r="AX74" s="48" t="str">
        <f t="shared" si="112"/>
        <v/>
      </c>
      <c r="AY74" s="84" t="str">
        <f t="shared" si="113"/>
        <v/>
      </c>
      <c r="AZ74" s="82" t="str">
        <f t="shared" si="114"/>
        <v/>
      </c>
      <c r="BA74" s="48" t="str">
        <f t="shared" si="115"/>
        <v/>
      </c>
      <c r="BB74" s="48" t="str">
        <f t="shared" si="116"/>
        <v/>
      </c>
      <c r="BC74" s="84" t="str">
        <f t="shared" si="117"/>
        <v/>
      </c>
      <c r="BD74" s="82" t="str">
        <f t="shared" si="118"/>
        <v/>
      </c>
      <c r="BE74" s="48" t="str">
        <f t="shared" si="119"/>
        <v/>
      </c>
      <c r="BF74" s="48" t="str">
        <f t="shared" si="120"/>
        <v/>
      </c>
      <c r="BG74" s="84" t="str">
        <f t="shared" si="121"/>
        <v/>
      </c>
      <c r="BH74" s="87" t="str">
        <f t="shared" si="122"/>
        <v/>
      </c>
      <c r="BI74" s="49" t="str">
        <f t="shared" si="123"/>
        <v/>
      </c>
      <c r="BJ74" s="49" t="str">
        <f t="shared" si="124"/>
        <v/>
      </c>
      <c r="BK74" s="89" t="str">
        <f t="shared" si="125"/>
        <v/>
      </c>
      <c r="BL74" s="87" t="str">
        <f t="shared" si="126"/>
        <v/>
      </c>
      <c r="BM74" s="49" t="str">
        <f t="shared" si="127"/>
        <v/>
      </c>
      <c r="BN74" s="49" t="str">
        <f t="shared" si="128"/>
        <v/>
      </c>
      <c r="BO74" s="89" t="str">
        <f t="shared" si="129"/>
        <v/>
      </c>
      <c r="BP74" s="87" t="str">
        <f t="shared" si="130"/>
        <v/>
      </c>
      <c r="BQ74" s="49" t="str">
        <f t="shared" si="131"/>
        <v/>
      </c>
      <c r="BR74" s="49" t="str">
        <f t="shared" si="132"/>
        <v/>
      </c>
      <c r="BS74" s="89" t="str">
        <f t="shared" si="133"/>
        <v/>
      </c>
      <c r="BT74" s="87" t="str">
        <f t="shared" si="134"/>
        <v/>
      </c>
    </row>
    <row r="75" spans="2:72">
      <c r="B75" s="81">
        <f>Weekly!B67</f>
        <v>0</v>
      </c>
      <c r="C75" s="90">
        <f>Weekly!C67</f>
        <v>0</v>
      </c>
      <c r="D75" s="90">
        <f>Weekly!D68</f>
        <v>0</v>
      </c>
      <c r="E75" s="91" t="e">
        <f>VLOOKUP(B75,Team!$B$4:$E$183,4,FALSE)</f>
        <v>#N/A</v>
      </c>
      <c r="F75" s="92" t="str">
        <f>Weekly!V67</f>
        <v/>
      </c>
      <c r="G75" s="92" t="str">
        <f>Weekly!W67</f>
        <v/>
      </c>
      <c r="H75" s="48" t="str">
        <f t="shared" si="70"/>
        <v/>
      </c>
      <c r="I75" s="48" t="str">
        <f t="shared" si="71"/>
        <v/>
      </c>
      <c r="J75" s="48" t="str">
        <f t="shared" si="72"/>
        <v/>
      </c>
      <c r="K75" s="84" t="str">
        <f t="shared" si="73"/>
        <v/>
      </c>
      <c r="L75" s="82" t="str">
        <f t="shared" si="74"/>
        <v/>
      </c>
      <c r="M75" s="48" t="str">
        <f t="shared" si="75"/>
        <v/>
      </c>
      <c r="N75" s="48" t="str">
        <f t="shared" si="76"/>
        <v/>
      </c>
      <c r="O75" s="84" t="str">
        <f t="shared" si="77"/>
        <v/>
      </c>
      <c r="P75" s="82" t="str">
        <f t="shared" si="78"/>
        <v/>
      </c>
      <c r="Q75" s="48" t="str">
        <f t="shared" si="79"/>
        <v/>
      </c>
      <c r="R75" s="48" t="str">
        <f t="shared" si="80"/>
        <v/>
      </c>
      <c r="S75" s="84" t="str">
        <f t="shared" si="81"/>
        <v/>
      </c>
      <c r="T75" s="82" t="str">
        <f t="shared" si="82"/>
        <v/>
      </c>
      <c r="U75" s="48" t="str">
        <f t="shared" si="83"/>
        <v/>
      </c>
      <c r="V75" s="48" t="str">
        <f t="shared" si="84"/>
        <v/>
      </c>
      <c r="W75" s="84" t="str">
        <f t="shared" si="85"/>
        <v/>
      </c>
      <c r="X75" s="82" t="str">
        <f t="shared" si="86"/>
        <v/>
      </c>
      <c r="Y75" s="48" t="str">
        <f t="shared" si="87"/>
        <v/>
      </c>
      <c r="Z75" s="48" t="str">
        <f t="shared" si="88"/>
        <v/>
      </c>
      <c r="AA75" s="84" t="str">
        <f t="shared" si="89"/>
        <v/>
      </c>
      <c r="AB75" s="82" t="str">
        <f t="shared" si="90"/>
        <v/>
      </c>
      <c r="AC75" s="48" t="str">
        <f t="shared" si="91"/>
        <v/>
      </c>
      <c r="AD75" s="48" t="str">
        <f t="shared" si="92"/>
        <v/>
      </c>
      <c r="AE75" s="84" t="str">
        <f t="shared" si="93"/>
        <v/>
      </c>
      <c r="AF75" s="82" t="str">
        <f t="shared" si="94"/>
        <v/>
      </c>
      <c r="AG75" s="48" t="str">
        <f t="shared" si="95"/>
        <v/>
      </c>
      <c r="AH75" s="48" t="str">
        <f t="shared" si="96"/>
        <v/>
      </c>
      <c r="AI75" s="84" t="str">
        <f t="shared" si="97"/>
        <v/>
      </c>
      <c r="AJ75" s="82" t="str">
        <f t="shared" si="98"/>
        <v/>
      </c>
      <c r="AK75" s="48" t="str">
        <f t="shared" si="99"/>
        <v/>
      </c>
      <c r="AL75" s="48" t="str">
        <f t="shared" si="100"/>
        <v/>
      </c>
      <c r="AM75" s="84" t="str">
        <f t="shared" si="101"/>
        <v/>
      </c>
      <c r="AN75" s="82" t="str">
        <f t="shared" si="102"/>
        <v/>
      </c>
      <c r="AO75" s="48" t="str">
        <f t="shared" si="103"/>
        <v/>
      </c>
      <c r="AP75" s="48" t="str">
        <f t="shared" si="104"/>
        <v/>
      </c>
      <c r="AQ75" s="84" t="str">
        <f t="shared" si="105"/>
        <v/>
      </c>
      <c r="AR75" s="82" t="str">
        <f t="shared" si="106"/>
        <v/>
      </c>
      <c r="AS75" s="48" t="str">
        <f t="shared" si="107"/>
        <v/>
      </c>
      <c r="AT75" s="48" t="str">
        <f t="shared" si="108"/>
        <v/>
      </c>
      <c r="AU75" s="84" t="str">
        <f t="shared" si="109"/>
        <v/>
      </c>
      <c r="AV75" s="82" t="str">
        <f t="shared" si="110"/>
        <v/>
      </c>
      <c r="AW75" s="48" t="str">
        <f t="shared" si="111"/>
        <v/>
      </c>
      <c r="AX75" s="48" t="str">
        <f t="shared" si="112"/>
        <v/>
      </c>
      <c r="AY75" s="84" t="str">
        <f t="shared" si="113"/>
        <v/>
      </c>
      <c r="AZ75" s="82" t="str">
        <f t="shared" si="114"/>
        <v/>
      </c>
      <c r="BA75" s="48" t="str">
        <f t="shared" si="115"/>
        <v/>
      </c>
      <c r="BB75" s="48" t="str">
        <f t="shared" si="116"/>
        <v/>
      </c>
      <c r="BC75" s="84" t="str">
        <f t="shared" si="117"/>
        <v/>
      </c>
      <c r="BD75" s="82" t="str">
        <f t="shared" si="118"/>
        <v/>
      </c>
      <c r="BE75" s="48" t="str">
        <f t="shared" si="119"/>
        <v/>
      </c>
      <c r="BF75" s="48" t="str">
        <f t="shared" si="120"/>
        <v/>
      </c>
      <c r="BG75" s="84" t="str">
        <f t="shared" si="121"/>
        <v/>
      </c>
      <c r="BH75" s="87" t="str">
        <f t="shared" si="122"/>
        <v/>
      </c>
      <c r="BI75" s="49" t="str">
        <f t="shared" si="123"/>
        <v/>
      </c>
      <c r="BJ75" s="49" t="str">
        <f t="shared" si="124"/>
        <v/>
      </c>
      <c r="BK75" s="89" t="str">
        <f t="shared" si="125"/>
        <v/>
      </c>
      <c r="BL75" s="87" t="str">
        <f t="shared" si="126"/>
        <v/>
      </c>
      <c r="BM75" s="49" t="str">
        <f t="shared" si="127"/>
        <v/>
      </c>
      <c r="BN75" s="49" t="str">
        <f t="shared" si="128"/>
        <v/>
      </c>
      <c r="BO75" s="89" t="str">
        <f t="shared" si="129"/>
        <v/>
      </c>
      <c r="BP75" s="87" t="str">
        <f t="shared" si="130"/>
        <v/>
      </c>
      <c r="BQ75" s="49" t="str">
        <f t="shared" si="131"/>
        <v/>
      </c>
      <c r="BR75" s="49" t="str">
        <f t="shared" si="132"/>
        <v/>
      </c>
      <c r="BS75" s="89" t="str">
        <f t="shared" si="133"/>
        <v/>
      </c>
      <c r="BT75" s="87" t="str">
        <f t="shared" si="134"/>
        <v/>
      </c>
    </row>
    <row r="76" spans="2:72">
      <c r="B76" s="81">
        <f>Weekly!B68</f>
        <v>0</v>
      </c>
      <c r="C76" s="90">
        <f>Weekly!C68</f>
        <v>0</v>
      </c>
      <c r="D76" s="90">
        <f>Weekly!D69</f>
        <v>0</v>
      </c>
      <c r="E76" s="91" t="e">
        <f>VLOOKUP(B76,Team!$B$4:$E$183,4,FALSE)</f>
        <v>#N/A</v>
      </c>
      <c r="F76" s="92" t="str">
        <f>Weekly!V68</f>
        <v/>
      </c>
      <c r="G76" s="92" t="str">
        <f>Weekly!W68</f>
        <v/>
      </c>
      <c r="H76" s="48" t="str">
        <f t="shared" si="70"/>
        <v/>
      </c>
      <c r="I76" s="48" t="str">
        <f t="shared" si="71"/>
        <v/>
      </c>
      <c r="J76" s="48" t="str">
        <f t="shared" si="72"/>
        <v/>
      </c>
      <c r="K76" s="84" t="str">
        <f t="shared" si="73"/>
        <v/>
      </c>
      <c r="L76" s="82" t="str">
        <f t="shared" si="74"/>
        <v/>
      </c>
      <c r="M76" s="48" t="str">
        <f t="shared" si="75"/>
        <v/>
      </c>
      <c r="N76" s="48" t="str">
        <f t="shared" si="76"/>
        <v/>
      </c>
      <c r="O76" s="84" t="str">
        <f t="shared" si="77"/>
        <v/>
      </c>
      <c r="P76" s="82" t="str">
        <f t="shared" si="78"/>
        <v/>
      </c>
      <c r="Q76" s="48" t="str">
        <f t="shared" si="79"/>
        <v/>
      </c>
      <c r="R76" s="48" t="str">
        <f t="shared" si="80"/>
        <v/>
      </c>
      <c r="S76" s="84" t="str">
        <f t="shared" si="81"/>
        <v/>
      </c>
      <c r="T76" s="82" t="str">
        <f t="shared" si="82"/>
        <v/>
      </c>
      <c r="U76" s="48" t="str">
        <f t="shared" si="83"/>
        <v/>
      </c>
      <c r="V76" s="48" t="str">
        <f t="shared" si="84"/>
        <v/>
      </c>
      <c r="W76" s="84" t="str">
        <f t="shared" si="85"/>
        <v/>
      </c>
      <c r="X76" s="82" t="str">
        <f t="shared" si="86"/>
        <v/>
      </c>
      <c r="Y76" s="48" t="str">
        <f t="shared" si="87"/>
        <v/>
      </c>
      <c r="Z76" s="48" t="str">
        <f t="shared" si="88"/>
        <v/>
      </c>
      <c r="AA76" s="84" t="str">
        <f t="shared" si="89"/>
        <v/>
      </c>
      <c r="AB76" s="82" t="str">
        <f t="shared" si="90"/>
        <v/>
      </c>
      <c r="AC76" s="48" t="str">
        <f t="shared" si="91"/>
        <v/>
      </c>
      <c r="AD76" s="48" t="str">
        <f t="shared" si="92"/>
        <v/>
      </c>
      <c r="AE76" s="84" t="str">
        <f t="shared" si="93"/>
        <v/>
      </c>
      <c r="AF76" s="82" t="str">
        <f t="shared" si="94"/>
        <v/>
      </c>
      <c r="AG76" s="48" t="str">
        <f t="shared" si="95"/>
        <v/>
      </c>
      <c r="AH76" s="48" t="str">
        <f t="shared" si="96"/>
        <v/>
      </c>
      <c r="AI76" s="84" t="str">
        <f t="shared" si="97"/>
        <v/>
      </c>
      <c r="AJ76" s="82" t="str">
        <f t="shared" si="98"/>
        <v/>
      </c>
      <c r="AK76" s="48" t="str">
        <f t="shared" si="99"/>
        <v/>
      </c>
      <c r="AL76" s="48" t="str">
        <f t="shared" si="100"/>
        <v/>
      </c>
      <c r="AM76" s="84" t="str">
        <f t="shared" si="101"/>
        <v/>
      </c>
      <c r="AN76" s="82" t="str">
        <f t="shared" si="102"/>
        <v/>
      </c>
      <c r="AO76" s="48" t="str">
        <f t="shared" si="103"/>
        <v/>
      </c>
      <c r="AP76" s="48" t="str">
        <f t="shared" si="104"/>
        <v/>
      </c>
      <c r="AQ76" s="84" t="str">
        <f t="shared" si="105"/>
        <v/>
      </c>
      <c r="AR76" s="82" t="str">
        <f t="shared" si="106"/>
        <v/>
      </c>
      <c r="AS76" s="48" t="str">
        <f t="shared" si="107"/>
        <v/>
      </c>
      <c r="AT76" s="48" t="str">
        <f t="shared" si="108"/>
        <v/>
      </c>
      <c r="AU76" s="84" t="str">
        <f t="shared" si="109"/>
        <v/>
      </c>
      <c r="AV76" s="82" t="str">
        <f t="shared" si="110"/>
        <v/>
      </c>
      <c r="AW76" s="48" t="str">
        <f t="shared" si="111"/>
        <v/>
      </c>
      <c r="AX76" s="48" t="str">
        <f t="shared" si="112"/>
        <v/>
      </c>
      <c r="AY76" s="84" t="str">
        <f t="shared" si="113"/>
        <v/>
      </c>
      <c r="AZ76" s="82" t="str">
        <f t="shared" si="114"/>
        <v/>
      </c>
      <c r="BA76" s="48" t="str">
        <f t="shared" si="115"/>
        <v/>
      </c>
      <c r="BB76" s="48" t="str">
        <f t="shared" si="116"/>
        <v/>
      </c>
      <c r="BC76" s="84" t="str">
        <f t="shared" si="117"/>
        <v/>
      </c>
      <c r="BD76" s="82" t="str">
        <f t="shared" si="118"/>
        <v/>
      </c>
      <c r="BE76" s="48" t="str">
        <f t="shared" si="119"/>
        <v/>
      </c>
      <c r="BF76" s="48" t="str">
        <f t="shared" si="120"/>
        <v/>
      </c>
      <c r="BG76" s="84" t="str">
        <f t="shared" si="121"/>
        <v/>
      </c>
      <c r="BH76" s="87" t="str">
        <f t="shared" si="122"/>
        <v/>
      </c>
      <c r="BI76" s="49" t="str">
        <f t="shared" si="123"/>
        <v/>
      </c>
      <c r="BJ76" s="49" t="str">
        <f t="shared" si="124"/>
        <v/>
      </c>
      <c r="BK76" s="89" t="str">
        <f t="shared" si="125"/>
        <v/>
      </c>
      <c r="BL76" s="87" t="str">
        <f t="shared" si="126"/>
        <v/>
      </c>
      <c r="BM76" s="49" t="str">
        <f t="shared" si="127"/>
        <v/>
      </c>
      <c r="BN76" s="49" t="str">
        <f t="shared" si="128"/>
        <v/>
      </c>
      <c r="BO76" s="89" t="str">
        <f t="shared" si="129"/>
        <v/>
      </c>
      <c r="BP76" s="87" t="str">
        <f t="shared" si="130"/>
        <v/>
      </c>
      <c r="BQ76" s="49" t="str">
        <f t="shared" si="131"/>
        <v/>
      </c>
      <c r="BR76" s="49" t="str">
        <f t="shared" si="132"/>
        <v/>
      </c>
      <c r="BS76" s="89" t="str">
        <f t="shared" si="133"/>
        <v/>
      </c>
      <c r="BT76" s="87" t="str">
        <f t="shared" si="134"/>
        <v/>
      </c>
    </row>
    <row r="77" spans="2:72">
      <c r="B77" s="81">
        <f>Weekly!B69</f>
        <v>0</v>
      </c>
      <c r="C77" s="90">
        <f>Weekly!C69</f>
        <v>0</v>
      </c>
      <c r="D77" s="90">
        <f>Weekly!D70</f>
        <v>0</v>
      </c>
      <c r="E77" s="91" t="e">
        <f>VLOOKUP(B77,Team!$B$4:$E$183,4,FALSE)</f>
        <v>#N/A</v>
      </c>
      <c r="F77" s="92" t="str">
        <f>Weekly!V69</f>
        <v/>
      </c>
      <c r="G77" s="92" t="str">
        <f>Weekly!W69</f>
        <v/>
      </c>
      <c r="H77" s="48" t="str">
        <f t="shared" si="70"/>
        <v/>
      </c>
      <c r="I77" s="48" t="str">
        <f t="shared" si="71"/>
        <v/>
      </c>
      <c r="J77" s="48" t="str">
        <f t="shared" si="72"/>
        <v/>
      </c>
      <c r="K77" s="84" t="str">
        <f t="shared" si="73"/>
        <v/>
      </c>
      <c r="L77" s="82" t="str">
        <f t="shared" si="74"/>
        <v/>
      </c>
      <c r="M77" s="48" t="str">
        <f t="shared" si="75"/>
        <v/>
      </c>
      <c r="N77" s="48" t="str">
        <f t="shared" si="76"/>
        <v/>
      </c>
      <c r="O77" s="84" t="str">
        <f t="shared" si="77"/>
        <v/>
      </c>
      <c r="P77" s="82" t="str">
        <f t="shared" si="78"/>
        <v/>
      </c>
      <c r="Q77" s="48" t="str">
        <f t="shared" si="79"/>
        <v/>
      </c>
      <c r="R77" s="48" t="str">
        <f t="shared" si="80"/>
        <v/>
      </c>
      <c r="S77" s="84" t="str">
        <f t="shared" si="81"/>
        <v/>
      </c>
      <c r="T77" s="82" t="str">
        <f t="shared" si="82"/>
        <v/>
      </c>
      <c r="U77" s="48" t="str">
        <f t="shared" si="83"/>
        <v/>
      </c>
      <c r="V77" s="48" t="str">
        <f t="shared" si="84"/>
        <v/>
      </c>
      <c r="W77" s="84" t="str">
        <f t="shared" si="85"/>
        <v/>
      </c>
      <c r="X77" s="82" t="str">
        <f t="shared" si="86"/>
        <v/>
      </c>
      <c r="Y77" s="48" t="str">
        <f t="shared" si="87"/>
        <v/>
      </c>
      <c r="Z77" s="48" t="str">
        <f t="shared" si="88"/>
        <v/>
      </c>
      <c r="AA77" s="84" t="str">
        <f t="shared" si="89"/>
        <v/>
      </c>
      <c r="AB77" s="82" t="str">
        <f t="shared" si="90"/>
        <v/>
      </c>
      <c r="AC77" s="48" t="str">
        <f t="shared" si="91"/>
        <v/>
      </c>
      <c r="AD77" s="48" t="str">
        <f t="shared" si="92"/>
        <v/>
      </c>
      <c r="AE77" s="84" t="str">
        <f t="shared" si="93"/>
        <v/>
      </c>
      <c r="AF77" s="82" t="str">
        <f t="shared" si="94"/>
        <v/>
      </c>
      <c r="AG77" s="48" t="str">
        <f t="shared" si="95"/>
        <v/>
      </c>
      <c r="AH77" s="48" t="str">
        <f t="shared" si="96"/>
        <v/>
      </c>
      <c r="AI77" s="84" t="str">
        <f t="shared" si="97"/>
        <v/>
      </c>
      <c r="AJ77" s="82" t="str">
        <f t="shared" si="98"/>
        <v/>
      </c>
      <c r="AK77" s="48" t="str">
        <f t="shared" si="99"/>
        <v/>
      </c>
      <c r="AL77" s="48" t="str">
        <f t="shared" si="100"/>
        <v/>
      </c>
      <c r="AM77" s="84" t="str">
        <f t="shared" si="101"/>
        <v/>
      </c>
      <c r="AN77" s="82" t="str">
        <f t="shared" si="102"/>
        <v/>
      </c>
      <c r="AO77" s="48" t="str">
        <f t="shared" si="103"/>
        <v/>
      </c>
      <c r="AP77" s="48" t="str">
        <f t="shared" si="104"/>
        <v/>
      </c>
      <c r="AQ77" s="84" t="str">
        <f t="shared" si="105"/>
        <v/>
      </c>
      <c r="AR77" s="82" t="str">
        <f t="shared" si="106"/>
        <v/>
      </c>
      <c r="AS77" s="48" t="str">
        <f t="shared" si="107"/>
        <v/>
      </c>
      <c r="AT77" s="48" t="str">
        <f t="shared" si="108"/>
        <v/>
      </c>
      <c r="AU77" s="84" t="str">
        <f t="shared" si="109"/>
        <v/>
      </c>
      <c r="AV77" s="82" t="str">
        <f t="shared" si="110"/>
        <v/>
      </c>
      <c r="AW77" s="48" t="str">
        <f t="shared" si="111"/>
        <v/>
      </c>
      <c r="AX77" s="48" t="str">
        <f t="shared" si="112"/>
        <v/>
      </c>
      <c r="AY77" s="84" t="str">
        <f t="shared" si="113"/>
        <v/>
      </c>
      <c r="AZ77" s="82" t="str">
        <f t="shared" si="114"/>
        <v/>
      </c>
      <c r="BA77" s="48" t="str">
        <f t="shared" si="115"/>
        <v/>
      </c>
      <c r="BB77" s="48" t="str">
        <f t="shared" si="116"/>
        <v/>
      </c>
      <c r="BC77" s="84" t="str">
        <f t="shared" si="117"/>
        <v/>
      </c>
      <c r="BD77" s="82" t="str">
        <f t="shared" si="118"/>
        <v/>
      </c>
      <c r="BE77" s="48" t="str">
        <f t="shared" si="119"/>
        <v/>
      </c>
      <c r="BF77" s="48" t="str">
        <f t="shared" si="120"/>
        <v/>
      </c>
      <c r="BG77" s="84" t="str">
        <f t="shared" si="121"/>
        <v/>
      </c>
      <c r="BH77" s="87" t="str">
        <f t="shared" si="122"/>
        <v/>
      </c>
      <c r="BI77" s="49" t="str">
        <f t="shared" si="123"/>
        <v/>
      </c>
      <c r="BJ77" s="49" t="str">
        <f t="shared" si="124"/>
        <v/>
      </c>
      <c r="BK77" s="89" t="str">
        <f t="shared" si="125"/>
        <v/>
      </c>
      <c r="BL77" s="87" t="str">
        <f t="shared" si="126"/>
        <v/>
      </c>
      <c r="BM77" s="49" t="str">
        <f t="shared" si="127"/>
        <v/>
      </c>
      <c r="BN77" s="49" t="str">
        <f t="shared" si="128"/>
        <v/>
      </c>
      <c r="BO77" s="89" t="str">
        <f t="shared" si="129"/>
        <v/>
      </c>
      <c r="BP77" s="87" t="str">
        <f t="shared" si="130"/>
        <v/>
      </c>
      <c r="BQ77" s="49" t="str">
        <f t="shared" si="131"/>
        <v/>
      </c>
      <c r="BR77" s="49" t="str">
        <f t="shared" si="132"/>
        <v/>
      </c>
      <c r="BS77" s="89" t="str">
        <f t="shared" si="133"/>
        <v/>
      </c>
      <c r="BT77" s="87" t="str">
        <f t="shared" si="134"/>
        <v/>
      </c>
    </row>
    <row r="78" spans="2:72">
      <c r="B78" s="81">
        <f>Weekly!B70</f>
        <v>0</v>
      </c>
      <c r="C78" s="90">
        <f>Weekly!C70</f>
        <v>0</v>
      </c>
      <c r="D78" s="90">
        <f>Weekly!D71</f>
        <v>0</v>
      </c>
      <c r="E78" s="91" t="e">
        <f>VLOOKUP(B78,Team!$B$4:$E$183,4,FALSE)</f>
        <v>#N/A</v>
      </c>
      <c r="F78" s="92" t="str">
        <f>Weekly!V70</f>
        <v/>
      </c>
      <c r="G78" s="92" t="str">
        <f>Weekly!W70</f>
        <v/>
      </c>
      <c r="H78" s="48" t="str">
        <f t="shared" si="70"/>
        <v/>
      </c>
      <c r="I78" s="48" t="str">
        <f t="shared" si="71"/>
        <v/>
      </c>
      <c r="J78" s="48" t="str">
        <f t="shared" si="72"/>
        <v/>
      </c>
      <c r="K78" s="84" t="str">
        <f t="shared" si="73"/>
        <v/>
      </c>
      <c r="L78" s="82" t="str">
        <f t="shared" si="74"/>
        <v/>
      </c>
      <c r="M78" s="48" t="str">
        <f t="shared" si="75"/>
        <v/>
      </c>
      <c r="N78" s="48" t="str">
        <f t="shared" si="76"/>
        <v/>
      </c>
      <c r="O78" s="84" t="str">
        <f t="shared" si="77"/>
        <v/>
      </c>
      <c r="P78" s="82" t="str">
        <f t="shared" si="78"/>
        <v/>
      </c>
      <c r="Q78" s="48" t="str">
        <f t="shared" si="79"/>
        <v/>
      </c>
      <c r="R78" s="48" t="str">
        <f t="shared" si="80"/>
        <v/>
      </c>
      <c r="S78" s="84" t="str">
        <f t="shared" si="81"/>
        <v/>
      </c>
      <c r="T78" s="82" t="str">
        <f t="shared" si="82"/>
        <v/>
      </c>
      <c r="U78" s="48" t="str">
        <f t="shared" si="83"/>
        <v/>
      </c>
      <c r="V78" s="48" t="str">
        <f t="shared" si="84"/>
        <v/>
      </c>
      <c r="W78" s="84" t="str">
        <f t="shared" si="85"/>
        <v/>
      </c>
      <c r="X78" s="82" t="str">
        <f t="shared" si="86"/>
        <v/>
      </c>
      <c r="Y78" s="48" t="str">
        <f t="shared" si="87"/>
        <v/>
      </c>
      <c r="Z78" s="48" t="str">
        <f t="shared" si="88"/>
        <v/>
      </c>
      <c r="AA78" s="84" t="str">
        <f t="shared" si="89"/>
        <v/>
      </c>
      <c r="AB78" s="82" t="str">
        <f t="shared" si="90"/>
        <v/>
      </c>
      <c r="AC78" s="48" t="str">
        <f t="shared" si="91"/>
        <v/>
      </c>
      <c r="AD78" s="48" t="str">
        <f t="shared" si="92"/>
        <v/>
      </c>
      <c r="AE78" s="84" t="str">
        <f t="shared" si="93"/>
        <v/>
      </c>
      <c r="AF78" s="82" t="str">
        <f t="shared" si="94"/>
        <v/>
      </c>
      <c r="AG78" s="48" t="str">
        <f t="shared" si="95"/>
        <v/>
      </c>
      <c r="AH78" s="48" t="str">
        <f t="shared" si="96"/>
        <v/>
      </c>
      <c r="AI78" s="84" t="str">
        <f t="shared" si="97"/>
        <v/>
      </c>
      <c r="AJ78" s="82" t="str">
        <f t="shared" si="98"/>
        <v/>
      </c>
      <c r="AK78" s="48" t="str">
        <f t="shared" si="99"/>
        <v/>
      </c>
      <c r="AL78" s="48" t="str">
        <f t="shared" si="100"/>
        <v/>
      </c>
      <c r="AM78" s="84" t="str">
        <f t="shared" si="101"/>
        <v/>
      </c>
      <c r="AN78" s="82" t="str">
        <f t="shared" si="102"/>
        <v/>
      </c>
      <c r="AO78" s="48" t="str">
        <f t="shared" si="103"/>
        <v/>
      </c>
      <c r="AP78" s="48" t="str">
        <f t="shared" si="104"/>
        <v/>
      </c>
      <c r="AQ78" s="84" t="str">
        <f t="shared" si="105"/>
        <v/>
      </c>
      <c r="AR78" s="82" t="str">
        <f t="shared" si="106"/>
        <v/>
      </c>
      <c r="AS78" s="48" t="str">
        <f t="shared" si="107"/>
        <v/>
      </c>
      <c r="AT78" s="48" t="str">
        <f t="shared" si="108"/>
        <v/>
      </c>
      <c r="AU78" s="84" t="str">
        <f t="shared" si="109"/>
        <v/>
      </c>
      <c r="AV78" s="82" t="str">
        <f t="shared" si="110"/>
        <v/>
      </c>
      <c r="AW78" s="48" t="str">
        <f t="shared" si="111"/>
        <v/>
      </c>
      <c r="AX78" s="48" t="str">
        <f t="shared" si="112"/>
        <v/>
      </c>
      <c r="AY78" s="84" t="str">
        <f t="shared" si="113"/>
        <v/>
      </c>
      <c r="AZ78" s="82" t="str">
        <f t="shared" si="114"/>
        <v/>
      </c>
      <c r="BA78" s="48" t="str">
        <f t="shared" si="115"/>
        <v/>
      </c>
      <c r="BB78" s="48" t="str">
        <f t="shared" si="116"/>
        <v/>
      </c>
      <c r="BC78" s="84" t="str">
        <f t="shared" si="117"/>
        <v/>
      </c>
      <c r="BD78" s="82" t="str">
        <f t="shared" si="118"/>
        <v/>
      </c>
      <c r="BE78" s="48" t="str">
        <f t="shared" si="119"/>
        <v/>
      </c>
      <c r="BF78" s="48" t="str">
        <f t="shared" si="120"/>
        <v/>
      </c>
      <c r="BG78" s="84" t="str">
        <f t="shared" si="121"/>
        <v/>
      </c>
      <c r="BH78" s="87" t="str">
        <f t="shared" si="122"/>
        <v/>
      </c>
      <c r="BI78" s="49" t="str">
        <f t="shared" si="123"/>
        <v/>
      </c>
      <c r="BJ78" s="49" t="str">
        <f t="shared" si="124"/>
        <v/>
      </c>
      <c r="BK78" s="89" t="str">
        <f t="shared" si="125"/>
        <v/>
      </c>
      <c r="BL78" s="87" t="str">
        <f t="shared" si="126"/>
        <v/>
      </c>
      <c r="BM78" s="49" t="str">
        <f t="shared" si="127"/>
        <v/>
      </c>
      <c r="BN78" s="49" t="str">
        <f t="shared" si="128"/>
        <v/>
      </c>
      <c r="BO78" s="89" t="str">
        <f t="shared" si="129"/>
        <v/>
      </c>
      <c r="BP78" s="87" t="str">
        <f t="shared" si="130"/>
        <v/>
      </c>
      <c r="BQ78" s="49" t="str">
        <f t="shared" si="131"/>
        <v/>
      </c>
      <c r="BR78" s="49" t="str">
        <f t="shared" si="132"/>
        <v/>
      </c>
      <c r="BS78" s="89" t="str">
        <f t="shared" si="133"/>
        <v/>
      </c>
      <c r="BT78" s="87" t="str">
        <f t="shared" si="134"/>
        <v/>
      </c>
    </row>
    <row r="79" spans="2:72">
      <c r="B79" s="81">
        <f>Weekly!B71</f>
        <v>0</v>
      </c>
      <c r="C79" s="90">
        <f>Weekly!C71</f>
        <v>0</v>
      </c>
      <c r="D79" s="90">
        <f>Weekly!D72</f>
        <v>0</v>
      </c>
      <c r="E79" s="91" t="e">
        <f>VLOOKUP(B79,Team!$B$4:$E$183,4,FALSE)</f>
        <v>#N/A</v>
      </c>
      <c r="F79" s="92" t="str">
        <f>Weekly!V71</f>
        <v/>
      </c>
      <c r="G79" s="92" t="str">
        <f>Weekly!W71</f>
        <v/>
      </c>
      <c r="H79" s="48" t="str">
        <f t="shared" si="70"/>
        <v/>
      </c>
      <c r="I79" s="48" t="str">
        <f t="shared" si="71"/>
        <v/>
      </c>
      <c r="J79" s="48" t="str">
        <f t="shared" si="72"/>
        <v/>
      </c>
      <c r="K79" s="84" t="str">
        <f t="shared" si="73"/>
        <v/>
      </c>
      <c r="L79" s="82" t="str">
        <f t="shared" si="74"/>
        <v/>
      </c>
      <c r="M79" s="48" t="str">
        <f t="shared" si="75"/>
        <v/>
      </c>
      <c r="N79" s="48" t="str">
        <f t="shared" si="76"/>
        <v/>
      </c>
      <c r="O79" s="84" t="str">
        <f t="shared" si="77"/>
        <v/>
      </c>
      <c r="P79" s="82" t="str">
        <f t="shared" si="78"/>
        <v/>
      </c>
      <c r="Q79" s="48" t="str">
        <f t="shared" si="79"/>
        <v/>
      </c>
      <c r="R79" s="48" t="str">
        <f t="shared" si="80"/>
        <v/>
      </c>
      <c r="S79" s="84" t="str">
        <f t="shared" si="81"/>
        <v/>
      </c>
      <c r="T79" s="82" t="str">
        <f t="shared" si="82"/>
        <v/>
      </c>
      <c r="U79" s="48" t="str">
        <f t="shared" si="83"/>
        <v/>
      </c>
      <c r="V79" s="48" t="str">
        <f t="shared" si="84"/>
        <v/>
      </c>
      <c r="W79" s="84" t="str">
        <f t="shared" si="85"/>
        <v/>
      </c>
      <c r="X79" s="82" t="str">
        <f t="shared" si="86"/>
        <v/>
      </c>
      <c r="Y79" s="48" t="str">
        <f t="shared" si="87"/>
        <v/>
      </c>
      <c r="Z79" s="48" t="str">
        <f t="shared" si="88"/>
        <v/>
      </c>
      <c r="AA79" s="84" t="str">
        <f t="shared" si="89"/>
        <v/>
      </c>
      <c r="AB79" s="82" t="str">
        <f t="shared" si="90"/>
        <v/>
      </c>
      <c r="AC79" s="48" t="str">
        <f t="shared" si="91"/>
        <v/>
      </c>
      <c r="AD79" s="48" t="str">
        <f t="shared" si="92"/>
        <v/>
      </c>
      <c r="AE79" s="84" t="str">
        <f t="shared" si="93"/>
        <v/>
      </c>
      <c r="AF79" s="82" t="str">
        <f t="shared" si="94"/>
        <v/>
      </c>
      <c r="AG79" s="48" t="str">
        <f t="shared" si="95"/>
        <v/>
      </c>
      <c r="AH79" s="48" t="str">
        <f t="shared" si="96"/>
        <v/>
      </c>
      <c r="AI79" s="84" t="str">
        <f t="shared" si="97"/>
        <v/>
      </c>
      <c r="AJ79" s="82" t="str">
        <f t="shared" si="98"/>
        <v/>
      </c>
      <c r="AK79" s="48" t="str">
        <f t="shared" si="99"/>
        <v/>
      </c>
      <c r="AL79" s="48" t="str">
        <f t="shared" si="100"/>
        <v/>
      </c>
      <c r="AM79" s="84" t="str">
        <f t="shared" si="101"/>
        <v/>
      </c>
      <c r="AN79" s="82" t="str">
        <f t="shared" si="102"/>
        <v/>
      </c>
      <c r="AO79" s="48" t="str">
        <f t="shared" si="103"/>
        <v/>
      </c>
      <c r="AP79" s="48" t="str">
        <f t="shared" si="104"/>
        <v/>
      </c>
      <c r="AQ79" s="84" t="str">
        <f t="shared" si="105"/>
        <v/>
      </c>
      <c r="AR79" s="82" t="str">
        <f t="shared" si="106"/>
        <v/>
      </c>
      <c r="AS79" s="48" t="str">
        <f t="shared" si="107"/>
        <v/>
      </c>
      <c r="AT79" s="48" t="str">
        <f t="shared" si="108"/>
        <v/>
      </c>
      <c r="AU79" s="84" t="str">
        <f t="shared" si="109"/>
        <v/>
      </c>
      <c r="AV79" s="82" t="str">
        <f t="shared" si="110"/>
        <v/>
      </c>
      <c r="AW79" s="48" t="str">
        <f t="shared" si="111"/>
        <v/>
      </c>
      <c r="AX79" s="48" t="str">
        <f t="shared" si="112"/>
        <v/>
      </c>
      <c r="AY79" s="84" t="str">
        <f t="shared" si="113"/>
        <v/>
      </c>
      <c r="AZ79" s="82" t="str">
        <f t="shared" si="114"/>
        <v/>
      </c>
      <c r="BA79" s="48" t="str">
        <f t="shared" si="115"/>
        <v/>
      </c>
      <c r="BB79" s="48" t="str">
        <f t="shared" si="116"/>
        <v/>
      </c>
      <c r="BC79" s="84" t="str">
        <f t="shared" si="117"/>
        <v/>
      </c>
      <c r="BD79" s="82" t="str">
        <f t="shared" si="118"/>
        <v/>
      </c>
      <c r="BE79" s="48" t="str">
        <f t="shared" si="119"/>
        <v/>
      </c>
      <c r="BF79" s="48" t="str">
        <f t="shared" si="120"/>
        <v/>
      </c>
      <c r="BG79" s="84" t="str">
        <f t="shared" si="121"/>
        <v/>
      </c>
      <c r="BH79" s="87" t="str">
        <f t="shared" si="122"/>
        <v/>
      </c>
      <c r="BI79" s="49" t="str">
        <f t="shared" si="123"/>
        <v/>
      </c>
      <c r="BJ79" s="49" t="str">
        <f t="shared" si="124"/>
        <v/>
      </c>
      <c r="BK79" s="89" t="str">
        <f t="shared" si="125"/>
        <v/>
      </c>
      <c r="BL79" s="87" t="str">
        <f t="shared" si="126"/>
        <v/>
      </c>
      <c r="BM79" s="49" t="str">
        <f t="shared" si="127"/>
        <v/>
      </c>
      <c r="BN79" s="49" t="str">
        <f t="shared" si="128"/>
        <v/>
      </c>
      <c r="BO79" s="89" t="str">
        <f t="shared" si="129"/>
        <v/>
      </c>
      <c r="BP79" s="87" t="str">
        <f t="shared" si="130"/>
        <v/>
      </c>
      <c r="BQ79" s="49" t="str">
        <f t="shared" si="131"/>
        <v/>
      </c>
      <c r="BR79" s="49" t="str">
        <f t="shared" si="132"/>
        <v/>
      </c>
      <c r="BS79" s="89" t="str">
        <f t="shared" si="133"/>
        <v/>
      </c>
      <c r="BT79" s="87" t="str">
        <f t="shared" si="134"/>
        <v/>
      </c>
    </row>
    <row r="80" spans="2:72">
      <c r="B80" s="81">
        <f>Weekly!B72</f>
        <v>0</v>
      </c>
      <c r="C80" s="90">
        <f>Weekly!C72</f>
        <v>0</v>
      </c>
      <c r="D80" s="90">
        <f>Weekly!D73</f>
        <v>0</v>
      </c>
      <c r="E80" s="91" t="e">
        <f>VLOOKUP(B80,Team!$B$4:$E$183,4,FALSE)</f>
        <v>#N/A</v>
      </c>
      <c r="F80" s="92" t="str">
        <f>Weekly!V72</f>
        <v/>
      </c>
      <c r="G80" s="92" t="str">
        <f>Weekly!W72</f>
        <v/>
      </c>
      <c r="H80" s="48" t="str">
        <f t="shared" si="70"/>
        <v/>
      </c>
      <c r="I80" s="48" t="str">
        <f t="shared" si="71"/>
        <v/>
      </c>
      <c r="J80" s="48" t="str">
        <f t="shared" si="72"/>
        <v/>
      </c>
      <c r="K80" s="84" t="str">
        <f t="shared" si="73"/>
        <v/>
      </c>
      <c r="L80" s="82" t="str">
        <f t="shared" si="74"/>
        <v/>
      </c>
      <c r="M80" s="48" t="str">
        <f t="shared" si="75"/>
        <v/>
      </c>
      <c r="N80" s="48" t="str">
        <f t="shared" si="76"/>
        <v/>
      </c>
      <c r="O80" s="84" t="str">
        <f t="shared" si="77"/>
        <v/>
      </c>
      <c r="P80" s="82" t="str">
        <f t="shared" si="78"/>
        <v/>
      </c>
      <c r="Q80" s="48" t="str">
        <f t="shared" si="79"/>
        <v/>
      </c>
      <c r="R80" s="48" t="str">
        <f t="shared" si="80"/>
        <v/>
      </c>
      <c r="S80" s="84" t="str">
        <f t="shared" si="81"/>
        <v/>
      </c>
      <c r="T80" s="82" t="str">
        <f t="shared" si="82"/>
        <v/>
      </c>
      <c r="U80" s="48" t="str">
        <f t="shared" si="83"/>
        <v/>
      </c>
      <c r="V80" s="48" t="str">
        <f t="shared" si="84"/>
        <v/>
      </c>
      <c r="W80" s="84" t="str">
        <f t="shared" si="85"/>
        <v/>
      </c>
      <c r="X80" s="82" t="str">
        <f t="shared" si="86"/>
        <v/>
      </c>
      <c r="Y80" s="48" t="str">
        <f t="shared" si="87"/>
        <v/>
      </c>
      <c r="Z80" s="48" t="str">
        <f t="shared" si="88"/>
        <v/>
      </c>
      <c r="AA80" s="84" t="str">
        <f t="shared" si="89"/>
        <v/>
      </c>
      <c r="AB80" s="82" t="str">
        <f t="shared" si="90"/>
        <v/>
      </c>
      <c r="AC80" s="48" t="str">
        <f t="shared" si="91"/>
        <v/>
      </c>
      <c r="AD80" s="48" t="str">
        <f t="shared" si="92"/>
        <v/>
      </c>
      <c r="AE80" s="84" t="str">
        <f t="shared" si="93"/>
        <v/>
      </c>
      <c r="AF80" s="82" t="str">
        <f t="shared" si="94"/>
        <v/>
      </c>
      <c r="AG80" s="48" t="str">
        <f t="shared" si="95"/>
        <v/>
      </c>
      <c r="AH80" s="48" t="str">
        <f t="shared" si="96"/>
        <v/>
      </c>
      <c r="AI80" s="84" t="str">
        <f t="shared" si="97"/>
        <v/>
      </c>
      <c r="AJ80" s="82" t="str">
        <f t="shared" si="98"/>
        <v/>
      </c>
      <c r="AK80" s="48" t="str">
        <f t="shared" si="99"/>
        <v/>
      </c>
      <c r="AL80" s="48" t="str">
        <f t="shared" si="100"/>
        <v/>
      </c>
      <c r="AM80" s="84" t="str">
        <f t="shared" si="101"/>
        <v/>
      </c>
      <c r="AN80" s="82" t="str">
        <f t="shared" si="102"/>
        <v/>
      </c>
      <c r="AO80" s="48" t="str">
        <f t="shared" si="103"/>
        <v/>
      </c>
      <c r="AP80" s="48" t="str">
        <f t="shared" si="104"/>
        <v/>
      </c>
      <c r="AQ80" s="84" t="str">
        <f t="shared" si="105"/>
        <v/>
      </c>
      <c r="AR80" s="82" t="str">
        <f t="shared" si="106"/>
        <v/>
      </c>
      <c r="AS80" s="48" t="str">
        <f t="shared" si="107"/>
        <v/>
      </c>
      <c r="AT80" s="48" t="str">
        <f t="shared" si="108"/>
        <v/>
      </c>
      <c r="AU80" s="84" t="str">
        <f t="shared" si="109"/>
        <v/>
      </c>
      <c r="AV80" s="82" t="str">
        <f t="shared" si="110"/>
        <v/>
      </c>
      <c r="AW80" s="48" t="str">
        <f t="shared" si="111"/>
        <v/>
      </c>
      <c r="AX80" s="48" t="str">
        <f t="shared" si="112"/>
        <v/>
      </c>
      <c r="AY80" s="84" t="str">
        <f t="shared" si="113"/>
        <v/>
      </c>
      <c r="AZ80" s="82" t="str">
        <f t="shared" si="114"/>
        <v/>
      </c>
      <c r="BA80" s="48" t="str">
        <f t="shared" si="115"/>
        <v/>
      </c>
      <c r="BB80" s="48" t="str">
        <f t="shared" si="116"/>
        <v/>
      </c>
      <c r="BC80" s="84" t="str">
        <f t="shared" si="117"/>
        <v/>
      </c>
      <c r="BD80" s="82" t="str">
        <f t="shared" si="118"/>
        <v/>
      </c>
      <c r="BE80" s="48" t="str">
        <f t="shared" si="119"/>
        <v/>
      </c>
      <c r="BF80" s="48" t="str">
        <f t="shared" si="120"/>
        <v/>
      </c>
      <c r="BG80" s="84" t="str">
        <f t="shared" si="121"/>
        <v/>
      </c>
      <c r="BH80" s="87" t="str">
        <f t="shared" si="122"/>
        <v/>
      </c>
      <c r="BI80" s="49" t="str">
        <f t="shared" si="123"/>
        <v/>
      </c>
      <c r="BJ80" s="49" t="str">
        <f t="shared" si="124"/>
        <v/>
      </c>
      <c r="BK80" s="89" t="str">
        <f t="shared" si="125"/>
        <v/>
      </c>
      <c r="BL80" s="87" t="str">
        <f t="shared" si="126"/>
        <v/>
      </c>
      <c r="BM80" s="49" t="str">
        <f t="shared" si="127"/>
        <v/>
      </c>
      <c r="BN80" s="49" t="str">
        <f t="shared" si="128"/>
        <v/>
      </c>
      <c r="BO80" s="89" t="str">
        <f t="shared" si="129"/>
        <v/>
      </c>
      <c r="BP80" s="87" t="str">
        <f t="shared" si="130"/>
        <v/>
      </c>
      <c r="BQ80" s="49" t="str">
        <f t="shared" si="131"/>
        <v/>
      </c>
      <c r="BR80" s="49" t="str">
        <f t="shared" si="132"/>
        <v/>
      </c>
      <c r="BS80" s="89" t="str">
        <f t="shared" si="133"/>
        <v/>
      </c>
      <c r="BT80" s="87" t="str">
        <f t="shared" si="134"/>
        <v/>
      </c>
    </row>
    <row r="81" spans="2:72">
      <c r="B81" s="81">
        <f>Weekly!B73</f>
        <v>0</v>
      </c>
      <c r="C81" s="90">
        <f>Weekly!C73</f>
        <v>0</v>
      </c>
      <c r="D81" s="90">
        <f>Weekly!D74</f>
        <v>0</v>
      </c>
      <c r="E81" s="91" t="e">
        <f>VLOOKUP(B81,Team!$B$4:$E$183,4,FALSE)</f>
        <v>#N/A</v>
      </c>
      <c r="F81" s="92" t="str">
        <f>Weekly!V73</f>
        <v/>
      </c>
      <c r="G81" s="92" t="str">
        <f>Weekly!W73</f>
        <v/>
      </c>
      <c r="H81" s="48" t="str">
        <f t="shared" ref="H81:H103" si="135">IF(AND($H$12&gt;=$F81,$H$12&lt;$G81),$E81,"")</f>
        <v/>
      </c>
      <c r="I81" s="48" t="str">
        <f t="shared" ref="I81:I103" si="136">IF(AND($I$12&gt;=$F81,$I$12&lt;$G81),$E81,"")</f>
        <v/>
      </c>
      <c r="J81" s="48" t="str">
        <f t="shared" ref="J81:J103" si="137">IF(AND($J$12&gt;=$F81,$J$12&lt;$G81),$E81,"")</f>
        <v/>
      </c>
      <c r="K81" s="84" t="str">
        <f t="shared" ref="K81:K103" si="138">IF(AND($K$12&gt;=$F81,$K$12&lt;$G81),$E81,"")</f>
        <v/>
      </c>
      <c r="L81" s="82" t="str">
        <f t="shared" ref="L81:L103" si="139">IF(AND($L$12&gt;=$F81,$L$12&lt;$G81),$E81,"")</f>
        <v/>
      </c>
      <c r="M81" s="48" t="str">
        <f t="shared" ref="M81:M103" si="140">IF(AND($M$12&gt;=$F81,$M$12&lt;$G81),$E81,"")</f>
        <v/>
      </c>
      <c r="N81" s="48" t="str">
        <f t="shared" ref="N81:N103" si="141">IF(AND($N$12&gt;=$F81,$N$12&lt;$G81),$E81,"")</f>
        <v/>
      </c>
      <c r="O81" s="84" t="str">
        <f t="shared" ref="O81:O103" si="142">IF(AND($O$12&gt;=$F81,$O$12&lt;$G81),$E81,"")</f>
        <v/>
      </c>
      <c r="P81" s="82" t="str">
        <f t="shared" ref="P81:P103" si="143">IF(AND($P$12&gt;=$F81,$P$12&lt;$G81),$E81,"")</f>
        <v/>
      </c>
      <c r="Q81" s="48" t="str">
        <f t="shared" ref="Q81:Q103" si="144">IF(AND($Q$12&gt;=$F81,$Q$12&lt;$G81),$E81,"")</f>
        <v/>
      </c>
      <c r="R81" s="48" t="str">
        <f t="shared" ref="R81:R103" si="145">IF(AND($R$12&gt;=$F81,$R$12&lt;$G81),$E81,"")</f>
        <v/>
      </c>
      <c r="S81" s="84" t="str">
        <f t="shared" ref="S81:S103" si="146">IF(AND($S$12&gt;=$F81,$S$12&lt;$G81),$E81,"")</f>
        <v/>
      </c>
      <c r="T81" s="82" t="str">
        <f t="shared" ref="T81:T103" si="147">IF(AND($T$12&gt;=$F81,$T$12&lt;$G81),$E81,"")</f>
        <v/>
      </c>
      <c r="U81" s="48" t="str">
        <f t="shared" ref="U81:U103" si="148">IF(AND($U$12&gt;=$F81,$U$12&lt;$G81),$E81,"")</f>
        <v/>
      </c>
      <c r="V81" s="48" t="str">
        <f t="shared" ref="V81:V103" si="149">IF(AND($V$12&gt;=$F81,$V$12&lt;$G81),$E81,"")</f>
        <v/>
      </c>
      <c r="W81" s="84" t="str">
        <f t="shared" ref="W81:W103" si="150">IF(AND($W$12&gt;=$F81,$W$12&lt;$G81),$E81,"")</f>
        <v/>
      </c>
      <c r="X81" s="82" t="str">
        <f t="shared" ref="X81:X103" si="151">IF(AND($X$12&gt;=$F81,$X$12&lt;$G81),$E81,"")</f>
        <v/>
      </c>
      <c r="Y81" s="48" t="str">
        <f t="shared" ref="Y81:Y103" si="152">IF(AND($Y$12&gt;=$F81,$Y$12&lt;$G81),$E81,"")</f>
        <v/>
      </c>
      <c r="Z81" s="48" t="str">
        <f t="shared" ref="Z81:Z103" si="153">IF(AND($Z$12&gt;=$F81,$Z$12&lt;$G81),$E81,"")</f>
        <v/>
      </c>
      <c r="AA81" s="84" t="str">
        <f t="shared" ref="AA81:AA103" si="154">IF(AND($AA$12&gt;=$F81,$AA$12&lt;$G81),$E81,"")</f>
        <v/>
      </c>
      <c r="AB81" s="82" t="str">
        <f t="shared" ref="AB81:AB103" si="155">IF(AND($AB$12&gt;=$F81,$AB$12&lt;$G81),$E81,"")</f>
        <v/>
      </c>
      <c r="AC81" s="48" t="str">
        <f t="shared" ref="AC81:AC103" si="156">IF(AND($AC$12&gt;=$F81,$AC$12&lt;$G81),$E81,"")</f>
        <v/>
      </c>
      <c r="AD81" s="48" t="str">
        <f t="shared" ref="AD81:AD103" si="157">IF(AND($AD$12&gt;=$F81,$AD$12&lt;$G81),$E81,"")</f>
        <v/>
      </c>
      <c r="AE81" s="84" t="str">
        <f t="shared" ref="AE81:AE103" si="158">IF(AND($AE$12&gt;=$F81,$AE$12&lt;$G81),$E81,"")</f>
        <v/>
      </c>
      <c r="AF81" s="82" t="str">
        <f t="shared" ref="AF81:AF103" si="159">IF(AND($AF$12&gt;=$F81,$AF$12&lt;$G81),$E81,"")</f>
        <v/>
      </c>
      <c r="AG81" s="48" t="str">
        <f t="shared" ref="AG81:AG103" si="160">IF(AND($AG$12&gt;=$F81,$AG$12&lt;$G81),$E81,"")</f>
        <v/>
      </c>
      <c r="AH81" s="48" t="str">
        <f t="shared" ref="AH81:AH103" si="161">IF(AND($AH$12&gt;=$F81,$AH$12&lt;$G81),$E81,"")</f>
        <v/>
      </c>
      <c r="AI81" s="84" t="str">
        <f t="shared" ref="AI81:AI103" si="162">IF(AND($AI$12&gt;=$F81,$AI$12&lt;$G81),$E81,"")</f>
        <v/>
      </c>
      <c r="AJ81" s="82" t="str">
        <f t="shared" ref="AJ81:AJ103" si="163">IF(AND($AJ$12&gt;=$F81,$AJ$12&lt;$G81),$E81,"")</f>
        <v/>
      </c>
      <c r="AK81" s="48" t="str">
        <f t="shared" ref="AK81:AK103" si="164">IF(AND($AK$12&gt;=$F81,$AK$12&lt;$G81),$E81,"")</f>
        <v/>
      </c>
      <c r="AL81" s="48" t="str">
        <f t="shared" ref="AL81:AL103" si="165">IF(AND($AL$12&gt;=$F81,$AL$12&lt;$G81),$E81,"")</f>
        <v/>
      </c>
      <c r="AM81" s="84" t="str">
        <f t="shared" ref="AM81:AM103" si="166">IF(AND($AM$12&gt;=$F81,$AM$12&lt;$G81),$E81,"")</f>
        <v/>
      </c>
      <c r="AN81" s="82" t="str">
        <f t="shared" ref="AN81:AN103" si="167">IF(AND($AN$12&gt;=$F81,$AN$12&lt;$G81),$E81,"")</f>
        <v/>
      </c>
      <c r="AO81" s="48" t="str">
        <f t="shared" ref="AO81:AO103" si="168">IF(AND($AO$12&gt;=$F81,$AO$12&lt;$G81),$E81,"")</f>
        <v/>
      </c>
      <c r="AP81" s="48" t="str">
        <f t="shared" ref="AP81:AP103" si="169">IF(AND($AP$12&gt;=$F81,$AP$12&lt;$G81),$E81,"")</f>
        <v/>
      </c>
      <c r="AQ81" s="84" t="str">
        <f t="shared" ref="AQ81:AQ103" si="170">IF(AND($AQ$12&gt;=$F81,$AQ$12&lt;$G81),$E81,"")</f>
        <v/>
      </c>
      <c r="AR81" s="82" t="str">
        <f t="shared" ref="AR81:AR103" si="171">IF(AND($AR$12&gt;=$F81,$AR$12&lt;$G81),$E81,"")</f>
        <v/>
      </c>
      <c r="AS81" s="48" t="str">
        <f t="shared" ref="AS81:AS103" si="172">IF(AND($AS$12&gt;=$F81,$AS$12&lt;$G81),$E81,"")</f>
        <v/>
      </c>
      <c r="AT81" s="48" t="str">
        <f t="shared" ref="AT81:AT103" si="173">IF(AND($AT$12&gt;=$F81,$AT$12&lt;$G81),$E81,"")</f>
        <v/>
      </c>
      <c r="AU81" s="84" t="str">
        <f t="shared" ref="AU81:AU103" si="174">IF(AND($AU$12&gt;=$F81,$AU$12&lt;$G81),$E81,"")</f>
        <v/>
      </c>
      <c r="AV81" s="82" t="str">
        <f t="shared" ref="AV81:AV103" si="175">IF(AND($AV$12&gt;=$F81,$AV$12&lt;$G81),$E81,"")</f>
        <v/>
      </c>
      <c r="AW81" s="48" t="str">
        <f t="shared" ref="AW81:AW103" si="176">IF(AND($AW$12&gt;=$F81,$AW$12&lt;$G81),$E81,"")</f>
        <v/>
      </c>
      <c r="AX81" s="48" t="str">
        <f t="shared" ref="AX81:AX103" si="177">IF(AND($AX$12&gt;=$F81,$AX$12&lt;$G81),$E81,"")</f>
        <v/>
      </c>
      <c r="AY81" s="84" t="str">
        <f t="shared" ref="AY81:AY103" si="178">IF(AND($AY$12&gt;=$F81,$AY$12&lt;$G81),$E81,"")</f>
        <v/>
      </c>
      <c r="AZ81" s="82" t="str">
        <f t="shared" ref="AZ81:AZ103" si="179">IF(AND($AZ$12&gt;=$F81,$AZ$12&lt;$G81),$E81,"")</f>
        <v/>
      </c>
      <c r="BA81" s="48" t="str">
        <f t="shared" ref="BA81:BA103" si="180">IF(AND($BA$12&gt;=$F81,$BA$12&lt;$G81),$E81,"")</f>
        <v/>
      </c>
      <c r="BB81" s="48" t="str">
        <f t="shared" ref="BB81:BB103" si="181">IF(AND($BB$12&gt;=$F81,$BB$12&lt;$G81),$E81,"")</f>
        <v/>
      </c>
      <c r="BC81" s="84" t="str">
        <f t="shared" ref="BC81:BC103" si="182">IF(AND($BC$12&gt;=$F81,$BC$12&lt;$G81),$E81,"")</f>
        <v/>
      </c>
      <c r="BD81" s="82" t="str">
        <f t="shared" ref="BD81:BD103" si="183">IF(AND($BD$12&gt;=$F81,$BD$12&lt;$G81),$E81,"")</f>
        <v/>
      </c>
      <c r="BE81" s="48" t="str">
        <f t="shared" ref="BE81:BE103" si="184">IF(AND($BE$12&gt;=$F81,$BE$12&lt;$G81),$E81,"")</f>
        <v/>
      </c>
      <c r="BF81" s="48" t="str">
        <f t="shared" ref="BF81:BF103" si="185">IF(AND($BF$12&gt;=$F81,$BF$12&lt;$G81),$E81,"")</f>
        <v/>
      </c>
      <c r="BG81" s="84" t="str">
        <f t="shared" ref="BG81:BG103" si="186">IF(AND($BG$12&gt;=$F81,$BG$12&lt;$G81),$E81,"")</f>
        <v/>
      </c>
      <c r="BH81" s="87" t="str">
        <f t="shared" ref="BH81:BH103" si="187">IF(AND($BH$12&gt;=$F81,$BH$12&lt;$G81),$E81,"")</f>
        <v/>
      </c>
      <c r="BI81" s="49" t="str">
        <f t="shared" ref="BI81:BI103" si="188">IF(AND($BI$12&gt;=$F81,$BI$12&lt;$G81),$E81,"")</f>
        <v/>
      </c>
      <c r="BJ81" s="49" t="str">
        <f t="shared" ref="BJ81:BJ103" si="189">IF(AND($BJ$12&gt;=$F81,$BJ$12&lt;$G81),$E81,"")</f>
        <v/>
      </c>
      <c r="BK81" s="89" t="str">
        <f t="shared" ref="BK81:BK103" si="190">IF(AND($BK$12&gt;=$F81,$BK$12&lt;$G81),$E81,"")</f>
        <v/>
      </c>
      <c r="BL81" s="87" t="str">
        <f t="shared" ref="BL81:BL103" si="191">IF(AND($BL$12&gt;=$F81,$BL$12&lt;$G81),$E81,"")</f>
        <v/>
      </c>
      <c r="BM81" s="49" t="str">
        <f t="shared" ref="BM81:BM103" si="192">IF(AND($BM$12&gt;=$F81,$BM$12&lt;$G81),$E81,"")</f>
        <v/>
      </c>
      <c r="BN81" s="49" t="str">
        <f t="shared" ref="BN81:BN103" si="193">IF(AND($BN$12&gt;=$F81,$BN$12&lt;$G81),$E81,"")</f>
        <v/>
      </c>
      <c r="BO81" s="89" t="str">
        <f t="shared" ref="BO81:BO103" si="194">IF(AND($BO$12&gt;=$F81,$BO$12&lt;$G81),$E81,"")</f>
        <v/>
      </c>
      <c r="BP81" s="87" t="str">
        <f t="shared" ref="BP81:BP103" si="195">IF(AND($BP$12&gt;=$F81,$BP$12&lt;$G81),$E81,"")</f>
        <v/>
      </c>
      <c r="BQ81" s="49" t="str">
        <f t="shared" ref="BQ81:BQ103" si="196">IF(AND($BQ$12&gt;=$F81,$BQ$12&lt;$G81),$E81,"")</f>
        <v/>
      </c>
      <c r="BR81" s="49" t="str">
        <f t="shared" ref="BR81:BR103" si="197">IF(AND($BR$12&gt;=$F81,$BR$12&lt;$G81),$E81,"")</f>
        <v/>
      </c>
      <c r="BS81" s="89" t="str">
        <f t="shared" ref="BS81:BS103" si="198">IF(AND($BS$12&gt;=$F81,$BS$12&lt;$G81),$E81,"")</f>
        <v/>
      </c>
      <c r="BT81" s="87" t="str">
        <f t="shared" ref="BT81:BT103" si="199">IF(AND($BT$12&gt;=$F81,$BT$12&lt;$G81),$E81,"")</f>
        <v/>
      </c>
    </row>
    <row r="82" spans="2:72">
      <c r="B82" s="81">
        <f>Weekly!B74</f>
        <v>0</v>
      </c>
      <c r="C82" s="90">
        <f>Weekly!C74</f>
        <v>0</v>
      </c>
      <c r="D82" s="90">
        <f>Weekly!D75</f>
        <v>0</v>
      </c>
      <c r="E82" s="91" t="e">
        <f>VLOOKUP(B82,Team!$B$4:$E$183,4,FALSE)</f>
        <v>#N/A</v>
      </c>
      <c r="F82" s="92" t="str">
        <f>Weekly!V74</f>
        <v/>
      </c>
      <c r="G82" s="92" t="str">
        <f>Weekly!W74</f>
        <v/>
      </c>
      <c r="H82" s="48" t="str">
        <f t="shared" si="135"/>
        <v/>
      </c>
      <c r="I82" s="48" t="str">
        <f t="shared" si="136"/>
        <v/>
      </c>
      <c r="J82" s="48" t="str">
        <f t="shared" si="137"/>
        <v/>
      </c>
      <c r="K82" s="84" t="str">
        <f t="shared" si="138"/>
        <v/>
      </c>
      <c r="L82" s="82" t="str">
        <f t="shared" si="139"/>
        <v/>
      </c>
      <c r="M82" s="48" t="str">
        <f t="shared" si="140"/>
        <v/>
      </c>
      <c r="N82" s="48" t="str">
        <f t="shared" si="141"/>
        <v/>
      </c>
      <c r="O82" s="84" t="str">
        <f t="shared" si="142"/>
        <v/>
      </c>
      <c r="P82" s="82" t="str">
        <f t="shared" si="143"/>
        <v/>
      </c>
      <c r="Q82" s="48" t="str">
        <f t="shared" si="144"/>
        <v/>
      </c>
      <c r="R82" s="48" t="str">
        <f t="shared" si="145"/>
        <v/>
      </c>
      <c r="S82" s="84" t="str">
        <f t="shared" si="146"/>
        <v/>
      </c>
      <c r="T82" s="82" t="str">
        <f t="shared" si="147"/>
        <v/>
      </c>
      <c r="U82" s="48" t="str">
        <f t="shared" si="148"/>
        <v/>
      </c>
      <c r="V82" s="48" t="str">
        <f t="shared" si="149"/>
        <v/>
      </c>
      <c r="W82" s="84" t="str">
        <f t="shared" si="150"/>
        <v/>
      </c>
      <c r="X82" s="82" t="str">
        <f t="shared" si="151"/>
        <v/>
      </c>
      <c r="Y82" s="48" t="str">
        <f t="shared" si="152"/>
        <v/>
      </c>
      <c r="Z82" s="48" t="str">
        <f t="shared" si="153"/>
        <v/>
      </c>
      <c r="AA82" s="84" t="str">
        <f t="shared" si="154"/>
        <v/>
      </c>
      <c r="AB82" s="82" t="str">
        <f t="shared" si="155"/>
        <v/>
      </c>
      <c r="AC82" s="48" t="str">
        <f t="shared" si="156"/>
        <v/>
      </c>
      <c r="AD82" s="48" t="str">
        <f t="shared" si="157"/>
        <v/>
      </c>
      <c r="AE82" s="84" t="str">
        <f t="shared" si="158"/>
        <v/>
      </c>
      <c r="AF82" s="82" t="str">
        <f t="shared" si="159"/>
        <v/>
      </c>
      <c r="AG82" s="48" t="str">
        <f t="shared" si="160"/>
        <v/>
      </c>
      <c r="AH82" s="48" t="str">
        <f t="shared" si="161"/>
        <v/>
      </c>
      <c r="AI82" s="84" t="str">
        <f t="shared" si="162"/>
        <v/>
      </c>
      <c r="AJ82" s="82" t="str">
        <f t="shared" si="163"/>
        <v/>
      </c>
      <c r="AK82" s="48" t="str">
        <f t="shared" si="164"/>
        <v/>
      </c>
      <c r="AL82" s="48" t="str">
        <f t="shared" si="165"/>
        <v/>
      </c>
      <c r="AM82" s="84" t="str">
        <f t="shared" si="166"/>
        <v/>
      </c>
      <c r="AN82" s="82" t="str">
        <f t="shared" si="167"/>
        <v/>
      </c>
      <c r="AO82" s="48" t="str">
        <f t="shared" si="168"/>
        <v/>
      </c>
      <c r="AP82" s="48" t="str">
        <f t="shared" si="169"/>
        <v/>
      </c>
      <c r="AQ82" s="84" t="str">
        <f t="shared" si="170"/>
        <v/>
      </c>
      <c r="AR82" s="82" t="str">
        <f t="shared" si="171"/>
        <v/>
      </c>
      <c r="AS82" s="48" t="str">
        <f t="shared" si="172"/>
        <v/>
      </c>
      <c r="AT82" s="48" t="str">
        <f t="shared" si="173"/>
        <v/>
      </c>
      <c r="AU82" s="84" t="str">
        <f t="shared" si="174"/>
        <v/>
      </c>
      <c r="AV82" s="82" t="str">
        <f t="shared" si="175"/>
        <v/>
      </c>
      <c r="AW82" s="48" t="str">
        <f t="shared" si="176"/>
        <v/>
      </c>
      <c r="AX82" s="48" t="str">
        <f t="shared" si="177"/>
        <v/>
      </c>
      <c r="AY82" s="84" t="str">
        <f t="shared" si="178"/>
        <v/>
      </c>
      <c r="AZ82" s="82" t="str">
        <f t="shared" si="179"/>
        <v/>
      </c>
      <c r="BA82" s="48" t="str">
        <f t="shared" si="180"/>
        <v/>
      </c>
      <c r="BB82" s="48" t="str">
        <f t="shared" si="181"/>
        <v/>
      </c>
      <c r="BC82" s="84" t="str">
        <f t="shared" si="182"/>
        <v/>
      </c>
      <c r="BD82" s="82" t="str">
        <f t="shared" si="183"/>
        <v/>
      </c>
      <c r="BE82" s="48" t="str">
        <f t="shared" si="184"/>
        <v/>
      </c>
      <c r="BF82" s="48" t="str">
        <f t="shared" si="185"/>
        <v/>
      </c>
      <c r="BG82" s="84" t="str">
        <f t="shared" si="186"/>
        <v/>
      </c>
      <c r="BH82" s="87" t="str">
        <f t="shared" si="187"/>
        <v/>
      </c>
      <c r="BI82" s="49" t="str">
        <f t="shared" si="188"/>
        <v/>
      </c>
      <c r="BJ82" s="49" t="str">
        <f t="shared" si="189"/>
        <v/>
      </c>
      <c r="BK82" s="89" t="str">
        <f t="shared" si="190"/>
        <v/>
      </c>
      <c r="BL82" s="87" t="str">
        <f t="shared" si="191"/>
        <v/>
      </c>
      <c r="BM82" s="49" t="str">
        <f t="shared" si="192"/>
        <v/>
      </c>
      <c r="BN82" s="49" t="str">
        <f t="shared" si="193"/>
        <v/>
      </c>
      <c r="BO82" s="89" t="str">
        <f t="shared" si="194"/>
        <v/>
      </c>
      <c r="BP82" s="87" t="str">
        <f t="shared" si="195"/>
        <v/>
      </c>
      <c r="BQ82" s="49" t="str">
        <f t="shared" si="196"/>
        <v/>
      </c>
      <c r="BR82" s="49" t="str">
        <f t="shared" si="197"/>
        <v/>
      </c>
      <c r="BS82" s="89" t="str">
        <f t="shared" si="198"/>
        <v/>
      </c>
      <c r="BT82" s="87" t="str">
        <f t="shared" si="199"/>
        <v/>
      </c>
    </row>
    <row r="83" spans="2:72">
      <c r="B83" s="81">
        <f>Weekly!B75</f>
        <v>0</v>
      </c>
      <c r="C83" s="90">
        <f>Weekly!C75</f>
        <v>0</v>
      </c>
      <c r="D83" s="90">
        <f>Weekly!D76</f>
        <v>0</v>
      </c>
      <c r="E83" s="91" t="e">
        <f>VLOOKUP(B83,Team!$B$4:$E$183,4,FALSE)</f>
        <v>#N/A</v>
      </c>
      <c r="F83" s="92" t="str">
        <f>Weekly!V75</f>
        <v/>
      </c>
      <c r="G83" s="92" t="str">
        <f>Weekly!W75</f>
        <v/>
      </c>
      <c r="H83" s="48" t="str">
        <f t="shared" si="135"/>
        <v/>
      </c>
      <c r="I83" s="48" t="str">
        <f t="shared" si="136"/>
        <v/>
      </c>
      <c r="J83" s="48" t="str">
        <f t="shared" si="137"/>
        <v/>
      </c>
      <c r="K83" s="84" t="str">
        <f t="shared" si="138"/>
        <v/>
      </c>
      <c r="L83" s="82" t="str">
        <f t="shared" si="139"/>
        <v/>
      </c>
      <c r="M83" s="48" t="str">
        <f t="shared" si="140"/>
        <v/>
      </c>
      <c r="N83" s="48" t="str">
        <f t="shared" si="141"/>
        <v/>
      </c>
      <c r="O83" s="84" t="str">
        <f t="shared" si="142"/>
        <v/>
      </c>
      <c r="P83" s="82" t="str">
        <f t="shared" si="143"/>
        <v/>
      </c>
      <c r="Q83" s="48" t="str">
        <f t="shared" si="144"/>
        <v/>
      </c>
      <c r="R83" s="48" t="str">
        <f t="shared" si="145"/>
        <v/>
      </c>
      <c r="S83" s="84" t="str">
        <f t="shared" si="146"/>
        <v/>
      </c>
      <c r="T83" s="82" t="str">
        <f t="shared" si="147"/>
        <v/>
      </c>
      <c r="U83" s="48" t="str">
        <f t="shared" si="148"/>
        <v/>
      </c>
      <c r="V83" s="48" t="str">
        <f t="shared" si="149"/>
        <v/>
      </c>
      <c r="W83" s="84" t="str">
        <f t="shared" si="150"/>
        <v/>
      </c>
      <c r="X83" s="82" t="str">
        <f t="shared" si="151"/>
        <v/>
      </c>
      <c r="Y83" s="48" t="str">
        <f t="shared" si="152"/>
        <v/>
      </c>
      <c r="Z83" s="48" t="str">
        <f t="shared" si="153"/>
        <v/>
      </c>
      <c r="AA83" s="84" t="str">
        <f t="shared" si="154"/>
        <v/>
      </c>
      <c r="AB83" s="82" t="str">
        <f t="shared" si="155"/>
        <v/>
      </c>
      <c r="AC83" s="48" t="str">
        <f t="shared" si="156"/>
        <v/>
      </c>
      <c r="AD83" s="48" t="str">
        <f t="shared" si="157"/>
        <v/>
      </c>
      <c r="AE83" s="84" t="str">
        <f t="shared" si="158"/>
        <v/>
      </c>
      <c r="AF83" s="82" t="str">
        <f t="shared" si="159"/>
        <v/>
      </c>
      <c r="AG83" s="48" t="str">
        <f t="shared" si="160"/>
        <v/>
      </c>
      <c r="AH83" s="48" t="str">
        <f t="shared" si="161"/>
        <v/>
      </c>
      <c r="AI83" s="84" t="str">
        <f t="shared" si="162"/>
        <v/>
      </c>
      <c r="AJ83" s="82" t="str">
        <f t="shared" si="163"/>
        <v/>
      </c>
      <c r="AK83" s="48" t="str">
        <f t="shared" si="164"/>
        <v/>
      </c>
      <c r="AL83" s="48" t="str">
        <f t="shared" si="165"/>
        <v/>
      </c>
      <c r="AM83" s="84" t="str">
        <f t="shared" si="166"/>
        <v/>
      </c>
      <c r="AN83" s="82" t="str">
        <f t="shared" si="167"/>
        <v/>
      </c>
      <c r="AO83" s="48" t="str">
        <f t="shared" si="168"/>
        <v/>
      </c>
      <c r="AP83" s="48" t="str">
        <f t="shared" si="169"/>
        <v/>
      </c>
      <c r="AQ83" s="84" t="str">
        <f t="shared" si="170"/>
        <v/>
      </c>
      <c r="AR83" s="82" t="str">
        <f t="shared" si="171"/>
        <v/>
      </c>
      <c r="AS83" s="48" t="str">
        <f t="shared" si="172"/>
        <v/>
      </c>
      <c r="AT83" s="48" t="str">
        <f t="shared" si="173"/>
        <v/>
      </c>
      <c r="AU83" s="84" t="str">
        <f t="shared" si="174"/>
        <v/>
      </c>
      <c r="AV83" s="82" t="str">
        <f t="shared" si="175"/>
        <v/>
      </c>
      <c r="AW83" s="48" t="str">
        <f t="shared" si="176"/>
        <v/>
      </c>
      <c r="AX83" s="48" t="str">
        <f t="shared" si="177"/>
        <v/>
      </c>
      <c r="AY83" s="84" t="str">
        <f t="shared" si="178"/>
        <v/>
      </c>
      <c r="AZ83" s="82" t="str">
        <f t="shared" si="179"/>
        <v/>
      </c>
      <c r="BA83" s="48" t="str">
        <f t="shared" si="180"/>
        <v/>
      </c>
      <c r="BB83" s="48" t="str">
        <f t="shared" si="181"/>
        <v/>
      </c>
      <c r="BC83" s="84" t="str">
        <f t="shared" si="182"/>
        <v/>
      </c>
      <c r="BD83" s="82" t="str">
        <f t="shared" si="183"/>
        <v/>
      </c>
      <c r="BE83" s="48" t="str">
        <f t="shared" si="184"/>
        <v/>
      </c>
      <c r="BF83" s="48" t="str">
        <f t="shared" si="185"/>
        <v/>
      </c>
      <c r="BG83" s="84" t="str">
        <f t="shared" si="186"/>
        <v/>
      </c>
      <c r="BH83" s="87" t="str">
        <f t="shared" si="187"/>
        <v/>
      </c>
      <c r="BI83" s="49" t="str">
        <f t="shared" si="188"/>
        <v/>
      </c>
      <c r="BJ83" s="49" t="str">
        <f t="shared" si="189"/>
        <v/>
      </c>
      <c r="BK83" s="89" t="str">
        <f t="shared" si="190"/>
        <v/>
      </c>
      <c r="BL83" s="87" t="str">
        <f t="shared" si="191"/>
        <v/>
      </c>
      <c r="BM83" s="49" t="str">
        <f t="shared" si="192"/>
        <v/>
      </c>
      <c r="BN83" s="49" t="str">
        <f t="shared" si="193"/>
        <v/>
      </c>
      <c r="BO83" s="89" t="str">
        <f t="shared" si="194"/>
        <v/>
      </c>
      <c r="BP83" s="87" t="str">
        <f t="shared" si="195"/>
        <v/>
      </c>
      <c r="BQ83" s="49" t="str">
        <f t="shared" si="196"/>
        <v/>
      </c>
      <c r="BR83" s="49" t="str">
        <f t="shared" si="197"/>
        <v/>
      </c>
      <c r="BS83" s="89" t="str">
        <f t="shared" si="198"/>
        <v/>
      </c>
      <c r="BT83" s="87" t="str">
        <f t="shared" si="199"/>
        <v/>
      </c>
    </row>
    <row r="84" spans="2:72">
      <c r="B84" s="81">
        <f>Weekly!B76</f>
        <v>0</v>
      </c>
      <c r="C84" s="90">
        <f>Weekly!C76</f>
        <v>0</v>
      </c>
      <c r="D84" s="90">
        <f>Weekly!D77</f>
        <v>0</v>
      </c>
      <c r="E84" s="91" t="e">
        <f>VLOOKUP(B84,Team!$B$4:$E$183,4,FALSE)</f>
        <v>#N/A</v>
      </c>
      <c r="F84" s="92" t="str">
        <f>Weekly!V76</f>
        <v/>
      </c>
      <c r="G84" s="92" t="str">
        <f>Weekly!W76</f>
        <v/>
      </c>
      <c r="H84" s="48" t="str">
        <f t="shared" si="135"/>
        <v/>
      </c>
      <c r="I84" s="48" t="str">
        <f t="shared" si="136"/>
        <v/>
      </c>
      <c r="J84" s="48" t="str">
        <f t="shared" si="137"/>
        <v/>
      </c>
      <c r="K84" s="84" t="str">
        <f t="shared" si="138"/>
        <v/>
      </c>
      <c r="L84" s="82" t="str">
        <f t="shared" si="139"/>
        <v/>
      </c>
      <c r="M84" s="48" t="str">
        <f t="shared" si="140"/>
        <v/>
      </c>
      <c r="N84" s="48" t="str">
        <f t="shared" si="141"/>
        <v/>
      </c>
      <c r="O84" s="84" t="str">
        <f t="shared" si="142"/>
        <v/>
      </c>
      <c r="P84" s="82" t="str">
        <f t="shared" si="143"/>
        <v/>
      </c>
      <c r="Q84" s="48" t="str">
        <f t="shared" si="144"/>
        <v/>
      </c>
      <c r="R84" s="48" t="str">
        <f t="shared" si="145"/>
        <v/>
      </c>
      <c r="S84" s="84" t="str">
        <f t="shared" si="146"/>
        <v/>
      </c>
      <c r="T84" s="82" t="str">
        <f t="shared" si="147"/>
        <v/>
      </c>
      <c r="U84" s="48" t="str">
        <f t="shared" si="148"/>
        <v/>
      </c>
      <c r="V84" s="48" t="str">
        <f t="shared" si="149"/>
        <v/>
      </c>
      <c r="W84" s="84" t="str">
        <f t="shared" si="150"/>
        <v/>
      </c>
      <c r="X84" s="82" t="str">
        <f t="shared" si="151"/>
        <v/>
      </c>
      <c r="Y84" s="48" t="str">
        <f t="shared" si="152"/>
        <v/>
      </c>
      <c r="Z84" s="48" t="str">
        <f t="shared" si="153"/>
        <v/>
      </c>
      <c r="AA84" s="84" t="str">
        <f t="shared" si="154"/>
        <v/>
      </c>
      <c r="AB84" s="82" t="str">
        <f t="shared" si="155"/>
        <v/>
      </c>
      <c r="AC84" s="48" t="str">
        <f t="shared" si="156"/>
        <v/>
      </c>
      <c r="AD84" s="48" t="str">
        <f t="shared" si="157"/>
        <v/>
      </c>
      <c r="AE84" s="84" t="str">
        <f t="shared" si="158"/>
        <v/>
      </c>
      <c r="AF84" s="82" t="str">
        <f t="shared" si="159"/>
        <v/>
      </c>
      <c r="AG84" s="48" t="str">
        <f t="shared" si="160"/>
        <v/>
      </c>
      <c r="AH84" s="48" t="str">
        <f t="shared" si="161"/>
        <v/>
      </c>
      <c r="AI84" s="84" t="str">
        <f t="shared" si="162"/>
        <v/>
      </c>
      <c r="AJ84" s="82" t="str">
        <f t="shared" si="163"/>
        <v/>
      </c>
      <c r="AK84" s="48" t="str">
        <f t="shared" si="164"/>
        <v/>
      </c>
      <c r="AL84" s="48" t="str">
        <f t="shared" si="165"/>
        <v/>
      </c>
      <c r="AM84" s="84" t="str">
        <f t="shared" si="166"/>
        <v/>
      </c>
      <c r="AN84" s="82" t="str">
        <f t="shared" si="167"/>
        <v/>
      </c>
      <c r="AO84" s="48" t="str">
        <f t="shared" si="168"/>
        <v/>
      </c>
      <c r="AP84" s="48" t="str">
        <f t="shared" si="169"/>
        <v/>
      </c>
      <c r="AQ84" s="84" t="str">
        <f t="shared" si="170"/>
        <v/>
      </c>
      <c r="AR84" s="82" t="str">
        <f t="shared" si="171"/>
        <v/>
      </c>
      <c r="AS84" s="48" t="str">
        <f t="shared" si="172"/>
        <v/>
      </c>
      <c r="AT84" s="48" t="str">
        <f t="shared" si="173"/>
        <v/>
      </c>
      <c r="AU84" s="84" t="str">
        <f t="shared" si="174"/>
        <v/>
      </c>
      <c r="AV84" s="82" t="str">
        <f t="shared" si="175"/>
        <v/>
      </c>
      <c r="AW84" s="48" t="str">
        <f t="shared" si="176"/>
        <v/>
      </c>
      <c r="AX84" s="48" t="str">
        <f t="shared" si="177"/>
        <v/>
      </c>
      <c r="AY84" s="84" t="str">
        <f t="shared" si="178"/>
        <v/>
      </c>
      <c r="AZ84" s="82" t="str">
        <f t="shared" si="179"/>
        <v/>
      </c>
      <c r="BA84" s="48" t="str">
        <f t="shared" si="180"/>
        <v/>
      </c>
      <c r="BB84" s="48" t="str">
        <f t="shared" si="181"/>
        <v/>
      </c>
      <c r="BC84" s="84" t="str">
        <f t="shared" si="182"/>
        <v/>
      </c>
      <c r="BD84" s="82" t="str">
        <f t="shared" si="183"/>
        <v/>
      </c>
      <c r="BE84" s="48" t="str">
        <f t="shared" si="184"/>
        <v/>
      </c>
      <c r="BF84" s="48" t="str">
        <f t="shared" si="185"/>
        <v/>
      </c>
      <c r="BG84" s="84" t="str">
        <f t="shared" si="186"/>
        <v/>
      </c>
      <c r="BH84" s="87" t="str">
        <f t="shared" si="187"/>
        <v/>
      </c>
      <c r="BI84" s="49" t="str">
        <f t="shared" si="188"/>
        <v/>
      </c>
      <c r="BJ84" s="49" t="str">
        <f t="shared" si="189"/>
        <v/>
      </c>
      <c r="BK84" s="89" t="str">
        <f t="shared" si="190"/>
        <v/>
      </c>
      <c r="BL84" s="87" t="str">
        <f t="shared" si="191"/>
        <v/>
      </c>
      <c r="BM84" s="49" t="str">
        <f t="shared" si="192"/>
        <v/>
      </c>
      <c r="BN84" s="49" t="str">
        <f t="shared" si="193"/>
        <v/>
      </c>
      <c r="BO84" s="89" t="str">
        <f t="shared" si="194"/>
        <v/>
      </c>
      <c r="BP84" s="87" t="str">
        <f t="shared" si="195"/>
        <v/>
      </c>
      <c r="BQ84" s="49" t="str">
        <f t="shared" si="196"/>
        <v/>
      </c>
      <c r="BR84" s="49" t="str">
        <f t="shared" si="197"/>
        <v/>
      </c>
      <c r="BS84" s="89" t="str">
        <f t="shared" si="198"/>
        <v/>
      </c>
      <c r="BT84" s="87" t="str">
        <f t="shared" si="199"/>
        <v/>
      </c>
    </row>
    <row r="85" spans="2:72">
      <c r="B85" s="81">
        <f>Weekly!B77</f>
        <v>0</v>
      </c>
      <c r="C85" s="90">
        <f>Weekly!C77</f>
        <v>0</v>
      </c>
      <c r="D85" s="90">
        <f>Weekly!D78</f>
        <v>0</v>
      </c>
      <c r="E85" s="91" t="e">
        <f>VLOOKUP(B85,Team!$B$4:$E$183,4,FALSE)</f>
        <v>#N/A</v>
      </c>
      <c r="F85" s="92" t="str">
        <f>Weekly!V77</f>
        <v/>
      </c>
      <c r="G85" s="92" t="str">
        <f>Weekly!W77</f>
        <v/>
      </c>
      <c r="H85" s="48" t="str">
        <f t="shared" si="135"/>
        <v/>
      </c>
      <c r="I85" s="48" t="str">
        <f t="shared" si="136"/>
        <v/>
      </c>
      <c r="J85" s="48" t="str">
        <f t="shared" si="137"/>
        <v/>
      </c>
      <c r="K85" s="84" t="str">
        <f t="shared" si="138"/>
        <v/>
      </c>
      <c r="L85" s="82" t="str">
        <f t="shared" si="139"/>
        <v/>
      </c>
      <c r="M85" s="48" t="str">
        <f t="shared" si="140"/>
        <v/>
      </c>
      <c r="N85" s="48" t="str">
        <f t="shared" si="141"/>
        <v/>
      </c>
      <c r="O85" s="84" t="str">
        <f t="shared" si="142"/>
        <v/>
      </c>
      <c r="P85" s="82" t="str">
        <f t="shared" si="143"/>
        <v/>
      </c>
      <c r="Q85" s="48" t="str">
        <f t="shared" si="144"/>
        <v/>
      </c>
      <c r="R85" s="48" t="str">
        <f t="shared" si="145"/>
        <v/>
      </c>
      <c r="S85" s="84" t="str">
        <f t="shared" si="146"/>
        <v/>
      </c>
      <c r="T85" s="82" t="str">
        <f t="shared" si="147"/>
        <v/>
      </c>
      <c r="U85" s="48" t="str">
        <f t="shared" si="148"/>
        <v/>
      </c>
      <c r="V85" s="48" t="str">
        <f t="shared" si="149"/>
        <v/>
      </c>
      <c r="W85" s="84" t="str">
        <f t="shared" si="150"/>
        <v/>
      </c>
      <c r="X85" s="82" t="str">
        <f t="shared" si="151"/>
        <v/>
      </c>
      <c r="Y85" s="48" t="str">
        <f t="shared" si="152"/>
        <v/>
      </c>
      <c r="Z85" s="48" t="str">
        <f t="shared" si="153"/>
        <v/>
      </c>
      <c r="AA85" s="84" t="str">
        <f t="shared" si="154"/>
        <v/>
      </c>
      <c r="AB85" s="82" t="str">
        <f t="shared" si="155"/>
        <v/>
      </c>
      <c r="AC85" s="48" t="str">
        <f t="shared" si="156"/>
        <v/>
      </c>
      <c r="AD85" s="48" t="str">
        <f t="shared" si="157"/>
        <v/>
      </c>
      <c r="AE85" s="84" t="str">
        <f t="shared" si="158"/>
        <v/>
      </c>
      <c r="AF85" s="82" t="str">
        <f t="shared" si="159"/>
        <v/>
      </c>
      <c r="AG85" s="48" t="str">
        <f t="shared" si="160"/>
        <v/>
      </c>
      <c r="AH85" s="48" t="str">
        <f t="shared" si="161"/>
        <v/>
      </c>
      <c r="AI85" s="84" t="str">
        <f t="shared" si="162"/>
        <v/>
      </c>
      <c r="AJ85" s="82" t="str">
        <f t="shared" si="163"/>
        <v/>
      </c>
      <c r="AK85" s="48" t="str">
        <f t="shared" si="164"/>
        <v/>
      </c>
      <c r="AL85" s="48" t="str">
        <f t="shared" si="165"/>
        <v/>
      </c>
      <c r="AM85" s="84" t="str">
        <f t="shared" si="166"/>
        <v/>
      </c>
      <c r="AN85" s="82" t="str">
        <f t="shared" si="167"/>
        <v/>
      </c>
      <c r="AO85" s="48" t="str">
        <f t="shared" si="168"/>
        <v/>
      </c>
      <c r="AP85" s="48" t="str">
        <f t="shared" si="169"/>
        <v/>
      </c>
      <c r="AQ85" s="84" t="str">
        <f t="shared" si="170"/>
        <v/>
      </c>
      <c r="AR85" s="82" t="str">
        <f t="shared" si="171"/>
        <v/>
      </c>
      <c r="AS85" s="48" t="str">
        <f t="shared" si="172"/>
        <v/>
      </c>
      <c r="AT85" s="48" t="str">
        <f t="shared" si="173"/>
        <v/>
      </c>
      <c r="AU85" s="84" t="str">
        <f t="shared" si="174"/>
        <v/>
      </c>
      <c r="AV85" s="82" t="str">
        <f t="shared" si="175"/>
        <v/>
      </c>
      <c r="AW85" s="48" t="str">
        <f t="shared" si="176"/>
        <v/>
      </c>
      <c r="AX85" s="48" t="str">
        <f t="shared" si="177"/>
        <v/>
      </c>
      <c r="AY85" s="84" t="str">
        <f t="shared" si="178"/>
        <v/>
      </c>
      <c r="AZ85" s="82" t="str">
        <f t="shared" si="179"/>
        <v/>
      </c>
      <c r="BA85" s="48" t="str">
        <f t="shared" si="180"/>
        <v/>
      </c>
      <c r="BB85" s="48" t="str">
        <f t="shared" si="181"/>
        <v/>
      </c>
      <c r="BC85" s="84" t="str">
        <f t="shared" si="182"/>
        <v/>
      </c>
      <c r="BD85" s="82" t="str">
        <f t="shared" si="183"/>
        <v/>
      </c>
      <c r="BE85" s="48" t="str">
        <f t="shared" si="184"/>
        <v/>
      </c>
      <c r="BF85" s="48" t="str">
        <f t="shared" si="185"/>
        <v/>
      </c>
      <c r="BG85" s="84" t="str">
        <f t="shared" si="186"/>
        <v/>
      </c>
      <c r="BH85" s="87" t="str">
        <f t="shared" si="187"/>
        <v/>
      </c>
      <c r="BI85" s="49" t="str">
        <f t="shared" si="188"/>
        <v/>
      </c>
      <c r="BJ85" s="49" t="str">
        <f t="shared" si="189"/>
        <v/>
      </c>
      <c r="BK85" s="89" t="str">
        <f t="shared" si="190"/>
        <v/>
      </c>
      <c r="BL85" s="87" t="str">
        <f t="shared" si="191"/>
        <v/>
      </c>
      <c r="BM85" s="49" t="str">
        <f t="shared" si="192"/>
        <v/>
      </c>
      <c r="BN85" s="49" t="str">
        <f t="shared" si="193"/>
        <v/>
      </c>
      <c r="BO85" s="89" t="str">
        <f t="shared" si="194"/>
        <v/>
      </c>
      <c r="BP85" s="87" t="str">
        <f t="shared" si="195"/>
        <v/>
      </c>
      <c r="BQ85" s="49" t="str">
        <f t="shared" si="196"/>
        <v/>
      </c>
      <c r="BR85" s="49" t="str">
        <f t="shared" si="197"/>
        <v/>
      </c>
      <c r="BS85" s="89" t="str">
        <f t="shared" si="198"/>
        <v/>
      </c>
      <c r="BT85" s="87" t="str">
        <f t="shared" si="199"/>
        <v/>
      </c>
    </row>
    <row r="86" spans="2:72">
      <c r="B86" s="81">
        <f>Weekly!B78</f>
        <v>0</v>
      </c>
      <c r="C86" s="90">
        <f>Weekly!C78</f>
        <v>0</v>
      </c>
      <c r="D86" s="90">
        <f>Weekly!D79</f>
        <v>0</v>
      </c>
      <c r="E86" s="91" t="e">
        <f>VLOOKUP(B86,Team!$B$4:$E$183,4,FALSE)</f>
        <v>#N/A</v>
      </c>
      <c r="F86" s="92" t="str">
        <f>Weekly!V78</f>
        <v/>
      </c>
      <c r="G86" s="92" t="str">
        <f>Weekly!W78</f>
        <v/>
      </c>
      <c r="H86" s="48" t="str">
        <f t="shared" si="135"/>
        <v/>
      </c>
      <c r="I86" s="48" t="str">
        <f t="shared" si="136"/>
        <v/>
      </c>
      <c r="J86" s="48" t="str">
        <f t="shared" si="137"/>
        <v/>
      </c>
      <c r="K86" s="84" t="str">
        <f t="shared" si="138"/>
        <v/>
      </c>
      <c r="L86" s="82" t="str">
        <f t="shared" si="139"/>
        <v/>
      </c>
      <c r="M86" s="48" t="str">
        <f t="shared" si="140"/>
        <v/>
      </c>
      <c r="N86" s="48" t="str">
        <f t="shared" si="141"/>
        <v/>
      </c>
      <c r="O86" s="84" t="str">
        <f t="shared" si="142"/>
        <v/>
      </c>
      <c r="P86" s="82" t="str">
        <f t="shared" si="143"/>
        <v/>
      </c>
      <c r="Q86" s="48" t="str">
        <f t="shared" si="144"/>
        <v/>
      </c>
      <c r="R86" s="48" t="str">
        <f t="shared" si="145"/>
        <v/>
      </c>
      <c r="S86" s="84" t="str">
        <f t="shared" si="146"/>
        <v/>
      </c>
      <c r="T86" s="82" t="str">
        <f t="shared" si="147"/>
        <v/>
      </c>
      <c r="U86" s="48" t="str">
        <f t="shared" si="148"/>
        <v/>
      </c>
      <c r="V86" s="48" t="str">
        <f t="shared" si="149"/>
        <v/>
      </c>
      <c r="W86" s="84" t="str">
        <f t="shared" si="150"/>
        <v/>
      </c>
      <c r="X86" s="82" t="str">
        <f t="shared" si="151"/>
        <v/>
      </c>
      <c r="Y86" s="48" t="str">
        <f t="shared" si="152"/>
        <v/>
      </c>
      <c r="Z86" s="48" t="str">
        <f t="shared" si="153"/>
        <v/>
      </c>
      <c r="AA86" s="84" t="str">
        <f t="shared" si="154"/>
        <v/>
      </c>
      <c r="AB86" s="82" t="str">
        <f t="shared" si="155"/>
        <v/>
      </c>
      <c r="AC86" s="48" t="str">
        <f t="shared" si="156"/>
        <v/>
      </c>
      <c r="AD86" s="48" t="str">
        <f t="shared" si="157"/>
        <v/>
      </c>
      <c r="AE86" s="84" t="str">
        <f t="shared" si="158"/>
        <v/>
      </c>
      <c r="AF86" s="82" t="str">
        <f t="shared" si="159"/>
        <v/>
      </c>
      <c r="AG86" s="48" t="str">
        <f t="shared" si="160"/>
        <v/>
      </c>
      <c r="AH86" s="48" t="str">
        <f t="shared" si="161"/>
        <v/>
      </c>
      <c r="AI86" s="84" t="str">
        <f t="shared" si="162"/>
        <v/>
      </c>
      <c r="AJ86" s="82" t="str">
        <f t="shared" si="163"/>
        <v/>
      </c>
      <c r="AK86" s="48" t="str">
        <f t="shared" si="164"/>
        <v/>
      </c>
      <c r="AL86" s="48" t="str">
        <f t="shared" si="165"/>
        <v/>
      </c>
      <c r="AM86" s="84" t="str">
        <f t="shared" si="166"/>
        <v/>
      </c>
      <c r="AN86" s="82" t="str">
        <f t="shared" si="167"/>
        <v/>
      </c>
      <c r="AO86" s="48" t="str">
        <f t="shared" si="168"/>
        <v/>
      </c>
      <c r="AP86" s="48" t="str">
        <f t="shared" si="169"/>
        <v/>
      </c>
      <c r="AQ86" s="84" t="str">
        <f t="shared" si="170"/>
        <v/>
      </c>
      <c r="AR86" s="82" t="str">
        <f t="shared" si="171"/>
        <v/>
      </c>
      <c r="AS86" s="48" t="str">
        <f t="shared" si="172"/>
        <v/>
      </c>
      <c r="AT86" s="48" t="str">
        <f t="shared" si="173"/>
        <v/>
      </c>
      <c r="AU86" s="84" t="str">
        <f t="shared" si="174"/>
        <v/>
      </c>
      <c r="AV86" s="82" t="str">
        <f t="shared" si="175"/>
        <v/>
      </c>
      <c r="AW86" s="48" t="str">
        <f t="shared" si="176"/>
        <v/>
      </c>
      <c r="AX86" s="48" t="str">
        <f t="shared" si="177"/>
        <v/>
      </c>
      <c r="AY86" s="84" t="str">
        <f t="shared" si="178"/>
        <v/>
      </c>
      <c r="AZ86" s="82" t="str">
        <f t="shared" si="179"/>
        <v/>
      </c>
      <c r="BA86" s="48" t="str">
        <f t="shared" si="180"/>
        <v/>
      </c>
      <c r="BB86" s="48" t="str">
        <f t="shared" si="181"/>
        <v/>
      </c>
      <c r="BC86" s="84" t="str">
        <f t="shared" si="182"/>
        <v/>
      </c>
      <c r="BD86" s="82" t="str">
        <f t="shared" si="183"/>
        <v/>
      </c>
      <c r="BE86" s="48" t="str">
        <f t="shared" si="184"/>
        <v/>
      </c>
      <c r="BF86" s="48" t="str">
        <f t="shared" si="185"/>
        <v/>
      </c>
      <c r="BG86" s="84" t="str">
        <f t="shared" si="186"/>
        <v/>
      </c>
      <c r="BH86" s="87" t="str">
        <f t="shared" si="187"/>
        <v/>
      </c>
      <c r="BI86" s="49" t="str">
        <f t="shared" si="188"/>
        <v/>
      </c>
      <c r="BJ86" s="49" t="str">
        <f t="shared" si="189"/>
        <v/>
      </c>
      <c r="BK86" s="89" t="str">
        <f t="shared" si="190"/>
        <v/>
      </c>
      <c r="BL86" s="87" t="str">
        <f t="shared" si="191"/>
        <v/>
      </c>
      <c r="BM86" s="49" t="str">
        <f t="shared" si="192"/>
        <v/>
      </c>
      <c r="BN86" s="49" t="str">
        <f t="shared" si="193"/>
        <v/>
      </c>
      <c r="BO86" s="89" t="str">
        <f t="shared" si="194"/>
        <v/>
      </c>
      <c r="BP86" s="87" t="str">
        <f t="shared" si="195"/>
        <v/>
      </c>
      <c r="BQ86" s="49" t="str">
        <f t="shared" si="196"/>
        <v/>
      </c>
      <c r="BR86" s="49" t="str">
        <f t="shared" si="197"/>
        <v/>
      </c>
      <c r="BS86" s="89" t="str">
        <f t="shared" si="198"/>
        <v/>
      </c>
      <c r="BT86" s="87" t="str">
        <f t="shared" si="199"/>
        <v/>
      </c>
    </row>
    <row r="87" spans="2:72">
      <c r="B87" s="81">
        <f>Weekly!B79</f>
        <v>0</v>
      </c>
      <c r="C87" s="90">
        <f>Weekly!C79</f>
        <v>0</v>
      </c>
      <c r="D87" s="90">
        <f>Weekly!D80</f>
        <v>0</v>
      </c>
      <c r="E87" s="91" t="e">
        <f>VLOOKUP(B87,Team!$B$4:$E$183,4,FALSE)</f>
        <v>#N/A</v>
      </c>
      <c r="F87" s="92" t="str">
        <f>Weekly!V79</f>
        <v/>
      </c>
      <c r="G87" s="92" t="str">
        <f>Weekly!W79</f>
        <v/>
      </c>
      <c r="H87" s="48" t="str">
        <f t="shared" si="135"/>
        <v/>
      </c>
      <c r="I87" s="48" t="str">
        <f t="shared" si="136"/>
        <v/>
      </c>
      <c r="J87" s="48" t="str">
        <f t="shared" si="137"/>
        <v/>
      </c>
      <c r="K87" s="84" t="str">
        <f t="shared" si="138"/>
        <v/>
      </c>
      <c r="L87" s="82" t="str">
        <f t="shared" si="139"/>
        <v/>
      </c>
      <c r="M87" s="48" t="str">
        <f t="shared" si="140"/>
        <v/>
      </c>
      <c r="N87" s="48" t="str">
        <f t="shared" si="141"/>
        <v/>
      </c>
      <c r="O87" s="84" t="str">
        <f t="shared" si="142"/>
        <v/>
      </c>
      <c r="P87" s="82" t="str">
        <f t="shared" si="143"/>
        <v/>
      </c>
      <c r="Q87" s="48" t="str">
        <f t="shared" si="144"/>
        <v/>
      </c>
      <c r="R87" s="48" t="str">
        <f t="shared" si="145"/>
        <v/>
      </c>
      <c r="S87" s="84" t="str">
        <f t="shared" si="146"/>
        <v/>
      </c>
      <c r="T87" s="82" t="str">
        <f t="shared" si="147"/>
        <v/>
      </c>
      <c r="U87" s="48" t="str">
        <f t="shared" si="148"/>
        <v/>
      </c>
      <c r="V87" s="48" t="str">
        <f t="shared" si="149"/>
        <v/>
      </c>
      <c r="W87" s="84" t="str">
        <f t="shared" si="150"/>
        <v/>
      </c>
      <c r="X87" s="82" t="str">
        <f t="shared" si="151"/>
        <v/>
      </c>
      <c r="Y87" s="48" t="str">
        <f t="shared" si="152"/>
        <v/>
      </c>
      <c r="Z87" s="48" t="str">
        <f t="shared" si="153"/>
        <v/>
      </c>
      <c r="AA87" s="84" t="str">
        <f t="shared" si="154"/>
        <v/>
      </c>
      <c r="AB87" s="82" t="str">
        <f t="shared" si="155"/>
        <v/>
      </c>
      <c r="AC87" s="48" t="str">
        <f t="shared" si="156"/>
        <v/>
      </c>
      <c r="AD87" s="48" t="str">
        <f t="shared" si="157"/>
        <v/>
      </c>
      <c r="AE87" s="84" t="str">
        <f t="shared" si="158"/>
        <v/>
      </c>
      <c r="AF87" s="82" t="str">
        <f t="shared" si="159"/>
        <v/>
      </c>
      <c r="AG87" s="48" t="str">
        <f t="shared" si="160"/>
        <v/>
      </c>
      <c r="AH87" s="48" t="str">
        <f t="shared" si="161"/>
        <v/>
      </c>
      <c r="AI87" s="84" t="str">
        <f t="shared" si="162"/>
        <v/>
      </c>
      <c r="AJ87" s="82" t="str">
        <f t="shared" si="163"/>
        <v/>
      </c>
      <c r="AK87" s="48" t="str">
        <f t="shared" si="164"/>
        <v/>
      </c>
      <c r="AL87" s="48" t="str">
        <f t="shared" si="165"/>
        <v/>
      </c>
      <c r="AM87" s="84" t="str">
        <f t="shared" si="166"/>
        <v/>
      </c>
      <c r="AN87" s="82" t="str">
        <f t="shared" si="167"/>
        <v/>
      </c>
      <c r="AO87" s="48" t="str">
        <f t="shared" si="168"/>
        <v/>
      </c>
      <c r="AP87" s="48" t="str">
        <f t="shared" si="169"/>
        <v/>
      </c>
      <c r="AQ87" s="84" t="str">
        <f t="shared" si="170"/>
        <v/>
      </c>
      <c r="AR87" s="82" t="str">
        <f t="shared" si="171"/>
        <v/>
      </c>
      <c r="AS87" s="48" t="str">
        <f t="shared" si="172"/>
        <v/>
      </c>
      <c r="AT87" s="48" t="str">
        <f t="shared" si="173"/>
        <v/>
      </c>
      <c r="AU87" s="84" t="str">
        <f t="shared" si="174"/>
        <v/>
      </c>
      <c r="AV87" s="82" t="str">
        <f t="shared" si="175"/>
        <v/>
      </c>
      <c r="AW87" s="48" t="str">
        <f t="shared" si="176"/>
        <v/>
      </c>
      <c r="AX87" s="48" t="str">
        <f t="shared" si="177"/>
        <v/>
      </c>
      <c r="AY87" s="84" t="str">
        <f t="shared" si="178"/>
        <v/>
      </c>
      <c r="AZ87" s="82" t="str">
        <f t="shared" si="179"/>
        <v/>
      </c>
      <c r="BA87" s="48" t="str">
        <f t="shared" si="180"/>
        <v/>
      </c>
      <c r="BB87" s="48" t="str">
        <f t="shared" si="181"/>
        <v/>
      </c>
      <c r="BC87" s="84" t="str">
        <f t="shared" si="182"/>
        <v/>
      </c>
      <c r="BD87" s="82" t="str">
        <f t="shared" si="183"/>
        <v/>
      </c>
      <c r="BE87" s="48" t="str">
        <f t="shared" si="184"/>
        <v/>
      </c>
      <c r="BF87" s="48" t="str">
        <f t="shared" si="185"/>
        <v/>
      </c>
      <c r="BG87" s="84" t="str">
        <f t="shared" si="186"/>
        <v/>
      </c>
      <c r="BH87" s="87" t="str">
        <f t="shared" si="187"/>
        <v/>
      </c>
      <c r="BI87" s="49" t="str">
        <f t="shared" si="188"/>
        <v/>
      </c>
      <c r="BJ87" s="49" t="str">
        <f t="shared" si="189"/>
        <v/>
      </c>
      <c r="BK87" s="89" t="str">
        <f t="shared" si="190"/>
        <v/>
      </c>
      <c r="BL87" s="87" t="str">
        <f t="shared" si="191"/>
        <v/>
      </c>
      <c r="BM87" s="49" t="str">
        <f t="shared" si="192"/>
        <v/>
      </c>
      <c r="BN87" s="49" t="str">
        <f t="shared" si="193"/>
        <v/>
      </c>
      <c r="BO87" s="89" t="str">
        <f t="shared" si="194"/>
        <v/>
      </c>
      <c r="BP87" s="87" t="str">
        <f t="shared" si="195"/>
        <v/>
      </c>
      <c r="BQ87" s="49" t="str">
        <f t="shared" si="196"/>
        <v/>
      </c>
      <c r="BR87" s="49" t="str">
        <f t="shared" si="197"/>
        <v/>
      </c>
      <c r="BS87" s="89" t="str">
        <f t="shared" si="198"/>
        <v/>
      </c>
      <c r="BT87" s="87" t="str">
        <f t="shared" si="199"/>
        <v/>
      </c>
    </row>
    <row r="88" spans="2:72">
      <c r="B88" s="81">
        <f>Weekly!B80</f>
        <v>0</v>
      </c>
      <c r="C88" s="90">
        <f>Weekly!C80</f>
        <v>0</v>
      </c>
      <c r="D88" s="90">
        <f>Weekly!D81</f>
        <v>0</v>
      </c>
      <c r="E88" s="91" t="e">
        <f>VLOOKUP(B88,Team!$B$4:$E$183,4,FALSE)</f>
        <v>#N/A</v>
      </c>
      <c r="F88" s="92" t="str">
        <f>Weekly!V80</f>
        <v/>
      </c>
      <c r="G88" s="92" t="str">
        <f>Weekly!W80</f>
        <v/>
      </c>
      <c r="H88" s="48" t="str">
        <f t="shared" si="135"/>
        <v/>
      </c>
      <c r="I88" s="48" t="str">
        <f t="shared" si="136"/>
        <v/>
      </c>
      <c r="J88" s="48" t="str">
        <f t="shared" si="137"/>
        <v/>
      </c>
      <c r="K88" s="84" t="str">
        <f t="shared" si="138"/>
        <v/>
      </c>
      <c r="L88" s="82" t="str">
        <f t="shared" si="139"/>
        <v/>
      </c>
      <c r="M88" s="48" t="str">
        <f t="shared" si="140"/>
        <v/>
      </c>
      <c r="N88" s="48" t="str">
        <f t="shared" si="141"/>
        <v/>
      </c>
      <c r="O88" s="84" t="str">
        <f t="shared" si="142"/>
        <v/>
      </c>
      <c r="P88" s="82" t="str">
        <f t="shared" si="143"/>
        <v/>
      </c>
      <c r="Q88" s="48" t="str">
        <f t="shared" si="144"/>
        <v/>
      </c>
      <c r="R88" s="48" t="str">
        <f t="shared" si="145"/>
        <v/>
      </c>
      <c r="S88" s="84" t="str">
        <f t="shared" si="146"/>
        <v/>
      </c>
      <c r="T88" s="82" t="str">
        <f t="shared" si="147"/>
        <v/>
      </c>
      <c r="U88" s="48" t="str">
        <f t="shared" si="148"/>
        <v/>
      </c>
      <c r="V88" s="48" t="str">
        <f t="shared" si="149"/>
        <v/>
      </c>
      <c r="W88" s="84" t="str">
        <f t="shared" si="150"/>
        <v/>
      </c>
      <c r="X88" s="82" t="str">
        <f t="shared" si="151"/>
        <v/>
      </c>
      <c r="Y88" s="48" t="str">
        <f t="shared" si="152"/>
        <v/>
      </c>
      <c r="Z88" s="48" t="str">
        <f t="shared" si="153"/>
        <v/>
      </c>
      <c r="AA88" s="84" t="str">
        <f t="shared" si="154"/>
        <v/>
      </c>
      <c r="AB88" s="82" t="str">
        <f t="shared" si="155"/>
        <v/>
      </c>
      <c r="AC88" s="48" t="str">
        <f t="shared" si="156"/>
        <v/>
      </c>
      <c r="AD88" s="48" t="str">
        <f t="shared" si="157"/>
        <v/>
      </c>
      <c r="AE88" s="84" t="str">
        <f t="shared" si="158"/>
        <v/>
      </c>
      <c r="AF88" s="82" t="str">
        <f t="shared" si="159"/>
        <v/>
      </c>
      <c r="AG88" s="48" t="str">
        <f t="shared" si="160"/>
        <v/>
      </c>
      <c r="AH88" s="48" t="str">
        <f t="shared" si="161"/>
        <v/>
      </c>
      <c r="AI88" s="84" t="str">
        <f t="shared" si="162"/>
        <v/>
      </c>
      <c r="AJ88" s="82" t="str">
        <f t="shared" si="163"/>
        <v/>
      </c>
      <c r="AK88" s="48" t="str">
        <f t="shared" si="164"/>
        <v/>
      </c>
      <c r="AL88" s="48" t="str">
        <f t="shared" si="165"/>
        <v/>
      </c>
      <c r="AM88" s="84" t="str">
        <f t="shared" si="166"/>
        <v/>
      </c>
      <c r="AN88" s="82" t="str">
        <f t="shared" si="167"/>
        <v/>
      </c>
      <c r="AO88" s="48" t="str">
        <f t="shared" si="168"/>
        <v/>
      </c>
      <c r="AP88" s="48" t="str">
        <f t="shared" si="169"/>
        <v/>
      </c>
      <c r="AQ88" s="84" t="str">
        <f t="shared" si="170"/>
        <v/>
      </c>
      <c r="AR88" s="82" t="str">
        <f t="shared" si="171"/>
        <v/>
      </c>
      <c r="AS88" s="48" t="str">
        <f t="shared" si="172"/>
        <v/>
      </c>
      <c r="AT88" s="48" t="str">
        <f t="shared" si="173"/>
        <v/>
      </c>
      <c r="AU88" s="84" t="str">
        <f t="shared" si="174"/>
        <v/>
      </c>
      <c r="AV88" s="82" t="str">
        <f t="shared" si="175"/>
        <v/>
      </c>
      <c r="AW88" s="48" t="str">
        <f t="shared" si="176"/>
        <v/>
      </c>
      <c r="AX88" s="48" t="str">
        <f t="shared" si="177"/>
        <v/>
      </c>
      <c r="AY88" s="84" t="str">
        <f t="shared" si="178"/>
        <v/>
      </c>
      <c r="AZ88" s="82" t="str">
        <f t="shared" si="179"/>
        <v/>
      </c>
      <c r="BA88" s="48" t="str">
        <f t="shared" si="180"/>
        <v/>
      </c>
      <c r="BB88" s="48" t="str">
        <f t="shared" si="181"/>
        <v/>
      </c>
      <c r="BC88" s="84" t="str">
        <f t="shared" si="182"/>
        <v/>
      </c>
      <c r="BD88" s="82" t="str">
        <f t="shared" si="183"/>
        <v/>
      </c>
      <c r="BE88" s="48" t="str">
        <f t="shared" si="184"/>
        <v/>
      </c>
      <c r="BF88" s="48" t="str">
        <f t="shared" si="185"/>
        <v/>
      </c>
      <c r="BG88" s="84" t="str">
        <f t="shared" si="186"/>
        <v/>
      </c>
      <c r="BH88" s="87" t="str">
        <f t="shared" si="187"/>
        <v/>
      </c>
      <c r="BI88" s="49" t="str">
        <f t="shared" si="188"/>
        <v/>
      </c>
      <c r="BJ88" s="49" t="str">
        <f t="shared" si="189"/>
        <v/>
      </c>
      <c r="BK88" s="89" t="str">
        <f t="shared" si="190"/>
        <v/>
      </c>
      <c r="BL88" s="87" t="str">
        <f t="shared" si="191"/>
        <v/>
      </c>
      <c r="BM88" s="49" t="str">
        <f t="shared" si="192"/>
        <v/>
      </c>
      <c r="BN88" s="49" t="str">
        <f t="shared" si="193"/>
        <v/>
      </c>
      <c r="BO88" s="89" t="str">
        <f t="shared" si="194"/>
        <v/>
      </c>
      <c r="BP88" s="87" t="str">
        <f t="shared" si="195"/>
        <v/>
      </c>
      <c r="BQ88" s="49" t="str">
        <f t="shared" si="196"/>
        <v/>
      </c>
      <c r="BR88" s="49" t="str">
        <f t="shared" si="197"/>
        <v/>
      </c>
      <c r="BS88" s="89" t="str">
        <f t="shared" si="198"/>
        <v/>
      </c>
      <c r="BT88" s="87" t="str">
        <f t="shared" si="199"/>
        <v/>
      </c>
    </row>
    <row r="89" spans="2:72">
      <c r="B89" s="81">
        <f>Weekly!B81</f>
        <v>0</v>
      </c>
      <c r="C89" s="90">
        <f>Weekly!C81</f>
        <v>0</v>
      </c>
      <c r="D89" s="90">
        <f>Weekly!D82</f>
        <v>0</v>
      </c>
      <c r="E89" s="91" t="e">
        <f>VLOOKUP(B89,Team!$B$4:$E$183,4,FALSE)</f>
        <v>#N/A</v>
      </c>
      <c r="F89" s="92" t="str">
        <f>Weekly!V81</f>
        <v/>
      </c>
      <c r="G89" s="92" t="str">
        <f>Weekly!W81</f>
        <v/>
      </c>
      <c r="H89" s="48" t="str">
        <f t="shared" si="135"/>
        <v/>
      </c>
      <c r="I89" s="48" t="str">
        <f t="shared" si="136"/>
        <v/>
      </c>
      <c r="J89" s="48" t="str">
        <f t="shared" si="137"/>
        <v/>
      </c>
      <c r="K89" s="84" t="str">
        <f t="shared" si="138"/>
        <v/>
      </c>
      <c r="L89" s="82" t="str">
        <f t="shared" si="139"/>
        <v/>
      </c>
      <c r="M89" s="48" t="str">
        <f t="shared" si="140"/>
        <v/>
      </c>
      <c r="N89" s="48" t="str">
        <f t="shared" si="141"/>
        <v/>
      </c>
      <c r="O89" s="84" t="str">
        <f t="shared" si="142"/>
        <v/>
      </c>
      <c r="P89" s="82" t="str">
        <f t="shared" si="143"/>
        <v/>
      </c>
      <c r="Q89" s="48" t="str">
        <f t="shared" si="144"/>
        <v/>
      </c>
      <c r="R89" s="48" t="str">
        <f t="shared" si="145"/>
        <v/>
      </c>
      <c r="S89" s="84" t="str">
        <f t="shared" si="146"/>
        <v/>
      </c>
      <c r="T89" s="82" t="str">
        <f t="shared" si="147"/>
        <v/>
      </c>
      <c r="U89" s="48" t="str">
        <f t="shared" si="148"/>
        <v/>
      </c>
      <c r="V89" s="48" t="str">
        <f t="shared" si="149"/>
        <v/>
      </c>
      <c r="W89" s="84" t="str">
        <f t="shared" si="150"/>
        <v/>
      </c>
      <c r="X89" s="82" t="str">
        <f t="shared" si="151"/>
        <v/>
      </c>
      <c r="Y89" s="48" t="str">
        <f t="shared" si="152"/>
        <v/>
      </c>
      <c r="Z89" s="48" t="str">
        <f t="shared" si="153"/>
        <v/>
      </c>
      <c r="AA89" s="84" t="str">
        <f t="shared" si="154"/>
        <v/>
      </c>
      <c r="AB89" s="82" t="str">
        <f t="shared" si="155"/>
        <v/>
      </c>
      <c r="AC89" s="48" t="str">
        <f t="shared" si="156"/>
        <v/>
      </c>
      <c r="AD89" s="48" t="str">
        <f t="shared" si="157"/>
        <v/>
      </c>
      <c r="AE89" s="84" t="str">
        <f t="shared" si="158"/>
        <v/>
      </c>
      <c r="AF89" s="82" t="str">
        <f t="shared" si="159"/>
        <v/>
      </c>
      <c r="AG89" s="48" t="str">
        <f t="shared" si="160"/>
        <v/>
      </c>
      <c r="AH89" s="48" t="str">
        <f t="shared" si="161"/>
        <v/>
      </c>
      <c r="AI89" s="84" t="str">
        <f t="shared" si="162"/>
        <v/>
      </c>
      <c r="AJ89" s="82" t="str">
        <f t="shared" si="163"/>
        <v/>
      </c>
      <c r="AK89" s="48" t="str">
        <f t="shared" si="164"/>
        <v/>
      </c>
      <c r="AL89" s="48" t="str">
        <f t="shared" si="165"/>
        <v/>
      </c>
      <c r="AM89" s="84" t="str">
        <f t="shared" si="166"/>
        <v/>
      </c>
      <c r="AN89" s="82" t="str">
        <f t="shared" si="167"/>
        <v/>
      </c>
      <c r="AO89" s="48" t="str">
        <f t="shared" si="168"/>
        <v/>
      </c>
      <c r="AP89" s="48" t="str">
        <f t="shared" si="169"/>
        <v/>
      </c>
      <c r="AQ89" s="84" t="str">
        <f t="shared" si="170"/>
        <v/>
      </c>
      <c r="AR89" s="82" t="str">
        <f t="shared" si="171"/>
        <v/>
      </c>
      <c r="AS89" s="48" t="str">
        <f t="shared" si="172"/>
        <v/>
      </c>
      <c r="AT89" s="48" t="str">
        <f t="shared" si="173"/>
        <v/>
      </c>
      <c r="AU89" s="84" t="str">
        <f t="shared" si="174"/>
        <v/>
      </c>
      <c r="AV89" s="82" t="str">
        <f t="shared" si="175"/>
        <v/>
      </c>
      <c r="AW89" s="48" t="str">
        <f t="shared" si="176"/>
        <v/>
      </c>
      <c r="AX89" s="48" t="str">
        <f t="shared" si="177"/>
        <v/>
      </c>
      <c r="AY89" s="84" t="str">
        <f t="shared" si="178"/>
        <v/>
      </c>
      <c r="AZ89" s="82" t="str">
        <f t="shared" si="179"/>
        <v/>
      </c>
      <c r="BA89" s="48" t="str">
        <f t="shared" si="180"/>
        <v/>
      </c>
      <c r="BB89" s="48" t="str">
        <f t="shared" si="181"/>
        <v/>
      </c>
      <c r="BC89" s="84" t="str">
        <f t="shared" si="182"/>
        <v/>
      </c>
      <c r="BD89" s="82" t="str">
        <f t="shared" si="183"/>
        <v/>
      </c>
      <c r="BE89" s="48" t="str">
        <f t="shared" si="184"/>
        <v/>
      </c>
      <c r="BF89" s="48" t="str">
        <f t="shared" si="185"/>
        <v/>
      </c>
      <c r="BG89" s="84" t="str">
        <f t="shared" si="186"/>
        <v/>
      </c>
      <c r="BH89" s="87" t="str">
        <f t="shared" si="187"/>
        <v/>
      </c>
      <c r="BI89" s="49" t="str">
        <f t="shared" si="188"/>
        <v/>
      </c>
      <c r="BJ89" s="49" t="str">
        <f t="shared" si="189"/>
        <v/>
      </c>
      <c r="BK89" s="89" t="str">
        <f t="shared" si="190"/>
        <v/>
      </c>
      <c r="BL89" s="87" t="str">
        <f t="shared" si="191"/>
        <v/>
      </c>
      <c r="BM89" s="49" t="str">
        <f t="shared" si="192"/>
        <v/>
      </c>
      <c r="BN89" s="49" t="str">
        <f t="shared" si="193"/>
        <v/>
      </c>
      <c r="BO89" s="89" t="str">
        <f t="shared" si="194"/>
        <v/>
      </c>
      <c r="BP89" s="87" t="str">
        <f t="shared" si="195"/>
        <v/>
      </c>
      <c r="BQ89" s="49" t="str">
        <f t="shared" si="196"/>
        <v/>
      </c>
      <c r="BR89" s="49" t="str">
        <f t="shared" si="197"/>
        <v/>
      </c>
      <c r="BS89" s="89" t="str">
        <f t="shared" si="198"/>
        <v/>
      </c>
      <c r="BT89" s="87" t="str">
        <f t="shared" si="199"/>
        <v/>
      </c>
    </row>
    <row r="90" spans="2:72">
      <c r="B90" s="81">
        <f>Weekly!B82</f>
        <v>0</v>
      </c>
      <c r="C90" s="90">
        <f>Weekly!C82</f>
        <v>0</v>
      </c>
      <c r="D90" s="90">
        <f>Weekly!D83</f>
        <v>0</v>
      </c>
      <c r="E90" s="91" t="e">
        <f>VLOOKUP(B90,Team!$B$4:$E$183,4,FALSE)</f>
        <v>#N/A</v>
      </c>
      <c r="F90" s="92" t="str">
        <f>Weekly!V82</f>
        <v/>
      </c>
      <c r="G90" s="92" t="str">
        <f>Weekly!W82</f>
        <v/>
      </c>
      <c r="H90" s="48" t="str">
        <f t="shared" si="135"/>
        <v/>
      </c>
      <c r="I90" s="48" t="str">
        <f t="shared" si="136"/>
        <v/>
      </c>
      <c r="J90" s="48" t="str">
        <f t="shared" si="137"/>
        <v/>
      </c>
      <c r="K90" s="84" t="str">
        <f t="shared" si="138"/>
        <v/>
      </c>
      <c r="L90" s="82" t="str">
        <f t="shared" si="139"/>
        <v/>
      </c>
      <c r="M90" s="48" t="str">
        <f t="shared" si="140"/>
        <v/>
      </c>
      <c r="N90" s="48" t="str">
        <f t="shared" si="141"/>
        <v/>
      </c>
      <c r="O90" s="84" t="str">
        <f t="shared" si="142"/>
        <v/>
      </c>
      <c r="P90" s="82" t="str">
        <f t="shared" si="143"/>
        <v/>
      </c>
      <c r="Q90" s="48" t="str">
        <f t="shared" si="144"/>
        <v/>
      </c>
      <c r="R90" s="48" t="str">
        <f t="shared" si="145"/>
        <v/>
      </c>
      <c r="S90" s="84" t="str">
        <f t="shared" si="146"/>
        <v/>
      </c>
      <c r="T90" s="82" t="str">
        <f t="shared" si="147"/>
        <v/>
      </c>
      <c r="U90" s="48" t="str">
        <f t="shared" si="148"/>
        <v/>
      </c>
      <c r="V90" s="48" t="str">
        <f t="shared" si="149"/>
        <v/>
      </c>
      <c r="W90" s="84" t="str">
        <f t="shared" si="150"/>
        <v/>
      </c>
      <c r="X90" s="82" t="str">
        <f t="shared" si="151"/>
        <v/>
      </c>
      <c r="Y90" s="48" t="str">
        <f t="shared" si="152"/>
        <v/>
      </c>
      <c r="Z90" s="48" t="str">
        <f t="shared" si="153"/>
        <v/>
      </c>
      <c r="AA90" s="84" t="str">
        <f t="shared" si="154"/>
        <v/>
      </c>
      <c r="AB90" s="82" t="str">
        <f t="shared" si="155"/>
        <v/>
      </c>
      <c r="AC90" s="48" t="str">
        <f t="shared" si="156"/>
        <v/>
      </c>
      <c r="AD90" s="48" t="str">
        <f t="shared" si="157"/>
        <v/>
      </c>
      <c r="AE90" s="84" t="str">
        <f t="shared" si="158"/>
        <v/>
      </c>
      <c r="AF90" s="82" t="str">
        <f t="shared" si="159"/>
        <v/>
      </c>
      <c r="AG90" s="48" t="str">
        <f t="shared" si="160"/>
        <v/>
      </c>
      <c r="AH90" s="48" t="str">
        <f t="shared" si="161"/>
        <v/>
      </c>
      <c r="AI90" s="84" t="str">
        <f t="shared" si="162"/>
        <v/>
      </c>
      <c r="AJ90" s="82" t="str">
        <f t="shared" si="163"/>
        <v/>
      </c>
      <c r="AK90" s="48" t="str">
        <f t="shared" si="164"/>
        <v/>
      </c>
      <c r="AL90" s="48" t="str">
        <f t="shared" si="165"/>
        <v/>
      </c>
      <c r="AM90" s="84" t="str">
        <f t="shared" si="166"/>
        <v/>
      </c>
      <c r="AN90" s="82" t="str">
        <f t="shared" si="167"/>
        <v/>
      </c>
      <c r="AO90" s="48" t="str">
        <f t="shared" si="168"/>
        <v/>
      </c>
      <c r="AP90" s="48" t="str">
        <f t="shared" si="169"/>
        <v/>
      </c>
      <c r="AQ90" s="84" t="str">
        <f t="shared" si="170"/>
        <v/>
      </c>
      <c r="AR90" s="82" t="str">
        <f t="shared" si="171"/>
        <v/>
      </c>
      <c r="AS90" s="48" t="str">
        <f t="shared" si="172"/>
        <v/>
      </c>
      <c r="AT90" s="48" t="str">
        <f t="shared" si="173"/>
        <v/>
      </c>
      <c r="AU90" s="84" t="str">
        <f t="shared" si="174"/>
        <v/>
      </c>
      <c r="AV90" s="82" t="str">
        <f t="shared" si="175"/>
        <v/>
      </c>
      <c r="AW90" s="48" t="str">
        <f t="shared" si="176"/>
        <v/>
      </c>
      <c r="AX90" s="48" t="str">
        <f t="shared" si="177"/>
        <v/>
      </c>
      <c r="AY90" s="84" t="str">
        <f t="shared" si="178"/>
        <v/>
      </c>
      <c r="AZ90" s="82" t="str">
        <f t="shared" si="179"/>
        <v/>
      </c>
      <c r="BA90" s="48" t="str">
        <f t="shared" si="180"/>
        <v/>
      </c>
      <c r="BB90" s="48" t="str">
        <f t="shared" si="181"/>
        <v/>
      </c>
      <c r="BC90" s="84" t="str">
        <f t="shared" si="182"/>
        <v/>
      </c>
      <c r="BD90" s="82" t="str">
        <f t="shared" si="183"/>
        <v/>
      </c>
      <c r="BE90" s="48" t="str">
        <f t="shared" si="184"/>
        <v/>
      </c>
      <c r="BF90" s="48" t="str">
        <f t="shared" si="185"/>
        <v/>
      </c>
      <c r="BG90" s="84" t="str">
        <f t="shared" si="186"/>
        <v/>
      </c>
      <c r="BH90" s="87" t="str">
        <f t="shared" si="187"/>
        <v/>
      </c>
      <c r="BI90" s="49" t="str">
        <f t="shared" si="188"/>
        <v/>
      </c>
      <c r="BJ90" s="49" t="str">
        <f t="shared" si="189"/>
        <v/>
      </c>
      <c r="BK90" s="89" t="str">
        <f t="shared" si="190"/>
        <v/>
      </c>
      <c r="BL90" s="87" t="str">
        <f t="shared" si="191"/>
        <v/>
      </c>
      <c r="BM90" s="49" t="str">
        <f t="shared" si="192"/>
        <v/>
      </c>
      <c r="BN90" s="49" t="str">
        <f t="shared" si="193"/>
        <v/>
      </c>
      <c r="BO90" s="89" t="str">
        <f t="shared" si="194"/>
        <v/>
      </c>
      <c r="BP90" s="87" t="str">
        <f t="shared" si="195"/>
        <v/>
      </c>
      <c r="BQ90" s="49" t="str">
        <f t="shared" si="196"/>
        <v/>
      </c>
      <c r="BR90" s="49" t="str">
        <f t="shared" si="197"/>
        <v/>
      </c>
      <c r="BS90" s="89" t="str">
        <f t="shared" si="198"/>
        <v/>
      </c>
      <c r="BT90" s="87" t="str">
        <f t="shared" si="199"/>
        <v/>
      </c>
    </row>
    <row r="91" spans="2:72">
      <c r="B91" s="81">
        <f>Weekly!B83</f>
        <v>0</v>
      </c>
      <c r="C91" s="90">
        <f>Weekly!C83</f>
        <v>0</v>
      </c>
      <c r="D91" s="90">
        <f>Weekly!D84</f>
        <v>0</v>
      </c>
      <c r="E91" s="91" t="e">
        <f>VLOOKUP(B91,Team!$B$4:$E$183,4,FALSE)</f>
        <v>#N/A</v>
      </c>
      <c r="F91" s="92" t="str">
        <f>Weekly!V83</f>
        <v/>
      </c>
      <c r="G91" s="92" t="str">
        <f>Weekly!W83</f>
        <v/>
      </c>
      <c r="H91" s="48" t="str">
        <f t="shared" si="135"/>
        <v/>
      </c>
      <c r="I91" s="48" t="str">
        <f t="shared" si="136"/>
        <v/>
      </c>
      <c r="J91" s="48" t="str">
        <f t="shared" si="137"/>
        <v/>
      </c>
      <c r="K91" s="84" t="str">
        <f t="shared" si="138"/>
        <v/>
      </c>
      <c r="L91" s="82" t="str">
        <f t="shared" si="139"/>
        <v/>
      </c>
      <c r="M91" s="48" t="str">
        <f t="shared" si="140"/>
        <v/>
      </c>
      <c r="N91" s="48" t="str">
        <f t="shared" si="141"/>
        <v/>
      </c>
      <c r="O91" s="84" t="str">
        <f t="shared" si="142"/>
        <v/>
      </c>
      <c r="P91" s="82" t="str">
        <f t="shared" si="143"/>
        <v/>
      </c>
      <c r="Q91" s="48" t="str">
        <f t="shared" si="144"/>
        <v/>
      </c>
      <c r="R91" s="48" t="str">
        <f t="shared" si="145"/>
        <v/>
      </c>
      <c r="S91" s="84" t="str">
        <f t="shared" si="146"/>
        <v/>
      </c>
      <c r="T91" s="82" t="str">
        <f t="shared" si="147"/>
        <v/>
      </c>
      <c r="U91" s="48" t="str">
        <f t="shared" si="148"/>
        <v/>
      </c>
      <c r="V91" s="48" t="str">
        <f t="shared" si="149"/>
        <v/>
      </c>
      <c r="W91" s="84" t="str">
        <f t="shared" si="150"/>
        <v/>
      </c>
      <c r="X91" s="82" t="str">
        <f t="shared" si="151"/>
        <v/>
      </c>
      <c r="Y91" s="48" t="str">
        <f t="shared" si="152"/>
        <v/>
      </c>
      <c r="Z91" s="48" t="str">
        <f t="shared" si="153"/>
        <v/>
      </c>
      <c r="AA91" s="84" t="str">
        <f t="shared" si="154"/>
        <v/>
      </c>
      <c r="AB91" s="82" t="str">
        <f t="shared" si="155"/>
        <v/>
      </c>
      <c r="AC91" s="48" t="str">
        <f t="shared" si="156"/>
        <v/>
      </c>
      <c r="AD91" s="48" t="str">
        <f t="shared" si="157"/>
        <v/>
      </c>
      <c r="AE91" s="84" t="str">
        <f t="shared" si="158"/>
        <v/>
      </c>
      <c r="AF91" s="82" t="str">
        <f t="shared" si="159"/>
        <v/>
      </c>
      <c r="AG91" s="48" t="str">
        <f t="shared" si="160"/>
        <v/>
      </c>
      <c r="AH91" s="48" t="str">
        <f t="shared" si="161"/>
        <v/>
      </c>
      <c r="AI91" s="84" t="str">
        <f t="shared" si="162"/>
        <v/>
      </c>
      <c r="AJ91" s="82" t="str">
        <f t="shared" si="163"/>
        <v/>
      </c>
      <c r="AK91" s="48" t="str">
        <f t="shared" si="164"/>
        <v/>
      </c>
      <c r="AL91" s="48" t="str">
        <f t="shared" si="165"/>
        <v/>
      </c>
      <c r="AM91" s="84" t="str">
        <f t="shared" si="166"/>
        <v/>
      </c>
      <c r="AN91" s="82" t="str">
        <f t="shared" si="167"/>
        <v/>
      </c>
      <c r="AO91" s="48" t="str">
        <f t="shared" si="168"/>
        <v/>
      </c>
      <c r="AP91" s="48" t="str">
        <f t="shared" si="169"/>
        <v/>
      </c>
      <c r="AQ91" s="84" t="str">
        <f t="shared" si="170"/>
        <v/>
      </c>
      <c r="AR91" s="82" t="str">
        <f t="shared" si="171"/>
        <v/>
      </c>
      <c r="AS91" s="48" t="str">
        <f t="shared" si="172"/>
        <v/>
      </c>
      <c r="AT91" s="48" t="str">
        <f t="shared" si="173"/>
        <v/>
      </c>
      <c r="AU91" s="84" t="str">
        <f t="shared" si="174"/>
        <v/>
      </c>
      <c r="AV91" s="82" t="str">
        <f t="shared" si="175"/>
        <v/>
      </c>
      <c r="AW91" s="48" t="str">
        <f t="shared" si="176"/>
        <v/>
      </c>
      <c r="AX91" s="48" t="str">
        <f t="shared" si="177"/>
        <v/>
      </c>
      <c r="AY91" s="84" t="str">
        <f t="shared" si="178"/>
        <v/>
      </c>
      <c r="AZ91" s="82" t="str">
        <f t="shared" si="179"/>
        <v/>
      </c>
      <c r="BA91" s="48" t="str">
        <f t="shared" si="180"/>
        <v/>
      </c>
      <c r="BB91" s="48" t="str">
        <f t="shared" si="181"/>
        <v/>
      </c>
      <c r="BC91" s="84" t="str">
        <f t="shared" si="182"/>
        <v/>
      </c>
      <c r="BD91" s="82" t="str">
        <f t="shared" si="183"/>
        <v/>
      </c>
      <c r="BE91" s="48" t="str">
        <f t="shared" si="184"/>
        <v/>
      </c>
      <c r="BF91" s="48" t="str">
        <f t="shared" si="185"/>
        <v/>
      </c>
      <c r="BG91" s="84" t="str">
        <f t="shared" si="186"/>
        <v/>
      </c>
      <c r="BH91" s="87" t="str">
        <f t="shared" si="187"/>
        <v/>
      </c>
      <c r="BI91" s="49" t="str">
        <f t="shared" si="188"/>
        <v/>
      </c>
      <c r="BJ91" s="49" t="str">
        <f t="shared" si="189"/>
        <v/>
      </c>
      <c r="BK91" s="89" t="str">
        <f t="shared" si="190"/>
        <v/>
      </c>
      <c r="BL91" s="87" t="str">
        <f t="shared" si="191"/>
        <v/>
      </c>
      <c r="BM91" s="49" t="str">
        <f t="shared" si="192"/>
        <v/>
      </c>
      <c r="BN91" s="49" t="str">
        <f t="shared" si="193"/>
        <v/>
      </c>
      <c r="BO91" s="89" t="str">
        <f t="shared" si="194"/>
        <v/>
      </c>
      <c r="BP91" s="87" t="str">
        <f t="shared" si="195"/>
        <v/>
      </c>
      <c r="BQ91" s="49" t="str">
        <f t="shared" si="196"/>
        <v/>
      </c>
      <c r="BR91" s="49" t="str">
        <f t="shared" si="197"/>
        <v/>
      </c>
      <c r="BS91" s="89" t="str">
        <f t="shared" si="198"/>
        <v/>
      </c>
      <c r="BT91" s="87" t="str">
        <f t="shared" si="199"/>
        <v/>
      </c>
    </row>
    <row r="92" spans="2:72">
      <c r="B92" s="81">
        <f>Weekly!B84</f>
        <v>0</v>
      </c>
      <c r="C92" s="90">
        <f>Weekly!C84</f>
        <v>0</v>
      </c>
      <c r="D92" s="90">
        <f>Weekly!D85</f>
        <v>0</v>
      </c>
      <c r="E92" s="91" t="e">
        <f>VLOOKUP(B92,Team!$B$4:$E$183,4,FALSE)</f>
        <v>#N/A</v>
      </c>
      <c r="F92" s="92" t="str">
        <f>Weekly!V84</f>
        <v/>
      </c>
      <c r="G92" s="92" t="str">
        <f>Weekly!W84</f>
        <v/>
      </c>
      <c r="H92" s="48" t="str">
        <f t="shared" si="135"/>
        <v/>
      </c>
      <c r="I92" s="48" t="str">
        <f t="shared" si="136"/>
        <v/>
      </c>
      <c r="J92" s="48" t="str">
        <f t="shared" si="137"/>
        <v/>
      </c>
      <c r="K92" s="84" t="str">
        <f t="shared" si="138"/>
        <v/>
      </c>
      <c r="L92" s="82" t="str">
        <f t="shared" si="139"/>
        <v/>
      </c>
      <c r="M92" s="48" t="str">
        <f t="shared" si="140"/>
        <v/>
      </c>
      <c r="N92" s="48" t="str">
        <f t="shared" si="141"/>
        <v/>
      </c>
      <c r="O92" s="84" t="str">
        <f t="shared" si="142"/>
        <v/>
      </c>
      <c r="P92" s="82" t="str">
        <f t="shared" si="143"/>
        <v/>
      </c>
      <c r="Q92" s="48" t="str">
        <f t="shared" si="144"/>
        <v/>
      </c>
      <c r="R92" s="48" t="str">
        <f t="shared" si="145"/>
        <v/>
      </c>
      <c r="S92" s="84" t="str">
        <f t="shared" si="146"/>
        <v/>
      </c>
      <c r="T92" s="82" t="str">
        <f t="shared" si="147"/>
        <v/>
      </c>
      <c r="U92" s="48" t="str">
        <f t="shared" si="148"/>
        <v/>
      </c>
      <c r="V92" s="48" t="str">
        <f t="shared" si="149"/>
        <v/>
      </c>
      <c r="W92" s="84" t="str">
        <f t="shared" si="150"/>
        <v/>
      </c>
      <c r="X92" s="82" t="str">
        <f t="shared" si="151"/>
        <v/>
      </c>
      <c r="Y92" s="48" t="str">
        <f t="shared" si="152"/>
        <v/>
      </c>
      <c r="Z92" s="48" t="str">
        <f t="shared" si="153"/>
        <v/>
      </c>
      <c r="AA92" s="84" t="str">
        <f t="shared" si="154"/>
        <v/>
      </c>
      <c r="AB92" s="82" t="str">
        <f t="shared" si="155"/>
        <v/>
      </c>
      <c r="AC92" s="48" t="str">
        <f t="shared" si="156"/>
        <v/>
      </c>
      <c r="AD92" s="48" t="str">
        <f t="shared" si="157"/>
        <v/>
      </c>
      <c r="AE92" s="84" t="str">
        <f t="shared" si="158"/>
        <v/>
      </c>
      <c r="AF92" s="82" t="str">
        <f t="shared" si="159"/>
        <v/>
      </c>
      <c r="AG92" s="48" t="str">
        <f t="shared" si="160"/>
        <v/>
      </c>
      <c r="AH92" s="48" t="str">
        <f t="shared" si="161"/>
        <v/>
      </c>
      <c r="AI92" s="84" t="str">
        <f t="shared" si="162"/>
        <v/>
      </c>
      <c r="AJ92" s="82" t="str">
        <f t="shared" si="163"/>
        <v/>
      </c>
      <c r="AK92" s="48" t="str">
        <f t="shared" si="164"/>
        <v/>
      </c>
      <c r="AL92" s="48" t="str">
        <f t="shared" si="165"/>
        <v/>
      </c>
      <c r="AM92" s="84" t="str">
        <f t="shared" si="166"/>
        <v/>
      </c>
      <c r="AN92" s="82" t="str">
        <f t="shared" si="167"/>
        <v/>
      </c>
      <c r="AO92" s="48" t="str">
        <f t="shared" si="168"/>
        <v/>
      </c>
      <c r="AP92" s="48" t="str">
        <f t="shared" si="169"/>
        <v/>
      </c>
      <c r="AQ92" s="84" t="str">
        <f t="shared" si="170"/>
        <v/>
      </c>
      <c r="AR92" s="82" t="str">
        <f t="shared" si="171"/>
        <v/>
      </c>
      <c r="AS92" s="48" t="str">
        <f t="shared" si="172"/>
        <v/>
      </c>
      <c r="AT92" s="48" t="str">
        <f t="shared" si="173"/>
        <v/>
      </c>
      <c r="AU92" s="84" t="str">
        <f t="shared" si="174"/>
        <v/>
      </c>
      <c r="AV92" s="82" t="str">
        <f t="shared" si="175"/>
        <v/>
      </c>
      <c r="AW92" s="48" t="str">
        <f t="shared" si="176"/>
        <v/>
      </c>
      <c r="AX92" s="48" t="str">
        <f t="shared" si="177"/>
        <v/>
      </c>
      <c r="AY92" s="84" t="str">
        <f t="shared" si="178"/>
        <v/>
      </c>
      <c r="AZ92" s="82" t="str">
        <f t="shared" si="179"/>
        <v/>
      </c>
      <c r="BA92" s="48" t="str">
        <f t="shared" si="180"/>
        <v/>
      </c>
      <c r="BB92" s="48" t="str">
        <f t="shared" si="181"/>
        <v/>
      </c>
      <c r="BC92" s="84" t="str">
        <f t="shared" si="182"/>
        <v/>
      </c>
      <c r="BD92" s="82" t="str">
        <f t="shared" si="183"/>
        <v/>
      </c>
      <c r="BE92" s="48" t="str">
        <f t="shared" si="184"/>
        <v/>
      </c>
      <c r="BF92" s="48" t="str">
        <f t="shared" si="185"/>
        <v/>
      </c>
      <c r="BG92" s="84" t="str">
        <f t="shared" si="186"/>
        <v/>
      </c>
      <c r="BH92" s="87" t="str">
        <f t="shared" si="187"/>
        <v/>
      </c>
      <c r="BI92" s="49" t="str">
        <f t="shared" si="188"/>
        <v/>
      </c>
      <c r="BJ92" s="49" t="str">
        <f t="shared" si="189"/>
        <v/>
      </c>
      <c r="BK92" s="89" t="str">
        <f t="shared" si="190"/>
        <v/>
      </c>
      <c r="BL92" s="87" t="str">
        <f t="shared" si="191"/>
        <v/>
      </c>
      <c r="BM92" s="49" t="str">
        <f t="shared" si="192"/>
        <v/>
      </c>
      <c r="BN92" s="49" t="str">
        <f t="shared" si="193"/>
        <v/>
      </c>
      <c r="BO92" s="89" t="str">
        <f t="shared" si="194"/>
        <v/>
      </c>
      <c r="BP92" s="87" t="str">
        <f t="shared" si="195"/>
        <v/>
      </c>
      <c r="BQ92" s="49" t="str">
        <f t="shared" si="196"/>
        <v/>
      </c>
      <c r="BR92" s="49" t="str">
        <f t="shared" si="197"/>
        <v/>
      </c>
      <c r="BS92" s="89" t="str">
        <f t="shared" si="198"/>
        <v/>
      </c>
      <c r="BT92" s="87" t="str">
        <f t="shared" si="199"/>
        <v/>
      </c>
    </row>
    <row r="93" spans="2:72">
      <c r="B93" s="81">
        <f>Weekly!B85</f>
        <v>0</v>
      </c>
      <c r="C93" s="90">
        <f>Weekly!C85</f>
        <v>0</v>
      </c>
      <c r="D93" s="90">
        <f>Weekly!D86</f>
        <v>0</v>
      </c>
      <c r="E93" s="91" t="e">
        <f>VLOOKUP(B93,Team!$B$4:$E$183,4,FALSE)</f>
        <v>#N/A</v>
      </c>
      <c r="F93" s="92" t="str">
        <f>Weekly!V85</f>
        <v/>
      </c>
      <c r="G93" s="92" t="str">
        <f>Weekly!W85</f>
        <v/>
      </c>
      <c r="H93" s="48" t="str">
        <f t="shared" si="135"/>
        <v/>
      </c>
      <c r="I93" s="48" t="str">
        <f t="shared" si="136"/>
        <v/>
      </c>
      <c r="J93" s="48" t="str">
        <f t="shared" si="137"/>
        <v/>
      </c>
      <c r="K93" s="84" t="str">
        <f t="shared" si="138"/>
        <v/>
      </c>
      <c r="L93" s="82" t="str">
        <f t="shared" si="139"/>
        <v/>
      </c>
      <c r="M93" s="48" t="str">
        <f t="shared" si="140"/>
        <v/>
      </c>
      <c r="N93" s="48" t="str">
        <f t="shared" si="141"/>
        <v/>
      </c>
      <c r="O93" s="84" t="str">
        <f t="shared" si="142"/>
        <v/>
      </c>
      <c r="P93" s="82" t="str">
        <f t="shared" si="143"/>
        <v/>
      </c>
      <c r="Q93" s="48" t="str">
        <f t="shared" si="144"/>
        <v/>
      </c>
      <c r="R93" s="48" t="str">
        <f t="shared" si="145"/>
        <v/>
      </c>
      <c r="S93" s="84" t="str">
        <f t="shared" si="146"/>
        <v/>
      </c>
      <c r="T93" s="82" t="str">
        <f t="shared" si="147"/>
        <v/>
      </c>
      <c r="U93" s="48" t="str">
        <f t="shared" si="148"/>
        <v/>
      </c>
      <c r="V93" s="48" t="str">
        <f t="shared" si="149"/>
        <v/>
      </c>
      <c r="W93" s="84" t="str">
        <f t="shared" si="150"/>
        <v/>
      </c>
      <c r="X93" s="82" t="str">
        <f t="shared" si="151"/>
        <v/>
      </c>
      <c r="Y93" s="48" t="str">
        <f t="shared" si="152"/>
        <v/>
      </c>
      <c r="Z93" s="48" t="str">
        <f t="shared" si="153"/>
        <v/>
      </c>
      <c r="AA93" s="84" t="str">
        <f t="shared" si="154"/>
        <v/>
      </c>
      <c r="AB93" s="82" t="str">
        <f t="shared" si="155"/>
        <v/>
      </c>
      <c r="AC93" s="48" t="str">
        <f t="shared" si="156"/>
        <v/>
      </c>
      <c r="AD93" s="48" t="str">
        <f t="shared" si="157"/>
        <v/>
      </c>
      <c r="AE93" s="84" t="str">
        <f t="shared" si="158"/>
        <v/>
      </c>
      <c r="AF93" s="82" t="str">
        <f t="shared" si="159"/>
        <v/>
      </c>
      <c r="AG93" s="48" t="str">
        <f t="shared" si="160"/>
        <v/>
      </c>
      <c r="AH93" s="48" t="str">
        <f t="shared" si="161"/>
        <v/>
      </c>
      <c r="AI93" s="84" t="str">
        <f t="shared" si="162"/>
        <v/>
      </c>
      <c r="AJ93" s="82" t="str">
        <f t="shared" si="163"/>
        <v/>
      </c>
      <c r="AK93" s="48" t="str">
        <f t="shared" si="164"/>
        <v/>
      </c>
      <c r="AL93" s="48" t="str">
        <f t="shared" si="165"/>
        <v/>
      </c>
      <c r="AM93" s="84" t="str">
        <f t="shared" si="166"/>
        <v/>
      </c>
      <c r="AN93" s="82" t="str">
        <f t="shared" si="167"/>
        <v/>
      </c>
      <c r="AO93" s="48" t="str">
        <f t="shared" si="168"/>
        <v/>
      </c>
      <c r="AP93" s="48" t="str">
        <f t="shared" si="169"/>
        <v/>
      </c>
      <c r="AQ93" s="84" t="str">
        <f t="shared" si="170"/>
        <v/>
      </c>
      <c r="AR93" s="82" t="str">
        <f t="shared" si="171"/>
        <v/>
      </c>
      <c r="AS93" s="48" t="str">
        <f t="shared" si="172"/>
        <v/>
      </c>
      <c r="AT93" s="48" t="str">
        <f t="shared" si="173"/>
        <v/>
      </c>
      <c r="AU93" s="84" t="str">
        <f t="shared" si="174"/>
        <v/>
      </c>
      <c r="AV93" s="82" t="str">
        <f t="shared" si="175"/>
        <v/>
      </c>
      <c r="AW93" s="48" t="str">
        <f t="shared" si="176"/>
        <v/>
      </c>
      <c r="AX93" s="48" t="str">
        <f t="shared" si="177"/>
        <v/>
      </c>
      <c r="AY93" s="84" t="str">
        <f t="shared" si="178"/>
        <v/>
      </c>
      <c r="AZ93" s="82" t="str">
        <f t="shared" si="179"/>
        <v/>
      </c>
      <c r="BA93" s="48" t="str">
        <f t="shared" si="180"/>
        <v/>
      </c>
      <c r="BB93" s="48" t="str">
        <f t="shared" si="181"/>
        <v/>
      </c>
      <c r="BC93" s="84" t="str">
        <f t="shared" si="182"/>
        <v/>
      </c>
      <c r="BD93" s="82" t="str">
        <f t="shared" si="183"/>
        <v/>
      </c>
      <c r="BE93" s="48" t="str">
        <f t="shared" si="184"/>
        <v/>
      </c>
      <c r="BF93" s="48" t="str">
        <f t="shared" si="185"/>
        <v/>
      </c>
      <c r="BG93" s="84" t="str">
        <f t="shared" si="186"/>
        <v/>
      </c>
      <c r="BH93" s="87" t="str">
        <f t="shared" si="187"/>
        <v/>
      </c>
      <c r="BI93" s="49" t="str">
        <f t="shared" si="188"/>
        <v/>
      </c>
      <c r="BJ93" s="49" t="str">
        <f t="shared" si="189"/>
        <v/>
      </c>
      <c r="BK93" s="89" t="str">
        <f t="shared" si="190"/>
        <v/>
      </c>
      <c r="BL93" s="87" t="str">
        <f t="shared" si="191"/>
        <v/>
      </c>
      <c r="BM93" s="49" t="str">
        <f t="shared" si="192"/>
        <v/>
      </c>
      <c r="BN93" s="49" t="str">
        <f t="shared" si="193"/>
        <v/>
      </c>
      <c r="BO93" s="89" t="str">
        <f t="shared" si="194"/>
        <v/>
      </c>
      <c r="BP93" s="87" t="str">
        <f t="shared" si="195"/>
        <v/>
      </c>
      <c r="BQ93" s="49" t="str">
        <f t="shared" si="196"/>
        <v/>
      </c>
      <c r="BR93" s="49" t="str">
        <f t="shared" si="197"/>
        <v/>
      </c>
      <c r="BS93" s="89" t="str">
        <f t="shared" si="198"/>
        <v/>
      </c>
      <c r="BT93" s="87" t="str">
        <f t="shared" si="199"/>
        <v/>
      </c>
    </row>
    <row r="94" spans="2:72">
      <c r="B94" s="81">
        <f>Weekly!B86</f>
        <v>0</v>
      </c>
      <c r="C94" s="90">
        <f>Weekly!C86</f>
        <v>0</v>
      </c>
      <c r="D94" s="90">
        <f>Weekly!D87</f>
        <v>0</v>
      </c>
      <c r="E94" s="91" t="e">
        <f>VLOOKUP(B94,Team!$B$4:$E$183,4,FALSE)</f>
        <v>#N/A</v>
      </c>
      <c r="F94" s="92" t="str">
        <f>Weekly!V86</f>
        <v/>
      </c>
      <c r="G94" s="92" t="str">
        <f>Weekly!W86</f>
        <v/>
      </c>
      <c r="H94" s="48" t="str">
        <f t="shared" si="135"/>
        <v/>
      </c>
      <c r="I94" s="48" t="str">
        <f t="shared" si="136"/>
        <v/>
      </c>
      <c r="J94" s="48" t="str">
        <f t="shared" si="137"/>
        <v/>
      </c>
      <c r="K94" s="84" t="str">
        <f t="shared" si="138"/>
        <v/>
      </c>
      <c r="L94" s="82" t="str">
        <f t="shared" si="139"/>
        <v/>
      </c>
      <c r="M94" s="48" t="str">
        <f t="shared" si="140"/>
        <v/>
      </c>
      <c r="N94" s="48" t="str">
        <f t="shared" si="141"/>
        <v/>
      </c>
      <c r="O94" s="84" t="str">
        <f t="shared" si="142"/>
        <v/>
      </c>
      <c r="P94" s="82" t="str">
        <f t="shared" si="143"/>
        <v/>
      </c>
      <c r="Q94" s="48" t="str">
        <f t="shared" si="144"/>
        <v/>
      </c>
      <c r="R94" s="48" t="str">
        <f t="shared" si="145"/>
        <v/>
      </c>
      <c r="S94" s="84" t="str">
        <f t="shared" si="146"/>
        <v/>
      </c>
      <c r="T94" s="82" t="str">
        <f t="shared" si="147"/>
        <v/>
      </c>
      <c r="U94" s="48" t="str">
        <f t="shared" si="148"/>
        <v/>
      </c>
      <c r="V94" s="48" t="str">
        <f t="shared" si="149"/>
        <v/>
      </c>
      <c r="W94" s="84" t="str">
        <f t="shared" si="150"/>
        <v/>
      </c>
      <c r="X94" s="82" t="str">
        <f t="shared" si="151"/>
        <v/>
      </c>
      <c r="Y94" s="48" t="str">
        <f t="shared" si="152"/>
        <v/>
      </c>
      <c r="Z94" s="48" t="str">
        <f t="shared" si="153"/>
        <v/>
      </c>
      <c r="AA94" s="84" t="str">
        <f t="shared" si="154"/>
        <v/>
      </c>
      <c r="AB94" s="82" t="str">
        <f t="shared" si="155"/>
        <v/>
      </c>
      <c r="AC94" s="48" t="str">
        <f t="shared" si="156"/>
        <v/>
      </c>
      <c r="AD94" s="48" t="str">
        <f t="shared" si="157"/>
        <v/>
      </c>
      <c r="AE94" s="84" t="str">
        <f t="shared" si="158"/>
        <v/>
      </c>
      <c r="AF94" s="82" t="str">
        <f t="shared" si="159"/>
        <v/>
      </c>
      <c r="AG94" s="48" t="str">
        <f t="shared" si="160"/>
        <v/>
      </c>
      <c r="AH94" s="48" t="str">
        <f t="shared" si="161"/>
        <v/>
      </c>
      <c r="AI94" s="84" t="str">
        <f t="shared" si="162"/>
        <v/>
      </c>
      <c r="AJ94" s="82" t="str">
        <f t="shared" si="163"/>
        <v/>
      </c>
      <c r="AK94" s="48" t="str">
        <f t="shared" si="164"/>
        <v/>
      </c>
      <c r="AL94" s="48" t="str">
        <f t="shared" si="165"/>
        <v/>
      </c>
      <c r="AM94" s="84" t="str">
        <f t="shared" si="166"/>
        <v/>
      </c>
      <c r="AN94" s="82" t="str">
        <f t="shared" si="167"/>
        <v/>
      </c>
      <c r="AO94" s="48" t="str">
        <f t="shared" si="168"/>
        <v/>
      </c>
      <c r="AP94" s="48" t="str">
        <f t="shared" si="169"/>
        <v/>
      </c>
      <c r="AQ94" s="84" t="str">
        <f t="shared" si="170"/>
        <v/>
      </c>
      <c r="AR94" s="82" t="str">
        <f t="shared" si="171"/>
        <v/>
      </c>
      <c r="AS94" s="48" t="str">
        <f t="shared" si="172"/>
        <v/>
      </c>
      <c r="AT94" s="48" t="str">
        <f t="shared" si="173"/>
        <v/>
      </c>
      <c r="AU94" s="84" t="str">
        <f t="shared" si="174"/>
        <v/>
      </c>
      <c r="AV94" s="82" t="str">
        <f t="shared" si="175"/>
        <v/>
      </c>
      <c r="AW94" s="48" t="str">
        <f t="shared" si="176"/>
        <v/>
      </c>
      <c r="AX94" s="48" t="str">
        <f t="shared" si="177"/>
        <v/>
      </c>
      <c r="AY94" s="84" t="str">
        <f t="shared" si="178"/>
        <v/>
      </c>
      <c r="AZ94" s="82" t="str">
        <f t="shared" si="179"/>
        <v/>
      </c>
      <c r="BA94" s="48" t="str">
        <f t="shared" si="180"/>
        <v/>
      </c>
      <c r="BB94" s="48" t="str">
        <f t="shared" si="181"/>
        <v/>
      </c>
      <c r="BC94" s="84" t="str">
        <f t="shared" si="182"/>
        <v/>
      </c>
      <c r="BD94" s="82" t="str">
        <f t="shared" si="183"/>
        <v/>
      </c>
      <c r="BE94" s="48" t="str">
        <f t="shared" si="184"/>
        <v/>
      </c>
      <c r="BF94" s="48" t="str">
        <f t="shared" si="185"/>
        <v/>
      </c>
      <c r="BG94" s="84" t="str">
        <f t="shared" si="186"/>
        <v/>
      </c>
      <c r="BH94" s="87" t="str">
        <f t="shared" si="187"/>
        <v/>
      </c>
      <c r="BI94" s="49" t="str">
        <f t="shared" si="188"/>
        <v/>
      </c>
      <c r="BJ94" s="49" t="str">
        <f t="shared" si="189"/>
        <v/>
      </c>
      <c r="BK94" s="89" t="str">
        <f t="shared" si="190"/>
        <v/>
      </c>
      <c r="BL94" s="87" t="str">
        <f t="shared" si="191"/>
        <v/>
      </c>
      <c r="BM94" s="49" t="str">
        <f t="shared" si="192"/>
        <v/>
      </c>
      <c r="BN94" s="49" t="str">
        <f t="shared" si="193"/>
        <v/>
      </c>
      <c r="BO94" s="89" t="str">
        <f t="shared" si="194"/>
        <v/>
      </c>
      <c r="BP94" s="87" t="str">
        <f t="shared" si="195"/>
        <v/>
      </c>
      <c r="BQ94" s="49" t="str">
        <f t="shared" si="196"/>
        <v/>
      </c>
      <c r="BR94" s="49" t="str">
        <f t="shared" si="197"/>
        <v/>
      </c>
      <c r="BS94" s="89" t="str">
        <f t="shared" si="198"/>
        <v/>
      </c>
      <c r="BT94" s="87" t="str">
        <f t="shared" si="199"/>
        <v/>
      </c>
    </row>
    <row r="95" spans="2:72">
      <c r="B95" s="81">
        <f>Weekly!B87</f>
        <v>0</v>
      </c>
      <c r="C95" s="90">
        <f>Weekly!C87</f>
        <v>0</v>
      </c>
      <c r="D95" s="90">
        <f>Weekly!D88</f>
        <v>0</v>
      </c>
      <c r="E95" s="91" t="e">
        <f>VLOOKUP(B95,Team!$B$4:$E$183,4,FALSE)</f>
        <v>#N/A</v>
      </c>
      <c r="F95" s="92" t="str">
        <f>Weekly!V87</f>
        <v/>
      </c>
      <c r="G95" s="92" t="str">
        <f>Weekly!W87</f>
        <v/>
      </c>
      <c r="H95" s="48" t="str">
        <f t="shared" si="135"/>
        <v/>
      </c>
      <c r="I95" s="48" t="str">
        <f t="shared" si="136"/>
        <v/>
      </c>
      <c r="J95" s="48" t="str">
        <f t="shared" si="137"/>
        <v/>
      </c>
      <c r="K95" s="84" t="str">
        <f t="shared" si="138"/>
        <v/>
      </c>
      <c r="L95" s="82" t="str">
        <f t="shared" si="139"/>
        <v/>
      </c>
      <c r="M95" s="48" t="str">
        <f t="shared" si="140"/>
        <v/>
      </c>
      <c r="N95" s="48" t="str">
        <f t="shared" si="141"/>
        <v/>
      </c>
      <c r="O95" s="84" t="str">
        <f t="shared" si="142"/>
        <v/>
      </c>
      <c r="P95" s="82" t="str">
        <f t="shared" si="143"/>
        <v/>
      </c>
      <c r="Q95" s="48" t="str">
        <f t="shared" si="144"/>
        <v/>
      </c>
      <c r="R95" s="48" t="str">
        <f t="shared" si="145"/>
        <v/>
      </c>
      <c r="S95" s="84" t="str">
        <f t="shared" si="146"/>
        <v/>
      </c>
      <c r="T95" s="82" t="str">
        <f t="shared" si="147"/>
        <v/>
      </c>
      <c r="U95" s="48" t="str">
        <f t="shared" si="148"/>
        <v/>
      </c>
      <c r="V95" s="48" t="str">
        <f t="shared" si="149"/>
        <v/>
      </c>
      <c r="W95" s="84" t="str">
        <f t="shared" si="150"/>
        <v/>
      </c>
      <c r="X95" s="82" t="str">
        <f t="shared" si="151"/>
        <v/>
      </c>
      <c r="Y95" s="48" t="str">
        <f t="shared" si="152"/>
        <v/>
      </c>
      <c r="Z95" s="48" t="str">
        <f t="shared" si="153"/>
        <v/>
      </c>
      <c r="AA95" s="84" t="str">
        <f t="shared" si="154"/>
        <v/>
      </c>
      <c r="AB95" s="82" t="str">
        <f t="shared" si="155"/>
        <v/>
      </c>
      <c r="AC95" s="48" t="str">
        <f t="shared" si="156"/>
        <v/>
      </c>
      <c r="AD95" s="48" t="str">
        <f t="shared" si="157"/>
        <v/>
      </c>
      <c r="AE95" s="84" t="str">
        <f t="shared" si="158"/>
        <v/>
      </c>
      <c r="AF95" s="82" t="str">
        <f t="shared" si="159"/>
        <v/>
      </c>
      <c r="AG95" s="48" t="str">
        <f t="shared" si="160"/>
        <v/>
      </c>
      <c r="AH95" s="48" t="str">
        <f t="shared" si="161"/>
        <v/>
      </c>
      <c r="AI95" s="84" t="str">
        <f t="shared" si="162"/>
        <v/>
      </c>
      <c r="AJ95" s="82" t="str">
        <f t="shared" si="163"/>
        <v/>
      </c>
      <c r="AK95" s="48" t="str">
        <f t="shared" si="164"/>
        <v/>
      </c>
      <c r="AL95" s="48" t="str">
        <f t="shared" si="165"/>
        <v/>
      </c>
      <c r="AM95" s="84" t="str">
        <f t="shared" si="166"/>
        <v/>
      </c>
      <c r="AN95" s="82" t="str">
        <f t="shared" si="167"/>
        <v/>
      </c>
      <c r="AO95" s="48" t="str">
        <f t="shared" si="168"/>
        <v/>
      </c>
      <c r="AP95" s="48" t="str">
        <f t="shared" si="169"/>
        <v/>
      </c>
      <c r="AQ95" s="84" t="str">
        <f t="shared" si="170"/>
        <v/>
      </c>
      <c r="AR95" s="82" t="str">
        <f t="shared" si="171"/>
        <v/>
      </c>
      <c r="AS95" s="48" t="str">
        <f t="shared" si="172"/>
        <v/>
      </c>
      <c r="AT95" s="48" t="str">
        <f t="shared" si="173"/>
        <v/>
      </c>
      <c r="AU95" s="84" t="str">
        <f t="shared" si="174"/>
        <v/>
      </c>
      <c r="AV95" s="82" t="str">
        <f t="shared" si="175"/>
        <v/>
      </c>
      <c r="AW95" s="48" t="str">
        <f t="shared" si="176"/>
        <v/>
      </c>
      <c r="AX95" s="48" t="str">
        <f t="shared" si="177"/>
        <v/>
      </c>
      <c r="AY95" s="84" t="str">
        <f t="shared" si="178"/>
        <v/>
      </c>
      <c r="AZ95" s="82" t="str">
        <f t="shared" si="179"/>
        <v/>
      </c>
      <c r="BA95" s="48" t="str">
        <f t="shared" si="180"/>
        <v/>
      </c>
      <c r="BB95" s="48" t="str">
        <f t="shared" si="181"/>
        <v/>
      </c>
      <c r="BC95" s="84" t="str">
        <f t="shared" si="182"/>
        <v/>
      </c>
      <c r="BD95" s="82" t="str">
        <f t="shared" si="183"/>
        <v/>
      </c>
      <c r="BE95" s="48" t="str">
        <f t="shared" si="184"/>
        <v/>
      </c>
      <c r="BF95" s="48" t="str">
        <f t="shared" si="185"/>
        <v/>
      </c>
      <c r="BG95" s="84" t="str">
        <f t="shared" si="186"/>
        <v/>
      </c>
      <c r="BH95" s="87" t="str">
        <f t="shared" si="187"/>
        <v/>
      </c>
      <c r="BI95" s="49" t="str">
        <f t="shared" si="188"/>
        <v/>
      </c>
      <c r="BJ95" s="49" t="str">
        <f t="shared" si="189"/>
        <v/>
      </c>
      <c r="BK95" s="89" t="str">
        <f t="shared" si="190"/>
        <v/>
      </c>
      <c r="BL95" s="87" t="str">
        <f t="shared" si="191"/>
        <v/>
      </c>
      <c r="BM95" s="49" t="str">
        <f t="shared" si="192"/>
        <v/>
      </c>
      <c r="BN95" s="49" t="str">
        <f t="shared" si="193"/>
        <v/>
      </c>
      <c r="BO95" s="89" t="str">
        <f t="shared" si="194"/>
        <v/>
      </c>
      <c r="BP95" s="87" t="str">
        <f t="shared" si="195"/>
        <v/>
      </c>
      <c r="BQ95" s="49" t="str">
        <f t="shared" si="196"/>
        <v/>
      </c>
      <c r="BR95" s="49" t="str">
        <f t="shared" si="197"/>
        <v/>
      </c>
      <c r="BS95" s="89" t="str">
        <f t="shared" si="198"/>
        <v/>
      </c>
      <c r="BT95" s="87" t="str">
        <f t="shared" si="199"/>
        <v/>
      </c>
    </row>
    <row r="96" spans="2:72">
      <c r="B96" s="81">
        <f>Weekly!B88</f>
        <v>0</v>
      </c>
      <c r="C96" s="90">
        <f>Weekly!C88</f>
        <v>0</v>
      </c>
      <c r="D96" s="90">
        <f>Weekly!D89</f>
        <v>0</v>
      </c>
      <c r="E96" s="91" t="e">
        <f>VLOOKUP(B96,Team!$B$4:$E$183,4,FALSE)</f>
        <v>#N/A</v>
      </c>
      <c r="F96" s="92" t="str">
        <f>Weekly!V88</f>
        <v/>
      </c>
      <c r="G96" s="92" t="str">
        <f>Weekly!W88</f>
        <v/>
      </c>
      <c r="H96" s="48" t="str">
        <f t="shared" si="135"/>
        <v/>
      </c>
      <c r="I96" s="48" t="str">
        <f t="shared" si="136"/>
        <v/>
      </c>
      <c r="J96" s="48" t="str">
        <f t="shared" si="137"/>
        <v/>
      </c>
      <c r="K96" s="84" t="str">
        <f t="shared" si="138"/>
        <v/>
      </c>
      <c r="L96" s="82" t="str">
        <f t="shared" si="139"/>
        <v/>
      </c>
      <c r="M96" s="48" t="str">
        <f t="shared" si="140"/>
        <v/>
      </c>
      <c r="N96" s="48" t="str">
        <f t="shared" si="141"/>
        <v/>
      </c>
      <c r="O96" s="84" t="str">
        <f t="shared" si="142"/>
        <v/>
      </c>
      <c r="P96" s="82" t="str">
        <f t="shared" si="143"/>
        <v/>
      </c>
      <c r="Q96" s="48" t="str">
        <f t="shared" si="144"/>
        <v/>
      </c>
      <c r="R96" s="48" t="str">
        <f t="shared" si="145"/>
        <v/>
      </c>
      <c r="S96" s="84" t="str">
        <f t="shared" si="146"/>
        <v/>
      </c>
      <c r="T96" s="82" t="str">
        <f t="shared" si="147"/>
        <v/>
      </c>
      <c r="U96" s="48" t="str">
        <f t="shared" si="148"/>
        <v/>
      </c>
      <c r="V96" s="48" t="str">
        <f t="shared" si="149"/>
        <v/>
      </c>
      <c r="W96" s="84" t="str">
        <f t="shared" si="150"/>
        <v/>
      </c>
      <c r="X96" s="82" t="str">
        <f t="shared" si="151"/>
        <v/>
      </c>
      <c r="Y96" s="48" t="str">
        <f t="shared" si="152"/>
        <v/>
      </c>
      <c r="Z96" s="48" t="str">
        <f t="shared" si="153"/>
        <v/>
      </c>
      <c r="AA96" s="84" t="str">
        <f t="shared" si="154"/>
        <v/>
      </c>
      <c r="AB96" s="82" t="str">
        <f t="shared" si="155"/>
        <v/>
      </c>
      <c r="AC96" s="48" t="str">
        <f t="shared" si="156"/>
        <v/>
      </c>
      <c r="AD96" s="48" t="str">
        <f t="shared" si="157"/>
        <v/>
      </c>
      <c r="AE96" s="84" t="str">
        <f t="shared" si="158"/>
        <v/>
      </c>
      <c r="AF96" s="82" t="str">
        <f t="shared" si="159"/>
        <v/>
      </c>
      <c r="AG96" s="48" t="str">
        <f t="shared" si="160"/>
        <v/>
      </c>
      <c r="AH96" s="48" t="str">
        <f t="shared" si="161"/>
        <v/>
      </c>
      <c r="AI96" s="84" t="str">
        <f t="shared" si="162"/>
        <v/>
      </c>
      <c r="AJ96" s="82" t="str">
        <f t="shared" si="163"/>
        <v/>
      </c>
      <c r="AK96" s="48" t="str">
        <f t="shared" si="164"/>
        <v/>
      </c>
      <c r="AL96" s="48" t="str">
        <f t="shared" si="165"/>
        <v/>
      </c>
      <c r="AM96" s="84" t="str">
        <f t="shared" si="166"/>
        <v/>
      </c>
      <c r="AN96" s="82" t="str">
        <f t="shared" si="167"/>
        <v/>
      </c>
      <c r="AO96" s="48" t="str">
        <f t="shared" si="168"/>
        <v/>
      </c>
      <c r="AP96" s="48" t="str">
        <f t="shared" si="169"/>
        <v/>
      </c>
      <c r="AQ96" s="84" t="str">
        <f t="shared" si="170"/>
        <v/>
      </c>
      <c r="AR96" s="82" t="str">
        <f t="shared" si="171"/>
        <v/>
      </c>
      <c r="AS96" s="48" t="str">
        <f t="shared" si="172"/>
        <v/>
      </c>
      <c r="AT96" s="48" t="str">
        <f t="shared" si="173"/>
        <v/>
      </c>
      <c r="AU96" s="84" t="str">
        <f t="shared" si="174"/>
        <v/>
      </c>
      <c r="AV96" s="82" t="str">
        <f t="shared" si="175"/>
        <v/>
      </c>
      <c r="AW96" s="48" t="str">
        <f t="shared" si="176"/>
        <v/>
      </c>
      <c r="AX96" s="48" t="str">
        <f t="shared" si="177"/>
        <v/>
      </c>
      <c r="AY96" s="84" t="str">
        <f t="shared" si="178"/>
        <v/>
      </c>
      <c r="AZ96" s="82" t="str">
        <f t="shared" si="179"/>
        <v/>
      </c>
      <c r="BA96" s="48" t="str">
        <f t="shared" si="180"/>
        <v/>
      </c>
      <c r="BB96" s="48" t="str">
        <f t="shared" si="181"/>
        <v/>
      </c>
      <c r="BC96" s="84" t="str">
        <f t="shared" si="182"/>
        <v/>
      </c>
      <c r="BD96" s="82" t="str">
        <f t="shared" si="183"/>
        <v/>
      </c>
      <c r="BE96" s="48" t="str">
        <f t="shared" si="184"/>
        <v/>
      </c>
      <c r="BF96" s="48" t="str">
        <f t="shared" si="185"/>
        <v/>
      </c>
      <c r="BG96" s="84" t="str">
        <f t="shared" si="186"/>
        <v/>
      </c>
      <c r="BH96" s="87" t="str">
        <f t="shared" si="187"/>
        <v/>
      </c>
      <c r="BI96" s="49" t="str">
        <f t="shared" si="188"/>
        <v/>
      </c>
      <c r="BJ96" s="49" t="str">
        <f t="shared" si="189"/>
        <v/>
      </c>
      <c r="BK96" s="89" t="str">
        <f t="shared" si="190"/>
        <v/>
      </c>
      <c r="BL96" s="87" t="str">
        <f t="shared" si="191"/>
        <v/>
      </c>
      <c r="BM96" s="49" t="str">
        <f t="shared" si="192"/>
        <v/>
      </c>
      <c r="BN96" s="49" t="str">
        <f t="shared" si="193"/>
        <v/>
      </c>
      <c r="BO96" s="89" t="str">
        <f t="shared" si="194"/>
        <v/>
      </c>
      <c r="BP96" s="87" t="str">
        <f t="shared" si="195"/>
        <v/>
      </c>
      <c r="BQ96" s="49" t="str">
        <f t="shared" si="196"/>
        <v/>
      </c>
      <c r="BR96" s="49" t="str">
        <f t="shared" si="197"/>
        <v/>
      </c>
      <c r="BS96" s="89" t="str">
        <f t="shared" si="198"/>
        <v/>
      </c>
      <c r="BT96" s="87" t="str">
        <f t="shared" si="199"/>
        <v/>
      </c>
    </row>
    <row r="97" spans="2:72">
      <c r="B97" s="81">
        <f>Weekly!B89</f>
        <v>0</v>
      </c>
      <c r="C97" s="90">
        <f>Weekly!C89</f>
        <v>0</v>
      </c>
      <c r="D97" s="90">
        <f>Weekly!D90</f>
        <v>0</v>
      </c>
      <c r="E97" s="91" t="e">
        <f>VLOOKUP(B97,Team!$B$4:$E$183,4,FALSE)</f>
        <v>#N/A</v>
      </c>
      <c r="F97" s="92" t="str">
        <f>Weekly!V89</f>
        <v/>
      </c>
      <c r="G97" s="92" t="str">
        <f>Weekly!W89</f>
        <v/>
      </c>
      <c r="H97" s="48" t="str">
        <f t="shared" si="135"/>
        <v/>
      </c>
      <c r="I97" s="48" t="str">
        <f t="shared" si="136"/>
        <v/>
      </c>
      <c r="J97" s="48" t="str">
        <f t="shared" si="137"/>
        <v/>
      </c>
      <c r="K97" s="84" t="str">
        <f t="shared" si="138"/>
        <v/>
      </c>
      <c r="L97" s="82" t="str">
        <f t="shared" si="139"/>
        <v/>
      </c>
      <c r="M97" s="48" t="str">
        <f t="shared" si="140"/>
        <v/>
      </c>
      <c r="N97" s="48" t="str">
        <f t="shared" si="141"/>
        <v/>
      </c>
      <c r="O97" s="84" t="str">
        <f t="shared" si="142"/>
        <v/>
      </c>
      <c r="P97" s="82" t="str">
        <f t="shared" si="143"/>
        <v/>
      </c>
      <c r="Q97" s="48" t="str">
        <f t="shared" si="144"/>
        <v/>
      </c>
      <c r="R97" s="48" t="str">
        <f t="shared" si="145"/>
        <v/>
      </c>
      <c r="S97" s="84" t="str">
        <f t="shared" si="146"/>
        <v/>
      </c>
      <c r="T97" s="82" t="str">
        <f t="shared" si="147"/>
        <v/>
      </c>
      <c r="U97" s="48" t="str">
        <f t="shared" si="148"/>
        <v/>
      </c>
      <c r="V97" s="48" t="str">
        <f t="shared" si="149"/>
        <v/>
      </c>
      <c r="W97" s="84" t="str">
        <f t="shared" si="150"/>
        <v/>
      </c>
      <c r="X97" s="82" t="str">
        <f t="shared" si="151"/>
        <v/>
      </c>
      <c r="Y97" s="48" t="str">
        <f t="shared" si="152"/>
        <v/>
      </c>
      <c r="Z97" s="48" t="str">
        <f t="shared" si="153"/>
        <v/>
      </c>
      <c r="AA97" s="84" t="str">
        <f t="shared" si="154"/>
        <v/>
      </c>
      <c r="AB97" s="82" t="str">
        <f t="shared" si="155"/>
        <v/>
      </c>
      <c r="AC97" s="48" t="str">
        <f t="shared" si="156"/>
        <v/>
      </c>
      <c r="AD97" s="48" t="str">
        <f t="shared" si="157"/>
        <v/>
      </c>
      <c r="AE97" s="84" t="str">
        <f t="shared" si="158"/>
        <v/>
      </c>
      <c r="AF97" s="82" t="str">
        <f t="shared" si="159"/>
        <v/>
      </c>
      <c r="AG97" s="48" t="str">
        <f t="shared" si="160"/>
        <v/>
      </c>
      <c r="AH97" s="48" t="str">
        <f t="shared" si="161"/>
        <v/>
      </c>
      <c r="AI97" s="84" t="str">
        <f t="shared" si="162"/>
        <v/>
      </c>
      <c r="AJ97" s="82" t="str">
        <f t="shared" si="163"/>
        <v/>
      </c>
      <c r="AK97" s="48" t="str">
        <f t="shared" si="164"/>
        <v/>
      </c>
      <c r="AL97" s="48" t="str">
        <f t="shared" si="165"/>
        <v/>
      </c>
      <c r="AM97" s="84" t="str">
        <f t="shared" si="166"/>
        <v/>
      </c>
      <c r="AN97" s="82" t="str">
        <f t="shared" si="167"/>
        <v/>
      </c>
      <c r="AO97" s="48" t="str">
        <f t="shared" si="168"/>
        <v/>
      </c>
      <c r="AP97" s="48" t="str">
        <f t="shared" si="169"/>
        <v/>
      </c>
      <c r="AQ97" s="84" t="str">
        <f t="shared" si="170"/>
        <v/>
      </c>
      <c r="AR97" s="82" t="str">
        <f t="shared" si="171"/>
        <v/>
      </c>
      <c r="AS97" s="48" t="str">
        <f t="shared" si="172"/>
        <v/>
      </c>
      <c r="AT97" s="48" t="str">
        <f t="shared" si="173"/>
        <v/>
      </c>
      <c r="AU97" s="84" t="str">
        <f t="shared" si="174"/>
        <v/>
      </c>
      <c r="AV97" s="82" t="str">
        <f t="shared" si="175"/>
        <v/>
      </c>
      <c r="AW97" s="48" t="str">
        <f t="shared" si="176"/>
        <v/>
      </c>
      <c r="AX97" s="48" t="str">
        <f t="shared" si="177"/>
        <v/>
      </c>
      <c r="AY97" s="84" t="str">
        <f t="shared" si="178"/>
        <v/>
      </c>
      <c r="AZ97" s="82" t="str">
        <f t="shared" si="179"/>
        <v/>
      </c>
      <c r="BA97" s="48" t="str">
        <f t="shared" si="180"/>
        <v/>
      </c>
      <c r="BB97" s="48" t="str">
        <f t="shared" si="181"/>
        <v/>
      </c>
      <c r="BC97" s="84" t="str">
        <f t="shared" si="182"/>
        <v/>
      </c>
      <c r="BD97" s="82" t="str">
        <f t="shared" si="183"/>
        <v/>
      </c>
      <c r="BE97" s="48" t="str">
        <f t="shared" si="184"/>
        <v/>
      </c>
      <c r="BF97" s="48" t="str">
        <f t="shared" si="185"/>
        <v/>
      </c>
      <c r="BG97" s="84" t="str">
        <f t="shared" si="186"/>
        <v/>
      </c>
      <c r="BH97" s="87" t="str">
        <f t="shared" si="187"/>
        <v/>
      </c>
      <c r="BI97" s="49" t="str">
        <f t="shared" si="188"/>
        <v/>
      </c>
      <c r="BJ97" s="49" t="str">
        <f t="shared" si="189"/>
        <v/>
      </c>
      <c r="BK97" s="89" t="str">
        <f t="shared" si="190"/>
        <v/>
      </c>
      <c r="BL97" s="87" t="str">
        <f t="shared" si="191"/>
        <v/>
      </c>
      <c r="BM97" s="49" t="str">
        <f t="shared" si="192"/>
        <v/>
      </c>
      <c r="BN97" s="49" t="str">
        <f t="shared" si="193"/>
        <v/>
      </c>
      <c r="BO97" s="89" t="str">
        <f t="shared" si="194"/>
        <v/>
      </c>
      <c r="BP97" s="87" t="str">
        <f t="shared" si="195"/>
        <v/>
      </c>
      <c r="BQ97" s="49" t="str">
        <f t="shared" si="196"/>
        <v/>
      </c>
      <c r="BR97" s="49" t="str">
        <f t="shared" si="197"/>
        <v/>
      </c>
      <c r="BS97" s="89" t="str">
        <f t="shared" si="198"/>
        <v/>
      </c>
      <c r="BT97" s="87" t="str">
        <f t="shared" si="199"/>
        <v/>
      </c>
    </row>
    <row r="98" spans="2:72">
      <c r="B98" s="81">
        <f>Weekly!B90</f>
        <v>0</v>
      </c>
      <c r="C98" s="90">
        <f>Weekly!C90</f>
        <v>0</v>
      </c>
      <c r="D98" s="90">
        <f>Weekly!D91</f>
        <v>0</v>
      </c>
      <c r="E98" s="91" t="e">
        <f>VLOOKUP(B98,Team!$B$4:$E$183,4,FALSE)</f>
        <v>#N/A</v>
      </c>
      <c r="F98" s="92" t="str">
        <f>Weekly!V90</f>
        <v/>
      </c>
      <c r="G98" s="92" t="str">
        <f>Weekly!W90</f>
        <v/>
      </c>
      <c r="H98" s="48" t="str">
        <f t="shared" si="135"/>
        <v/>
      </c>
      <c r="I98" s="48" t="str">
        <f t="shared" si="136"/>
        <v/>
      </c>
      <c r="J98" s="48" t="str">
        <f t="shared" si="137"/>
        <v/>
      </c>
      <c r="K98" s="84" t="str">
        <f t="shared" si="138"/>
        <v/>
      </c>
      <c r="L98" s="82" t="str">
        <f t="shared" si="139"/>
        <v/>
      </c>
      <c r="M98" s="48" t="str">
        <f t="shared" si="140"/>
        <v/>
      </c>
      <c r="N98" s="48" t="str">
        <f t="shared" si="141"/>
        <v/>
      </c>
      <c r="O98" s="84" t="str">
        <f t="shared" si="142"/>
        <v/>
      </c>
      <c r="P98" s="82" t="str">
        <f t="shared" si="143"/>
        <v/>
      </c>
      <c r="Q98" s="48" t="str">
        <f t="shared" si="144"/>
        <v/>
      </c>
      <c r="R98" s="48" t="str">
        <f t="shared" si="145"/>
        <v/>
      </c>
      <c r="S98" s="84" t="str">
        <f t="shared" si="146"/>
        <v/>
      </c>
      <c r="T98" s="82" t="str">
        <f t="shared" si="147"/>
        <v/>
      </c>
      <c r="U98" s="48" t="str">
        <f t="shared" si="148"/>
        <v/>
      </c>
      <c r="V98" s="48" t="str">
        <f t="shared" si="149"/>
        <v/>
      </c>
      <c r="W98" s="84" t="str">
        <f t="shared" si="150"/>
        <v/>
      </c>
      <c r="X98" s="82" t="str">
        <f t="shared" si="151"/>
        <v/>
      </c>
      <c r="Y98" s="48" t="str">
        <f t="shared" si="152"/>
        <v/>
      </c>
      <c r="Z98" s="48" t="str">
        <f t="shared" si="153"/>
        <v/>
      </c>
      <c r="AA98" s="84" t="str">
        <f t="shared" si="154"/>
        <v/>
      </c>
      <c r="AB98" s="82" t="str">
        <f t="shared" si="155"/>
        <v/>
      </c>
      <c r="AC98" s="48" t="str">
        <f t="shared" si="156"/>
        <v/>
      </c>
      <c r="AD98" s="48" t="str">
        <f t="shared" si="157"/>
        <v/>
      </c>
      <c r="AE98" s="84" t="str">
        <f t="shared" si="158"/>
        <v/>
      </c>
      <c r="AF98" s="82" t="str">
        <f t="shared" si="159"/>
        <v/>
      </c>
      <c r="AG98" s="48" t="str">
        <f t="shared" si="160"/>
        <v/>
      </c>
      <c r="AH98" s="48" t="str">
        <f t="shared" si="161"/>
        <v/>
      </c>
      <c r="AI98" s="84" t="str">
        <f t="shared" si="162"/>
        <v/>
      </c>
      <c r="AJ98" s="82" t="str">
        <f t="shared" si="163"/>
        <v/>
      </c>
      <c r="AK98" s="48" t="str">
        <f t="shared" si="164"/>
        <v/>
      </c>
      <c r="AL98" s="48" t="str">
        <f t="shared" si="165"/>
        <v/>
      </c>
      <c r="AM98" s="84" t="str">
        <f t="shared" si="166"/>
        <v/>
      </c>
      <c r="AN98" s="82" t="str">
        <f t="shared" si="167"/>
        <v/>
      </c>
      <c r="AO98" s="48" t="str">
        <f t="shared" si="168"/>
        <v/>
      </c>
      <c r="AP98" s="48" t="str">
        <f t="shared" si="169"/>
        <v/>
      </c>
      <c r="AQ98" s="84" t="str">
        <f t="shared" si="170"/>
        <v/>
      </c>
      <c r="AR98" s="82" t="str">
        <f t="shared" si="171"/>
        <v/>
      </c>
      <c r="AS98" s="48" t="str">
        <f t="shared" si="172"/>
        <v/>
      </c>
      <c r="AT98" s="48" t="str">
        <f t="shared" si="173"/>
        <v/>
      </c>
      <c r="AU98" s="84" t="str">
        <f t="shared" si="174"/>
        <v/>
      </c>
      <c r="AV98" s="82" t="str">
        <f t="shared" si="175"/>
        <v/>
      </c>
      <c r="AW98" s="48" t="str">
        <f t="shared" si="176"/>
        <v/>
      </c>
      <c r="AX98" s="48" t="str">
        <f t="shared" si="177"/>
        <v/>
      </c>
      <c r="AY98" s="84" t="str">
        <f t="shared" si="178"/>
        <v/>
      </c>
      <c r="AZ98" s="82" t="str">
        <f t="shared" si="179"/>
        <v/>
      </c>
      <c r="BA98" s="48" t="str">
        <f t="shared" si="180"/>
        <v/>
      </c>
      <c r="BB98" s="48" t="str">
        <f t="shared" si="181"/>
        <v/>
      </c>
      <c r="BC98" s="84" t="str">
        <f t="shared" si="182"/>
        <v/>
      </c>
      <c r="BD98" s="82" t="str">
        <f t="shared" si="183"/>
        <v/>
      </c>
      <c r="BE98" s="48" t="str">
        <f t="shared" si="184"/>
        <v/>
      </c>
      <c r="BF98" s="48" t="str">
        <f t="shared" si="185"/>
        <v/>
      </c>
      <c r="BG98" s="84" t="str">
        <f t="shared" si="186"/>
        <v/>
      </c>
      <c r="BH98" s="87" t="str">
        <f t="shared" si="187"/>
        <v/>
      </c>
      <c r="BI98" s="49" t="str">
        <f t="shared" si="188"/>
        <v/>
      </c>
      <c r="BJ98" s="49" t="str">
        <f t="shared" si="189"/>
        <v/>
      </c>
      <c r="BK98" s="89" t="str">
        <f t="shared" si="190"/>
        <v/>
      </c>
      <c r="BL98" s="87" t="str">
        <f t="shared" si="191"/>
        <v/>
      </c>
      <c r="BM98" s="49" t="str">
        <f t="shared" si="192"/>
        <v/>
      </c>
      <c r="BN98" s="49" t="str">
        <f t="shared" si="193"/>
        <v/>
      </c>
      <c r="BO98" s="89" t="str">
        <f t="shared" si="194"/>
        <v/>
      </c>
      <c r="BP98" s="87" t="str">
        <f t="shared" si="195"/>
        <v/>
      </c>
      <c r="BQ98" s="49" t="str">
        <f t="shared" si="196"/>
        <v/>
      </c>
      <c r="BR98" s="49" t="str">
        <f t="shared" si="197"/>
        <v/>
      </c>
      <c r="BS98" s="89" t="str">
        <f t="shared" si="198"/>
        <v/>
      </c>
      <c r="BT98" s="87" t="str">
        <f t="shared" si="199"/>
        <v/>
      </c>
    </row>
    <row r="99" spans="2:72">
      <c r="B99" s="81">
        <f>Weekly!B91</f>
        <v>0</v>
      </c>
      <c r="C99" s="90">
        <f>Weekly!C91</f>
        <v>0</v>
      </c>
      <c r="D99" s="90">
        <f>Weekly!D92</f>
        <v>0</v>
      </c>
      <c r="E99" s="91" t="e">
        <f>VLOOKUP(B99,Team!$B$4:$E$183,4,FALSE)</f>
        <v>#N/A</v>
      </c>
      <c r="F99" s="92" t="str">
        <f>Weekly!V91</f>
        <v/>
      </c>
      <c r="G99" s="92" t="str">
        <f>Weekly!W91</f>
        <v/>
      </c>
      <c r="H99" s="48" t="str">
        <f t="shared" si="135"/>
        <v/>
      </c>
      <c r="I99" s="48" t="str">
        <f t="shared" si="136"/>
        <v/>
      </c>
      <c r="J99" s="48" t="str">
        <f t="shared" si="137"/>
        <v/>
      </c>
      <c r="K99" s="84" t="str">
        <f t="shared" si="138"/>
        <v/>
      </c>
      <c r="L99" s="82" t="str">
        <f t="shared" si="139"/>
        <v/>
      </c>
      <c r="M99" s="48" t="str">
        <f t="shared" si="140"/>
        <v/>
      </c>
      <c r="N99" s="48" t="str">
        <f t="shared" si="141"/>
        <v/>
      </c>
      <c r="O99" s="84" t="str">
        <f t="shared" si="142"/>
        <v/>
      </c>
      <c r="P99" s="82" t="str">
        <f t="shared" si="143"/>
        <v/>
      </c>
      <c r="Q99" s="48" t="str">
        <f t="shared" si="144"/>
        <v/>
      </c>
      <c r="R99" s="48" t="str">
        <f t="shared" si="145"/>
        <v/>
      </c>
      <c r="S99" s="84" t="str">
        <f t="shared" si="146"/>
        <v/>
      </c>
      <c r="T99" s="82" t="str">
        <f t="shared" si="147"/>
        <v/>
      </c>
      <c r="U99" s="48" t="str">
        <f t="shared" si="148"/>
        <v/>
      </c>
      <c r="V99" s="48" t="str">
        <f t="shared" si="149"/>
        <v/>
      </c>
      <c r="W99" s="84" t="str">
        <f t="shared" si="150"/>
        <v/>
      </c>
      <c r="X99" s="82" t="str">
        <f t="shared" si="151"/>
        <v/>
      </c>
      <c r="Y99" s="48" t="str">
        <f t="shared" si="152"/>
        <v/>
      </c>
      <c r="Z99" s="48" t="str">
        <f t="shared" si="153"/>
        <v/>
      </c>
      <c r="AA99" s="84" t="str">
        <f t="shared" si="154"/>
        <v/>
      </c>
      <c r="AB99" s="82" t="str">
        <f t="shared" si="155"/>
        <v/>
      </c>
      <c r="AC99" s="48" t="str">
        <f t="shared" si="156"/>
        <v/>
      </c>
      <c r="AD99" s="48" t="str">
        <f t="shared" si="157"/>
        <v/>
      </c>
      <c r="AE99" s="84" t="str">
        <f t="shared" si="158"/>
        <v/>
      </c>
      <c r="AF99" s="82" t="str">
        <f t="shared" si="159"/>
        <v/>
      </c>
      <c r="AG99" s="48" t="str">
        <f t="shared" si="160"/>
        <v/>
      </c>
      <c r="AH99" s="48" t="str">
        <f t="shared" si="161"/>
        <v/>
      </c>
      <c r="AI99" s="84" t="str">
        <f t="shared" si="162"/>
        <v/>
      </c>
      <c r="AJ99" s="82" t="str">
        <f t="shared" si="163"/>
        <v/>
      </c>
      <c r="AK99" s="48" t="str">
        <f t="shared" si="164"/>
        <v/>
      </c>
      <c r="AL99" s="48" t="str">
        <f t="shared" si="165"/>
        <v/>
      </c>
      <c r="AM99" s="84" t="str">
        <f t="shared" si="166"/>
        <v/>
      </c>
      <c r="AN99" s="82" t="str">
        <f t="shared" si="167"/>
        <v/>
      </c>
      <c r="AO99" s="48" t="str">
        <f t="shared" si="168"/>
        <v/>
      </c>
      <c r="AP99" s="48" t="str">
        <f t="shared" si="169"/>
        <v/>
      </c>
      <c r="AQ99" s="84" t="str">
        <f t="shared" si="170"/>
        <v/>
      </c>
      <c r="AR99" s="82" t="str">
        <f t="shared" si="171"/>
        <v/>
      </c>
      <c r="AS99" s="48" t="str">
        <f t="shared" si="172"/>
        <v/>
      </c>
      <c r="AT99" s="48" t="str">
        <f t="shared" si="173"/>
        <v/>
      </c>
      <c r="AU99" s="84" t="str">
        <f t="shared" si="174"/>
        <v/>
      </c>
      <c r="AV99" s="82" t="str">
        <f t="shared" si="175"/>
        <v/>
      </c>
      <c r="AW99" s="48" t="str">
        <f t="shared" si="176"/>
        <v/>
      </c>
      <c r="AX99" s="48" t="str">
        <f t="shared" si="177"/>
        <v/>
      </c>
      <c r="AY99" s="84" t="str">
        <f t="shared" si="178"/>
        <v/>
      </c>
      <c r="AZ99" s="82" t="str">
        <f t="shared" si="179"/>
        <v/>
      </c>
      <c r="BA99" s="48" t="str">
        <f t="shared" si="180"/>
        <v/>
      </c>
      <c r="BB99" s="48" t="str">
        <f t="shared" si="181"/>
        <v/>
      </c>
      <c r="BC99" s="84" t="str">
        <f t="shared" si="182"/>
        <v/>
      </c>
      <c r="BD99" s="82" t="str">
        <f t="shared" si="183"/>
        <v/>
      </c>
      <c r="BE99" s="48" t="str">
        <f t="shared" si="184"/>
        <v/>
      </c>
      <c r="BF99" s="48" t="str">
        <f t="shared" si="185"/>
        <v/>
      </c>
      <c r="BG99" s="84" t="str">
        <f t="shared" si="186"/>
        <v/>
      </c>
      <c r="BH99" s="87" t="str">
        <f t="shared" si="187"/>
        <v/>
      </c>
      <c r="BI99" s="49" t="str">
        <f t="shared" si="188"/>
        <v/>
      </c>
      <c r="BJ99" s="49" t="str">
        <f t="shared" si="189"/>
        <v/>
      </c>
      <c r="BK99" s="89" t="str">
        <f t="shared" si="190"/>
        <v/>
      </c>
      <c r="BL99" s="87" t="str">
        <f t="shared" si="191"/>
        <v/>
      </c>
      <c r="BM99" s="49" t="str">
        <f t="shared" si="192"/>
        <v/>
      </c>
      <c r="BN99" s="49" t="str">
        <f t="shared" si="193"/>
        <v/>
      </c>
      <c r="BO99" s="89" t="str">
        <f t="shared" si="194"/>
        <v/>
      </c>
      <c r="BP99" s="87" t="str">
        <f t="shared" si="195"/>
        <v/>
      </c>
      <c r="BQ99" s="49" t="str">
        <f t="shared" si="196"/>
        <v/>
      </c>
      <c r="BR99" s="49" t="str">
        <f t="shared" si="197"/>
        <v/>
      </c>
      <c r="BS99" s="89" t="str">
        <f t="shared" si="198"/>
        <v/>
      </c>
      <c r="BT99" s="87" t="str">
        <f t="shared" si="199"/>
        <v/>
      </c>
    </row>
    <row r="100" spans="2:72">
      <c r="B100" s="81">
        <f>Weekly!B92</f>
        <v>0</v>
      </c>
      <c r="C100" s="90">
        <f>Weekly!C92</f>
        <v>0</v>
      </c>
      <c r="D100" s="90">
        <f>Weekly!D93</f>
        <v>0</v>
      </c>
      <c r="E100" s="91" t="e">
        <f>VLOOKUP(B100,Team!$B$4:$E$183,4,FALSE)</f>
        <v>#N/A</v>
      </c>
      <c r="F100" s="92" t="str">
        <f>Weekly!V92</f>
        <v/>
      </c>
      <c r="G100" s="92" t="str">
        <f>Weekly!W92</f>
        <v/>
      </c>
      <c r="H100" s="48" t="str">
        <f t="shared" si="135"/>
        <v/>
      </c>
      <c r="I100" s="48" t="str">
        <f t="shared" si="136"/>
        <v/>
      </c>
      <c r="J100" s="48" t="str">
        <f t="shared" si="137"/>
        <v/>
      </c>
      <c r="K100" s="84" t="str">
        <f t="shared" si="138"/>
        <v/>
      </c>
      <c r="L100" s="82" t="str">
        <f t="shared" si="139"/>
        <v/>
      </c>
      <c r="M100" s="48" t="str">
        <f t="shared" si="140"/>
        <v/>
      </c>
      <c r="N100" s="48" t="str">
        <f t="shared" si="141"/>
        <v/>
      </c>
      <c r="O100" s="84" t="str">
        <f t="shared" si="142"/>
        <v/>
      </c>
      <c r="P100" s="82" t="str">
        <f t="shared" si="143"/>
        <v/>
      </c>
      <c r="Q100" s="48" t="str">
        <f t="shared" si="144"/>
        <v/>
      </c>
      <c r="R100" s="48" t="str">
        <f t="shared" si="145"/>
        <v/>
      </c>
      <c r="S100" s="84" t="str">
        <f t="shared" si="146"/>
        <v/>
      </c>
      <c r="T100" s="82" t="str">
        <f t="shared" si="147"/>
        <v/>
      </c>
      <c r="U100" s="48" t="str">
        <f t="shared" si="148"/>
        <v/>
      </c>
      <c r="V100" s="48" t="str">
        <f t="shared" si="149"/>
        <v/>
      </c>
      <c r="W100" s="84" t="str">
        <f t="shared" si="150"/>
        <v/>
      </c>
      <c r="X100" s="82" t="str">
        <f t="shared" si="151"/>
        <v/>
      </c>
      <c r="Y100" s="48" t="str">
        <f t="shared" si="152"/>
        <v/>
      </c>
      <c r="Z100" s="48" t="str">
        <f t="shared" si="153"/>
        <v/>
      </c>
      <c r="AA100" s="84" t="str">
        <f t="shared" si="154"/>
        <v/>
      </c>
      <c r="AB100" s="82" t="str">
        <f t="shared" si="155"/>
        <v/>
      </c>
      <c r="AC100" s="48" t="str">
        <f t="shared" si="156"/>
        <v/>
      </c>
      <c r="AD100" s="48" t="str">
        <f t="shared" si="157"/>
        <v/>
      </c>
      <c r="AE100" s="84" t="str">
        <f t="shared" si="158"/>
        <v/>
      </c>
      <c r="AF100" s="82" t="str">
        <f t="shared" si="159"/>
        <v/>
      </c>
      <c r="AG100" s="48" t="str">
        <f t="shared" si="160"/>
        <v/>
      </c>
      <c r="AH100" s="48" t="str">
        <f t="shared" si="161"/>
        <v/>
      </c>
      <c r="AI100" s="84" t="str">
        <f t="shared" si="162"/>
        <v/>
      </c>
      <c r="AJ100" s="82" t="str">
        <f t="shared" si="163"/>
        <v/>
      </c>
      <c r="AK100" s="48" t="str">
        <f t="shared" si="164"/>
        <v/>
      </c>
      <c r="AL100" s="48" t="str">
        <f t="shared" si="165"/>
        <v/>
      </c>
      <c r="AM100" s="84" t="str">
        <f t="shared" si="166"/>
        <v/>
      </c>
      <c r="AN100" s="82" t="str">
        <f t="shared" si="167"/>
        <v/>
      </c>
      <c r="AO100" s="48" t="str">
        <f t="shared" si="168"/>
        <v/>
      </c>
      <c r="AP100" s="48" t="str">
        <f t="shared" si="169"/>
        <v/>
      </c>
      <c r="AQ100" s="84" t="str">
        <f t="shared" si="170"/>
        <v/>
      </c>
      <c r="AR100" s="82" t="str">
        <f t="shared" si="171"/>
        <v/>
      </c>
      <c r="AS100" s="48" t="str">
        <f t="shared" si="172"/>
        <v/>
      </c>
      <c r="AT100" s="48" t="str">
        <f t="shared" si="173"/>
        <v/>
      </c>
      <c r="AU100" s="84" t="str">
        <f t="shared" si="174"/>
        <v/>
      </c>
      <c r="AV100" s="82" t="str">
        <f t="shared" si="175"/>
        <v/>
      </c>
      <c r="AW100" s="48" t="str">
        <f t="shared" si="176"/>
        <v/>
      </c>
      <c r="AX100" s="48" t="str">
        <f t="shared" si="177"/>
        <v/>
      </c>
      <c r="AY100" s="84" t="str">
        <f t="shared" si="178"/>
        <v/>
      </c>
      <c r="AZ100" s="82" t="str">
        <f t="shared" si="179"/>
        <v/>
      </c>
      <c r="BA100" s="48" t="str">
        <f t="shared" si="180"/>
        <v/>
      </c>
      <c r="BB100" s="48" t="str">
        <f t="shared" si="181"/>
        <v/>
      </c>
      <c r="BC100" s="84" t="str">
        <f t="shared" si="182"/>
        <v/>
      </c>
      <c r="BD100" s="82" t="str">
        <f t="shared" si="183"/>
        <v/>
      </c>
      <c r="BE100" s="48" t="str">
        <f t="shared" si="184"/>
        <v/>
      </c>
      <c r="BF100" s="48" t="str">
        <f t="shared" si="185"/>
        <v/>
      </c>
      <c r="BG100" s="84" t="str">
        <f t="shared" si="186"/>
        <v/>
      </c>
      <c r="BH100" s="87" t="str">
        <f t="shared" si="187"/>
        <v/>
      </c>
      <c r="BI100" s="49" t="str">
        <f t="shared" si="188"/>
        <v/>
      </c>
      <c r="BJ100" s="49" t="str">
        <f t="shared" si="189"/>
        <v/>
      </c>
      <c r="BK100" s="89" t="str">
        <f t="shared" si="190"/>
        <v/>
      </c>
      <c r="BL100" s="87" t="str">
        <f t="shared" si="191"/>
        <v/>
      </c>
      <c r="BM100" s="49" t="str">
        <f t="shared" si="192"/>
        <v/>
      </c>
      <c r="BN100" s="49" t="str">
        <f t="shared" si="193"/>
        <v/>
      </c>
      <c r="BO100" s="89" t="str">
        <f t="shared" si="194"/>
        <v/>
      </c>
      <c r="BP100" s="87" t="str">
        <f t="shared" si="195"/>
        <v/>
      </c>
      <c r="BQ100" s="49" t="str">
        <f t="shared" si="196"/>
        <v/>
      </c>
      <c r="BR100" s="49" t="str">
        <f t="shared" si="197"/>
        <v/>
      </c>
      <c r="BS100" s="89" t="str">
        <f t="shared" si="198"/>
        <v/>
      </c>
      <c r="BT100" s="87" t="str">
        <f t="shared" si="199"/>
        <v/>
      </c>
    </row>
    <row r="101" spans="2:72">
      <c r="B101" s="81">
        <f>Weekly!B93</f>
        <v>0</v>
      </c>
      <c r="C101" s="90">
        <f>Weekly!C93</f>
        <v>0</v>
      </c>
      <c r="D101" s="90">
        <f>Weekly!D94</f>
        <v>0</v>
      </c>
      <c r="E101" s="91" t="e">
        <f>VLOOKUP(B101,Team!$B$4:$E$183,4,FALSE)</f>
        <v>#N/A</v>
      </c>
      <c r="F101" s="92" t="str">
        <f>Weekly!V93</f>
        <v/>
      </c>
      <c r="G101" s="92" t="str">
        <f>Weekly!W93</f>
        <v/>
      </c>
      <c r="H101" s="48" t="str">
        <f t="shared" si="135"/>
        <v/>
      </c>
      <c r="I101" s="48" t="str">
        <f t="shared" si="136"/>
        <v/>
      </c>
      <c r="J101" s="48" t="str">
        <f t="shared" si="137"/>
        <v/>
      </c>
      <c r="K101" s="84" t="str">
        <f t="shared" si="138"/>
        <v/>
      </c>
      <c r="L101" s="82" t="str">
        <f t="shared" si="139"/>
        <v/>
      </c>
      <c r="M101" s="48" t="str">
        <f t="shared" si="140"/>
        <v/>
      </c>
      <c r="N101" s="48" t="str">
        <f t="shared" si="141"/>
        <v/>
      </c>
      <c r="O101" s="84" t="str">
        <f t="shared" si="142"/>
        <v/>
      </c>
      <c r="P101" s="82" t="str">
        <f t="shared" si="143"/>
        <v/>
      </c>
      <c r="Q101" s="48" t="str">
        <f t="shared" si="144"/>
        <v/>
      </c>
      <c r="R101" s="48" t="str">
        <f t="shared" si="145"/>
        <v/>
      </c>
      <c r="S101" s="84" t="str">
        <f t="shared" si="146"/>
        <v/>
      </c>
      <c r="T101" s="82" t="str">
        <f t="shared" si="147"/>
        <v/>
      </c>
      <c r="U101" s="48" t="str">
        <f t="shared" si="148"/>
        <v/>
      </c>
      <c r="V101" s="48" t="str">
        <f t="shared" si="149"/>
        <v/>
      </c>
      <c r="W101" s="84" t="str">
        <f t="shared" si="150"/>
        <v/>
      </c>
      <c r="X101" s="82" t="str">
        <f t="shared" si="151"/>
        <v/>
      </c>
      <c r="Y101" s="48" t="str">
        <f t="shared" si="152"/>
        <v/>
      </c>
      <c r="Z101" s="48" t="str">
        <f t="shared" si="153"/>
        <v/>
      </c>
      <c r="AA101" s="84" t="str">
        <f t="shared" si="154"/>
        <v/>
      </c>
      <c r="AB101" s="82" t="str">
        <f t="shared" si="155"/>
        <v/>
      </c>
      <c r="AC101" s="48" t="str">
        <f t="shared" si="156"/>
        <v/>
      </c>
      <c r="AD101" s="48" t="str">
        <f t="shared" si="157"/>
        <v/>
      </c>
      <c r="AE101" s="84" t="str">
        <f t="shared" si="158"/>
        <v/>
      </c>
      <c r="AF101" s="82" t="str">
        <f t="shared" si="159"/>
        <v/>
      </c>
      <c r="AG101" s="48" t="str">
        <f t="shared" si="160"/>
        <v/>
      </c>
      <c r="AH101" s="48" t="str">
        <f t="shared" si="161"/>
        <v/>
      </c>
      <c r="AI101" s="84" t="str">
        <f t="shared" si="162"/>
        <v/>
      </c>
      <c r="AJ101" s="82" t="str">
        <f t="shared" si="163"/>
        <v/>
      </c>
      <c r="AK101" s="48" t="str">
        <f t="shared" si="164"/>
        <v/>
      </c>
      <c r="AL101" s="48" t="str">
        <f t="shared" si="165"/>
        <v/>
      </c>
      <c r="AM101" s="84" t="str">
        <f t="shared" si="166"/>
        <v/>
      </c>
      <c r="AN101" s="82" t="str">
        <f t="shared" si="167"/>
        <v/>
      </c>
      <c r="AO101" s="48" t="str">
        <f t="shared" si="168"/>
        <v/>
      </c>
      <c r="AP101" s="48" t="str">
        <f t="shared" si="169"/>
        <v/>
      </c>
      <c r="AQ101" s="84" t="str">
        <f t="shared" si="170"/>
        <v/>
      </c>
      <c r="AR101" s="82" t="str">
        <f t="shared" si="171"/>
        <v/>
      </c>
      <c r="AS101" s="48" t="str">
        <f t="shared" si="172"/>
        <v/>
      </c>
      <c r="AT101" s="48" t="str">
        <f t="shared" si="173"/>
        <v/>
      </c>
      <c r="AU101" s="84" t="str">
        <f t="shared" si="174"/>
        <v/>
      </c>
      <c r="AV101" s="82" t="str">
        <f t="shared" si="175"/>
        <v/>
      </c>
      <c r="AW101" s="48" t="str">
        <f t="shared" si="176"/>
        <v/>
      </c>
      <c r="AX101" s="48" t="str">
        <f t="shared" si="177"/>
        <v/>
      </c>
      <c r="AY101" s="84" t="str">
        <f t="shared" si="178"/>
        <v/>
      </c>
      <c r="AZ101" s="82" t="str">
        <f t="shared" si="179"/>
        <v/>
      </c>
      <c r="BA101" s="48" t="str">
        <f t="shared" si="180"/>
        <v/>
      </c>
      <c r="BB101" s="48" t="str">
        <f t="shared" si="181"/>
        <v/>
      </c>
      <c r="BC101" s="84" t="str">
        <f t="shared" si="182"/>
        <v/>
      </c>
      <c r="BD101" s="82" t="str">
        <f t="shared" si="183"/>
        <v/>
      </c>
      <c r="BE101" s="48" t="str">
        <f t="shared" si="184"/>
        <v/>
      </c>
      <c r="BF101" s="48" t="str">
        <f t="shared" si="185"/>
        <v/>
      </c>
      <c r="BG101" s="84" t="str">
        <f t="shared" si="186"/>
        <v/>
      </c>
      <c r="BH101" s="87" t="str">
        <f t="shared" si="187"/>
        <v/>
      </c>
      <c r="BI101" s="49" t="str">
        <f t="shared" si="188"/>
        <v/>
      </c>
      <c r="BJ101" s="49" t="str">
        <f t="shared" si="189"/>
        <v/>
      </c>
      <c r="BK101" s="89" t="str">
        <f t="shared" si="190"/>
        <v/>
      </c>
      <c r="BL101" s="87" t="str">
        <f t="shared" si="191"/>
        <v/>
      </c>
      <c r="BM101" s="49" t="str">
        <f t="shared" si="192"/>
        <v/>
      </c>
      <c r="BN101" s="49" t="str">
        <f t="shared" si="193"/>
        <v/>
      </c>
      <c r="BO101" s="89" t="str">
        <f t="shared" si="194"/>
        <v/>
      </c>
      <c r="BP101" s="87" t="str">
        <f t="shared" si="195"/>
        <v/>
      </c>
      <c r="BQ101" s="49" t="str">
        <f t="shared" si="196"/>
        <v/>
      </c>
      <c r="BR101" s="49" t="str">
        <f t="shared" si="197"/>
        <v/>
      </c>
      <c r="BS101" s="89" t="str">
        <f t="shared" si="198"/>
        <v/>
      </c>
      <c r="BT101" s="87" t="str">
        <f t="shared" si="199"/>
        <v/>
      </c>
    </row>
    <row r="102" spans="2:72">
      <c r="B102" s="81">
        <f>Weekly!B94</f>
        <v>0</v>
      </c>
      <c r="C102" s="90">
        <f>Weekly!C94</f>
        <v>0</v>
      </c>
      <c r="D102" s="90">
        <f>Weekly!D95</f>
        <v>0</v>
      </c>
      <c r="E102" s="91" t="e">
        <f>VLOOKUP(B102,Team!$B$4:$E$183,4,FALSE)</f>
        <v>#N/A</v>
      </c>
      <c r="F102" s="92" t="str">
        <f>Weekly!V94</f>
        <v/>
      </c>
      <c r="G102" s="92" t="str">
        <f>Weekly!W94</f>
        <v/>
      </c>
      <c r="H102" s="48" t="str">
        <f t="shared" si="135"/>
        <v/>
      </c>
      <c r="I102" s="48" t="str">
        <f t="shared" si="136"/>
        <v/>
      </c>
      <c r="J102" s="48" t="str">
        <f t="shared" si="137"/>
        <v/>
      </c>
      <c r="K102" s="84" t="str">
        <f t="shared" si="138"/>
        <v/>
      </c>
      <c r="L102" s="82" t="str">
        <f t="shared" si="139"/>
        <v/>
      </c>
      <c r="M102" s="48" t="str">
        <f t="shared" si="140"/>
        <v/>
      </c>
      <c r="N102" s="48" t="str">
        <f t="shared" si="141"/>
        <v/>
      </c>
      <c r="O102" s="84" t="str">
        <f t="shared" si="142"/>
        <v/>
      </c>
      <c r="P102" s="82" t="str">
        <f t="shared" si="143"/>
        <v/>
      </c>
      <c r="Q102" s="48" t="str">
        <f t="shared" si="144"/>
        <v/>
      </c>
      <c r="R102" s="48" t="str">
        <f t="shared" si="145"/>
        <v/>
      </c>
      <c r="S102" s="84" t="str">
        <f t="shared" si="146"/>
        <v/>
      </c>
      <c r="T102" s="82" t="str">
        <f t="shared" si="147"/>
        <v/>
      </c>
      <c r="U102" s="48" t="str">
        <f t="shared" si="148"/>
        <v/>
      </c>
      <c r="V102" s="48" t="str">
        <f t="shared" si="149"/>
        <v/>
      </c>
      <c r="W102" s="84" t="str">
        <f t="shared" si="150"/>
        <v/>
      </c>
      <c r="X102" s="82" t="str">
        <f t="shared" si="151"/>
        <v/>
      </c>
      <c r="Y102" s="48" t="str">
        <f t="shared" si="152"/>
        <v/>
      </c>
      <c r="Z102" s="48" t="str">
        <f t="shared" si="153"/>
        <v/>
      </c>
      <c r="AA102" s="84" t="str">
        <f t="shared" si="154"/>
        <v/>
      </c>
      <c r="AB102" s="82" t="str">
        <f t="shared" si="155"/>
        <v/>
      </c>
      <c r="AC102" s="48" t="str">
        <f t="shared" si="156"/>
        <v/>
      </c>
      <c r="AD102" s="48" t="str">
        <f t="shared" si="157"/>
        <v/>
      </c>
      <c r="AE102" s="84" t="str">
        <f t="shared" si="158"/>
        <v/>
      </c>
      <c r="AF102" s="82" t="str">
        <f t="shared" si="159"/>
        <v/>
      </c>
      <c r="AG102" s="48" t="str">
        <f t="shared" si="160"/>
        <v/>
      </c>
      <c r="AH102" s="48" t="str">
        <f t="shared" si="161"/>
        <v/>
      </c>
      <c r="AI102" s="84" t="str">
        <f t="shared" si="162"/>
        <v/>
      </c>
      <c r="AJ102" s="82" t="str">
        <f t="shared" si="163"/>
        <v/>
      </c>
      <c r="AK102" s="48" t="str">
        <f t="shared" si="164"/>
        <v/>
      </c>
      <c r="AL102" s="48" t="str">
        <f t="shared" si="165"/>
        <v/>
      </c>
      <c r="AM102" s="84" t="str">
        <f t="shared" si="166"/>
        <v/>
      </c>
      <c r="AN102" s="82" t="str">
        <f t="shared" si="167"/>
        <v/>
      </c>
      <c r="AO102" s="48" t="str">
        <f t="shared" si="168"/>
        <v/>
      </c>
      <c r="AP102" s="48" t="str">
        <f t="shared" si="169"/>
        <v/>
      </c>
      <c r="AQ102" s="84" t="str">
        <f t="shared" si="170"/>
        <v/>
      </c>
      <c r="AR102" s="82" t="str">
        <f t="shared" si="171"/>
        <v/>
      </c>
      <c r="AS102" s="48" t="str">
        <f t="shared" si="172"/>
        <v/>
      </c>
      <c r="AT102" s="48" t="str">
        <f t="shared" si="173"/>
        <v/>
      </c>
      <c r="AU102" s="84" t="str">
        <f t="shared" si="174"/>
        <v/>
      </c>
      <c r="AV102" s="82" t="str">
        <f t="shared" si="175"/>
        <v/>
      </c>
      <c r="AW102" s="48" t="str">
        <f t="shared" si="176"/>
        <v/>
      </c>
      <c r="AX102" s="48" t="str">
        <f t="shared" si="177"/>
        <v/>
      </c>
      <c r="AY102" s="84" t="str">
        <f t="shared" si="178"/>
        <v/>
      </c>
      <c r="AZ102" s="82" t="str">
        <f t="shared" si="179"/>
        <v/>
      </c>
      <c r="BA102" s="48" t="str">
        <f t="shared" si="180"/>
        <v/>
      </c>
      <c r="BB102" s="48" t="str">
        <f t="shared" si="181"/>
        <v/>
      </c>
      <c r="BC102" s="84" t="str">
        <f t="shared" si="182"/>
        <v/>
      </c>
      <c r="BD102" s="82" t="str">
        <f t="shared" si="183"/>
        <v/>
      </c>
      <c r="BE102" s="48" t="str">
        <f t="shared" si="184"/>
        <v/>
      </c>
      <c r="BF102" s="48" t="str">
        <f t="shared" si="185"/>
        <v/>
      </c>
      <c r="BG102" s="84" t="str">
        <f t="shared" si="186"/>
        <v/>
      </c>
      <c r="BH102" s="87" t="str">
        <f t="shared" si="187"/>
        <v/>
      </c>
      <c r="BI102" s="49" t="str">
        <f t="shared" si="188"/>
        <v/>
      </c>
      <c r="BJ102" s="49" t="str">
        <f t="shared" si="189"/>
        <v/>
      </c>
      <c r="BK102" s="89" t="str">
        <f t="shared" si="190"/>
        <v/>
      </c>
      <c r="BL102" s="87" t="str">
        <f t="shared" si="191"/>
        <v/>
      </c>
      <c r="BM102" s="49" t="str">
        <f t="shared" si="192"/>
        <v/>
      </c>
      <c r="BN102" s="49" t="str">
        <f t="shared" si="193"/>
        <v/>
      </c>
      <c r="BO102" s="89" t="str">
        <f t="shared" si="194"/>
        <v/>
      </c>
      <c r="BP102" s="87" t="str">
        <f t="shared" si="195"/>
        <v/>
      </c>
      <c r="BQ102" s="49" t="str">
        <f t="shared" si="196"/>
        <v/>
      </c>
      <c r="BR102" s="49" t="str">
        <f t="shared" si="197"/>
        <v/>
      </c>
      <c r="BS102" s="89" t="str">
        <f t="shared" si="198"/>
        <v/>
      </c>
      <c r="BT102" s="87" t="str">
        <f t="shared" si="199"/>
        <v/>
      </c>
    </row>
    <row r="103" spans="2:72">
      <c r="B103" s="81">
        <f>Weekly!B95</f>
        <v>0</v>
      </c>
      <c r="C103" s="90">
        <f>Weekly!C95</f>
        <v>0</v>
      </c>
      <c r="D103" s="90">
        <f>Weekly!D96</f>
        <v>0</v>
      </c>
      <c r="E103" s="91" t="e">
        <f>VLOOKUP(B103,Team!$B$4:$E$183,4,FALSE)</f>
        <v>#N/A</v>
      </c>
      <c r="F103" s="92" t="str">
        <f>Weekly!V95</f>
        <v/>
      </c>
      <c r="G103" s="92" t="str">
        <f>Weekly!W95</f>
        <v/>
      </c>
      <c r="H103" s="48" t="str">
        <f t="shared" si="135"/>
        <v/>
      </c>
      <c r="I103" s="48" t="str">
        <f t="shared" si="136"/>
        <v/>
      </c>
      <c r="J103" s="48" t="str">
        <f t="shared" si="137"/>
        <v/>
      </c>
      <c r="K103" s="84" t="str">
        <f t="shared" si="138"/>
        <v/>
      </c>
      <c r="L103" s="82" t="str">
        <f t="shared" si="139"/>
        <v/>
      </c>
      <c r="M103" s="48" t="str">
        <f t="shared" si="140"/>
        <v/>
      </c>
      <c r="N103" s="48" t="str">
        <f t="shared" si="141"/>
        <v/>
      </c>
      <c r="O103" s="84" t="str">
        <f t="shared" si="142"/>
        <v/>
      </c>
      <c r="P103" s="82" t="str">
        <f t="shared" si="143"/>
        <v/>
      </c>
      <c r="Q103" s="48" t="str">
        <f t="shared" si="144"/>
        <v/>
      </c>
      <c r="R103" s="48" t="str">
        <f t="shared" si="145"/>
        <v/>
      </c>
      <c r="S103" s="84" t="str">
        <f t="shared" si="146"/>
        <v/>
      </c>
      <c r="T103" s="82" t="str">
        <f t="shared" si="147"/>
        <v/>
      </c>
      <c r="U103" s="48" t="str">
        <f t="shared" si="148"/>
        <v/>
      </c>
      <c r="V103" s="48" t="str">
        <f t="shared" si="149"/>
        <v/>
      </c>
      <c r="W103" s="84" t="str">
        <f t="shared" si="150"/>
        <v/>
      </c>
      <c r="X103" s="82" t="str">
        <f t="shared" si="151"/>
        <v/>
      </c>
      <c r="Y103" s="48" t="str">
        <f t="shared" si="152"/>
        <v/>
      </c>
      <c r="Z103" s="48" t="str">
        <f t="shared" si="153"/>
        <v/>
      </c>
      <c r="AA103" s="84" t="str">
        <f t="shared" si="154"/>
        <v/>
      </c>
      <c r="AB103" s="82" t="str">
        <f t="shared" si="155"/>
        <v/>
      </c>
      <c r="AC103" s="48" t="str">
        <f t="shared" si="156"/>
        <v/>
      </c>
      <c r="AD103" s="48" t="str">
        <f t="shared" si="157"/>
        <v/>
      </c>
      <c r="AE103" s="84" t="str">
        <f t="shared" si="158"/>
        <v/>
      </c>
      <c r="AF103" s="82" t="str">
        <f t="shared" si="159"/>
        <v/>
      </c>
      <c r="AG103" s="48" t="str">
        <f t="shared" si="160"/>
        <v/>
      </c>
      <c r="AH103" s="48" t="str">
        <f t="shared" si="161"/>
        <v/>
      </c>
      <c r="AI103" s="84" t="str">
        <f t="shared" si="162"/>
        <v/>
      </c>
      <c r="AJ103" s="82" t="str">
        <f t="shared" si="163"/>
        <v/>
      </c>
      <c r="AK103" s="48" t="str">
        <f t="shared" si="164"/>
        <v/>
      </c>
      <c r="AL103" s="48" t="str">
        <f t="shared" si="165"/>
        <v/>
      </c>
      <c r="AM103" s="84" t="str">
        <f t="shared" si="166"/>
        <v/>
      </c>
      <c r="AN103" s="82" t="str">
        <f t="shared" si="167"/>
        <v/>
      </c>
      <c r="AO103" s="48" t="str">
        <f t="shared" si="168"/>
        <v/>
      </c>
      <c r="AP103" s="48" t="str">
        <f t="shared" si="169"/>
        <v/>
      </c>
      <c r="AQ103" s="84" t="str">
        <f t="shared" si="170"/>
        <v/>
      </c>
      <c r="AR103" s="82" t="str">
        <f t="shared" si="171"/>
        <v/>
      </c>
      <c r="AS103" s="48" t="str">
        <f t="shared" si="172"/>
        <v/>
      </c>
      <c r="AT103" s="48" t="str">
        <f t="shared" si="173"/>
        <v/>
      </c>
      <c r="AU103" s="84" t="str">
        <f t="shared" si="174"/>
        <v/>
      </c>
      <c r="AV103" s="82" t="str">
        <f t="shared" si="175"/>
        <v/>
      </c>
      <c r="AW103" s="48" t="str">
        <f t="shared" si="176"/>
        <v/>
      </c>
      <c r="AX103" s="48" t="str">
        <f t="shared" si="177"/>
        <v/>
      </c>
      <c r="AY103" s="84" t="str">
        <f t="shared" si="178"/>
        <v/>
      </c>
      <c r="AZ103" s="82" t="str">
        <f t="shared" si="179"/>
        <v/>
      </c>
      <c r="BA103" s="48" t="str">
        <f t="shared" si="180"/>
        <v/>
      </c>
      <c r="BB103" s="48" t="str">
        <f t="shared" si="181"/>
        <v/>
      </c>
      <c r="BC103" s="84" t="str">
        <f t="shared" si="182"/>
        <v/>
      </c>
      <c r="BD103" s="82" t="str">
        <f t="shared" si="183"/>
        <v/>
      </c>
      <c r="BE103" s="48" t="str">
        <f t="shared" si="184"/>
        <v/>
      </c>
      <c r="BF103" s="48" t="str">
        <f t="shared" si="185"/>
        <v/>
      </c>
      <c r="BG103" s="84" t="str">
        <f t="shared" si="186"/>
        <v/>
      </c>
      <c r="BH103" s="87" t="str">
        <f t="shared" si="187"/>
        <v/>
      </c>
      <c r="BI103" s="49" t="str">
        <f t="shared" si="188"/>
        <v/>
      </c>
      <c r="BJ103" s="49" t="str">
        <f t="shared" si="189"/>
        <v/>
      </c>
      <c r="BK103" s="89" t="str">
        <f t="shared" si="190"/>
        <v/>
      </c>
      <c r="BL103" s="87" t="str">
        <f t="shared" si="191"/>
        <v/>
      </c>
      <c r="BM103" s="49" t="str">
        <f t="shared" si="192"/>
        <v/>
      </c>
      <c r="BN103" s="49" t="str">
        <f t="shared" si="193"/>
        <v/>
      </c>
      <c r="BO103" s="89" t="str">
        <f t="shared" si="194"/>
        <v/>
      </c>
      <c r="BP103" s="87" t="str">
        <f t="shared" si="195"/>
        <v/>
      </c>
      <c r="BQ103" s="49" t="str">
        <f t="shared" si="196"/>
        <v/>
      </c>
      <c r="BR103" s="49" t="str">
        <f t="shared" si="197"/>
        <v/>
      </c>
      <c r="BS103" s="89" t="str">
        <f t="shared" si="198"/>
        <v/>
      </c>
      <c r="BT103" s="87" t="str">
        <f t="shared" si="199"/>
        <v/>
      </c>
    </row>
  </sheetData>
  <sheetProtection algorithmName="SHA-512" hashValue="AKwCKLR6DDbnEM6mqf21Glwa1NRxrAfD3RZEv+6Dr8vbUBGwuaVKPbUGWAJApxpOtYHzM66fIpNl5kLzYeQ5Zw==" saltValue="dy3g8OO9n6/pKWGsR9BtoQ==" spinCount="100000" sheet="1" formatCells="0" formatColumns="0" sort="0" autoFilter="0"/>
  <autoFilter ref="B16:BT16" xr:uid="{00000000-0009-0000-0000-000009000000}"/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265" priority="88" stopIfTrue="1" operator="equal">
      <formula>$T$3</formula>
    </cfRule>
    <cfRule type="containsBlanks" dxfId="264" priority="89" stopIfTrue="1">
      <formula>LEN(TRIM(H6))=0</formula>
    </cfRule>
    <cfRule type="cellIs" dxfId="263" priority="81" stopIfTrue="1" operator="equal">
      <formula>$AA$3</formula>
    </cfRule>
    <cfRule type="cellIs" dxfId="262" priority="78" stopIfTrue="1" operator="equal">
      <formula>$AD$3</formula>
    </cfRule>
    <cfRule type="cellIs" dxfId="261" priority="79" stopIfTrue="1" operator="equal">
      <formula>$AB$3</formula>
    </cfRule>
    <cfRule type="cellIs" dxfId="260" priority="80" stopIfTrue="1" operator="equal">
      <formula>$AC$3</formula>
    </cfRule>
    <cfRule type="cellIs" dxfId="259" priority="82" stopIfTrue="1" operator="equal">
      <formula>$Z$3</formula>
    </cfRule>
    <cfRule type="cellIs" dxfId="258" priority="83" stopIfTrue="1" operator="equal">
      <formula>$Y$3</formula>
    </cfRule>
    <cfRule type="cellIs" dxfId="257" priority="84" stopIfTrue="1" operator="equal">
      <formula>$X$3</formula>
    </cfRule>
    <cfRule type="cellIs" dxfId="256" priority="85" stopIfTrue="1" operator="equal">
      <formula>$W$3</formula>
    </cfRule>
    <cfRule type="cellIs" dxfId="255" priority="86" stopIfTrue="1" operator="equal">
      <formula>$V$3</formula>
    </cfRule>
    <cfRule type="cellIs" dxfId="254" priority="87" stopIfTrue="1" operator="equal">
      <formula>$U$3</formula>
    </cfRule>
  </conditionalFormatting>
  <conditionalFormatting sqref="H13:BS13">
    <cfRule type="cellIs" dxfId="253" priority="13" operator="equal">
      <formula>"FFR"</formula>
    </cfRule>
    <cfRule type="cellIs" dxfId="252" priority="14" operator="equal">
      <formula>"F"</formula>
    </cfRule>
    <cfRule type="cellIs" dxfId="251" priority="15" operator="equal">
      <formula>"PEN"</formula>
    </cfRule>
    <cfRule type="cellIs" dxfId="250" priority="16" operator="equal">
      <formula>"TW"</formula>
    </cfRule>
    <cfRule type="cellIs" dxfId="249" priority="17" operator="equal">
      <formula>"AD"</formula>
    </cfRule>
    <cfRule type="cellIs" dxfId="248" priority="18" operator="equal">
      <formula>"SY"</formula>
    </cfRule>
    <cfRule type="cellIs" dxfId="247" priority="19" operator="equal">
      <formula>"CSYS"</formula>
    </cfRule>
    <cfRule type="cellIs" dxfId="246" priority="20" operator="equal">
      <formula>"HHR"</formula>
    </cfRule>
    <cfRule type="cellIs" dxfId="245" priority="21" operator="equal">
      <formula>"HH"</formula>
    </cfRule>
    <cfRule type="cellIs" dxfId="244" priority="22" operator="equal">
      <formula>"STAFF"</formula>
    </cfRule>
    <cfRule type="cellIs" dxfId="243" priority="23" operator="equal">
      <formula>"LINW"</formula>
    </cfRule>
    <cfRule type="cellIs" dxfId="242" priority="24" operator="equal">
      <formula>"MINW"</formula>
    </cfRule>
    <cfRule type="cellIs" dxfId="241" priority="25" operator="equal">
      <formula>"ACC"</formula>
    </cfRule>
    <cfRule type="cellIs" dxfId="240" priority="26" operator="equal">
      <formula>"H"</formula>
    </cfRule>
    <cfRule type="cellIs" dxfId="239" priority="27" operator="equal">
      <formula>"ASM"</formula>
    </cfRule>
    <cfRule type="cellIs" dxfId="238" priority="28" operator="equal">
      <formula>"SM"</formula>
    </cfRule>
    <cfRule type="cellIs" dxfId="237" priority="8" operator="equal">
      <formula>"TEA"</formula>
    </cfRule>
    <cfRule type="cellIs" dxfId="236" priority="30" operator="equal">
      <formula>"H3"</formula>
    </cfRule>
    <cfRule type="cellIs" dxfId="235" priority="31" operator="equal">
      <formula>"H2"</formula>
    </cfRule>
    <cfRule type="cellIs" dxfId="234" priority="32" operator="equal">
      <formula>"H1"</formula>
    </cfRule>
    <cfRule type="cellIs" dxfId="233" priority="1" operator="equal">
      <formula>"R6"</formula>
    </cfRule>
    <cfRule type="cellIs" dxfId="232" priority="2" operator="equal">
      <formula>"R5"</formula>
    </cfRule>
    <cfRule type="cellIs" dxfId="231" priority="3" operator="equal">
      <formula>"R4"</formula>
    </cfRule>
    <cfRule type="cellIs" dxfId="230" priority="4" operator="equal">
      <formula>"R3"</formula>
    </cfRule>
    <cfRule type="cellIs" dxfId="229" priority="5" operator="equal">
      <formula>"R2"</formula>
    </cfRule>
    <cfRule type="cellIs" dxfId="228" priority="29" operator="equal">
      <formula>"EMB"</formula>
    </cfRule>
    <cfRule type="cellIs" dxfId="227" priority="6" operator="equal">
      <formula>"R1"</formula>
    </cfRule>
    <cfRule type="cellIs" dxfId="226" priority="7" operator="equal">
      <formula>"R"</formula>
    </cfRule>
    <cfRule type="cellIs" dxfId="225" priority="9" operator="equal">
      <formula>"BIN"</formula>
    </cfRule>
    <cfRule type="cellIs" dxfId="224" priority="10" operator="equal">
      <formula>"KIDS"</formula>
    </cfRule>
    <cfRule type="cellIs" dxfId="223" priority="11" operator="equal">
      <formula>"CR"</formula>
    </cfRule>
    <cfRule type="cellIs" dxfId="222" priority="12" operator="equal">
      <formula>"FB"</formula>
    </cfRule>
  </conditionalFormatting>
  <conditionalFormatting sqref="H15:BS15">
    <cfRule type="containsBlanks" dxfId="221" priority="77" stopIfTrue="1">
      <formula>LEN(TRIM(H15))=0</formula>
    </cfRule>
    <cfRule type="cellIs" dxfId="220" priority="67" stopIfTrue="1" operator="equal">
      <formula>$AB$3</formula>
    </cfRule>
    <cfRule type="cellIs" dxfId="219" priority="68" stopIfTrue="1" operator="equal">
      <formula>$AC$3</formula>
    </cfRule>
    <cfRule type="cellIs" dxfId="218" priority="69" stopIfTrue="1" operator="equal">
      <formula>$AA$3</formula>
    </cfRule>
    <cfRule type="cellIs" dxfId="217" priority="70" stopIfTrue="1" operator="equal">
      <formula>$Z$3</formula>
    </cfRule>
    <cfRule type="cellIs" dxfId="216" priority="71" stopIfTrue="1" operator="equal">
      <formula>$Y$3</formula>
    </cfRule>
    <cfRule type="cellIs" dxfId="215" priority="72" stopIfTrue="1" operator="equal">
      <formula>$X$3</formula>
    </cfRule>
    <cfRule type="cellIs" dxfId="214" priority="73" stopIfTrue="1" operator="equal">
      <formula>$W$3</formula>
    </cfRule>
    <cfRule type="cellIs" dxfId="213" priority="66" stopIfTrue="1" operator="equal">
      <formula>$AD$3</formula>
    </cfRule>
    <cfRule type="cellIs" dxfId="212" priority="75" stopIfTrue="1" operator="equal">
      <formula>$U$3</formula>
    </cfRule>
    <cfRule type="cellIs" dxfId="211" priority="76" stopIfTrue="1" operator="equal">
      <formula>$T$3</formula>
    </cfRule>
    <cfRule type="cellIs" dxfId="210" priority="74" stopIfTrue="1" operator="equal">
      <formula>$V$3</formula>
    </cfRule>
  </conditionalFormatting>
  <conditionalFormatting sqref="H7:BT12">
    <cfRule type="cellIs" dxfId="209" priority="121" operator="equal">
      <formula>"H1"</formula>
    </cfRule>
    <cfRule type="cellIs" dxfId="208" priority="90" operator="equal">
      <formula>"R6"</formula>
    </cfRule>
    <cfRule type="cellIs" dxfId="207" priority="91" operator="equal">
      <formula>"R5"</formula>
    </cfRule>
    <cfRule type="cellIs" dxfId="206" priority="92" operator="equal">
      <formula>"R4"</formula>
    </cfRule>
    <cfRule type="cellIs" dxfId="205" priority="93" operator="equal">
      <formula>"R3"</formula>
    </cfRule>
    <cfRule type="cellIs" dxfId="204" priority="94" operator="equal">
      <formula>"R2"</formula>
    </cfRule>
    <cfRule type="cellIs" dxfId="203" priority="95" operator="equal">
      <formula>"R1"</formula>
    </cfRule>
    <cfRule type="cellIs" dxfId="202" priority="96" operator="equal">
      <formula>"R"</formula>
    </cfRule>
    <cfRule type="cellIs" dxfId="201" priority="97" operator="equal">
      <formula>"TEA"</formula>
    </cfRule>
    <cfRule type="cellIs" dxfId="200" priority="98" operator="equal">
      <formula>"BIN"</formula>
    </cfRule>
    <cfRule type="cellIs" dxfId="199" priority="99" operator="equal">
      <formula>"KIDS"</formula>
    </cfRule>
    <cfRule type="cellIs" dxfId="198" priority="100" operator="equal">
      <formula>"CR"</formula>
    </cfRule>
    <cfRule type="cellIs" dxfId="197" priority="101" operator="equal">
      <formula>"FB"</formula>
    </cfRule>
    <cfRule type="cellIs" dxfId="196" priority="102" operator="equal">
      <formula>"FFR"</formula>
    </cfRule>
    <cfRule type="cellIs" dxfId="195" priority="103" operator="equal">
      <formula>"F"</formula>
    </cfRule>
    <cfRule type="cellIs" dxfId="194" priority="104" operator="equal">
      <formula>"PEN"</formula>
    </cfRule>
    <cfRule type="cellIs" dxfId="193" priority="105" operator="equal">
      <formula>"TW"</formula>
    </cfRule>
    <cfRule type="cellIs" dxfId="192" priority="106" operator="equal">
      <formula>"AD"</formula>
    </cfRule>
    <cfRule type="cellIs" dxfId="191" priority="107" operator="equal">
      <formula>"SY"</formula>
    </cfRule>
    <cfRule type="cellIs" dxfId="190" priority="108" operator="equal">
      <formula>"CSYS"</formula>
    </cfRule>
    <cfRule type="cellIs" dxfId="189" priority="109" operator="equal">
      <formula>"HHR"</formula>
    </cfRule>
    <cfRule type="cellIs" dxfId="188" priority="110" operator="equal">
      <formula>"HH"</formula>
    </cfRule>
    <cfRule type="cellIs" dxfId="187" priority="111" operator="equal">
      <formula>"STAFF"</formula>
    </cfRule>
    <cfRule type="cellIs" dxfId="186" priority="112" operator="equal">
      <formula>"LINW"</formula>
    </cfRule>
    <cfRule type="cellIs" dxfId="185" priority="113" operator="equal">
      <formula>"MINW"</formula>
    </cfRule>
    <cfRule type="cellIs" dxfId="184" priority="114" operator="equal">
      <formula>"ACC"</formula>
    </cfRule>
    <cfRule type="cellIs" dxfId="183" priority="115" operator="equal">
      <formula>"H"</formula>
    </cfRule>
    <cfRule type="cellIs" dxfId="182" priority="116" operator="equal">
      <formula>"ASM"</formula>
    </cfRule>
    <cfRule type="cellIs" dxfId="181" priority="117" operator="equal">
      <formula>"SM"</formula>
    </cfRule>
    <cfRule type="cellIs" dxfId="180" priority="118" operator="equal">
      <formula>"EMB"</formula>
    </cfRule>
    <cfRule type="cellIs" dxfId="179" priority="119" operator="equal">
      <formula>"H3"</formula>
    </cfRule>
    <cfRule type="cellIs" dxfId="178" priority="120" operator="equal">
      <formula>"H2"</formula>
    </cfRule>
  </conditionalFormatting>
  <conditionalFormatting sqref="H17:BT103">
    <cfRule type="cellIs" dxfId="177" priority="126" stopIfTrue="1" operator="equal">
      <formula>$Z$3</formula>
    </cfRule>
    <cfRule type="cellIs" dxfId="176" priority="122" stopIfTrue="1" operator="equal">
      <formula>$AD$3</formula>
    </cfRule>
    <cfRule type="cellIs" dxfId="175" priority="123" stopIfTrue="1" operator="equal">
      <formula>$AB$3</formula>
    </cfRule>
    <cfRule type="cellIs" dxfId="174" priority="124" stopIfTrue="1" operator="equal">
      <formula>$AC$3</formula>
    </cfRule>
    <cfRule type="cellIs" dxfId="173" priority="125" stopIfTrue="1" operator="equal">
      <formula>$AA$3</formula>
    </cfRule>
    <cfRule type="cellIs" dxfId="172" priority="131" stopIfTrue="1" operator="equal">
      <formula>$U$3</formula>
    </cfRule>
    <cfRule type="cellIs" dxfId="171" priority="127" stopIfTrue="1" operator="equal">
      <formula>$Y$3</formula>
    </cfRule>
    <cfRule type="cellIs" dxfId="170" priority="128" stopIfTrue="1" operator="equal">
      <formula>$X$3</formula>
    </cfRule>
    <cfRule type="cellIs" dxfId="169" priority="129" stopIfTrue="1" operator="equal">
      <formula>$W$3</formula>
    </cfRule>
    <cfRule type="cellIs" dxfId="168" priority="130" stopIfTrue="1" operator="equal">
      <formula>$V$3</formula>
    </cfRule>
    <cfRule type="cellIs" dxfId="167" priority="132" stopIfTrue="1" operator="equal">
      <formula>$T$3</formula>
    </cfRule>
    <cfRule type="containsBlanks" dxfId="166" priority="133" stopIfTrue="1">
      <formula>LEN(TRIM(H17))=0</formula>
    </cfRule>
  </conditionalFormatting>
  <conditionalFormatting sqref="T3:AW3">
    <cfRule type="containsBlanks" dxfId="165" priority="65" stopIfTrue="1">
      <formula>LEN(TRIM(T3))=0</formula>
    </cfRule>
  </conditionalFormatting>
  <conditionalFormatting sqref="BT5:BT6 H16:BJ16">
    <cfRule type="cellIs" dxfId="164" priority="205" operator="equal">
      <formula>"R6"</formula>
    </cfRule>
    <cfRule type="cellIs" dxfId="163" priority="206" operator="equal">
      <formula>"R5"</formula>
    </cfRule>
    <cfRule type="cellIs" dxfId="162" priority="207" operator="equal">
      <formula>"R4"</formula>
    </cfRule>
    <cfRule type="cellIs" dxfId="161" priority="208" operator="equal">
      <formula>"R3"</formula>
    </cfRule>
    <cfRule type="cellIs" dxfId="160" priority="209" operator="equal">
      <formula>"R2"</formula>
    </cfRule>
    <cfRule type="cellIs" dxfId="159" priority="210" operator="equal">
      <formula>"R1"</formula>
    </cfRule>
    <cfRule type="cellIs" dxfId="158" priority="211" operator="equal">
      <formula>"R"</formula>
    </cfRule>
    <cfRule type="cellIs" dxfId="157" priority="212" operator="equal">
      <formula>"TEA"</formula>
    </cfRule>
    <cfRule type="cellIs" dxfId="156" priority="213" operator="equal">
      <formula>"BIN"</formula>
    </cfRule>
    <cfRule type="cellIs" dxfId="155" priority="214" operator="equal">
      <formula>"KIDS"</formula>
    </cfRule>
    <cfRule type="cellIs" dxfId="154" priority="215" operator="equal">
      <formula>"CR"</formula>
    </cfRule>
    <cfRule type="cellIs" dxfId="153" priority="216" operator="equal">
      <formula>"FB"</formula>
    </cfRule>
    <cfRule type="cellIs" dxfId="152" priority="217" operator="equal">
      <formula>"FFR"</formula>
    </cfRule>
    <cfRule type="cellIs" dxfId="151" priority="218" operator="equal">
      <formula>"F"</formula>
    </cfRule>
    <cfRule type="cellIs" dxfId="150" priority="219" operator="equal">
      <formula>"PEN"</formula>
    </cfRule>
    <cfRule type="cellIs" dxfId="149" priority="220" operator="equal">
      <formula>"TW"</formula>
    </cfRule>
    <cfRule type="cellIs" dxfId="148" priority="221" operator="equal">
      <formula>"AD"</formula>
    </cfRule>
    <cfRule type="cellIs" dxfId="147" priority="222" operator="equal">
      <formula>"SY"</formula>
    </cfRule>
    <cfRule type="cellIs" dxfId="146" priority="223" operator="equal">
      <formula>"CSYS"</formula>
    </cfRule>
    <cfRule type="cellIs" dxfId="145" priority="224" operator="equal">
      <formula>"HHR"</formula>
    </cfRule>
    <cfRule type="cellIs" dxfId="144" priority="225" operator="equal">
      <formula>"HH"</formula>
    </cfRule>
    <cfRule type="cellIs" dxfId="143" priority="226" operator="equal">
      <formula>"STAFF"</formula>
    </cfRule>
    <cfRule type="cellIs" dxfId="142" priority="227" operator="equal">
      <formula>"LINW"</formula>
    </cfRule>
    <cfRule type="cellIs" dxfId="141" priority="228" operator="equal">
      <formula>"MINW"</formula>
    </cfRule>
    <cfRule type="cellIs" dxfId="140" priority="229" operator="equal">
      <formula>"ACC"</formula>
    </cfRule>
    <cfRule type="cellIs" dxfId="139" priority="230" operator="equal">
      <formula>"H"</formula>
    </cfRule>
    <cfRule type="cellIs" dxfId="138" priority="231" operator="equal">
      <formula>"ASM"</formula>
    </cfRule>
    <cfRule type="cellIs" dxfId="137" priority="232" operator="equal">
      <formula>"SM"</formula>
    </cfRule>
    <cfRule type="cellIs" dxfId="136" priority="233" operator="equal">
      <formula>"EMB"</formula>
    </cfRule>
    <cfRule type="cellIs" dxfId="135" priority="234" operator="equal">
      <formula>"H3"</formula>
    </cfRule>
    <cfRule type="cellIs" dxfId="134" priority="235" operator="equal">
      <formula>"H2"</formula>
    </cfRule>
    <cfRule type="cellIs" dxfId="133" priority="236" operator="equal">
      <formula>"H1"</formula>
    </cfRule>
  </conditionalFormatting>
  <pageMargins left="0.7" right="0.7" top="0.75" bottom="0.75" header="0.3" footer="0.3"/>
  <ignoredErrors>
    <ignoredError sqref="H17:BT103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79998168889431442"/>
    <pageSetUpPr fitToPage="1"/>
  </sheetPr>
  <dimension ref="B1:BV103"/>
  <sheetViews>
    <sheetView zoomScale="70" zoomScaleNormal="70" workbookViewId="0">
      <selection activeCell="B17" sqref="B17"/>
    </sheetView>
  </sheetViews>
  <sheetFormatPr defaultColWidth="8.85546875" defaultRowHeight="12.6" outlineLevelCol="1"/>
  <cols>
    <col min="1" max="1" width="1.5703125" style="93" customWidth="1"/>
    <col min="2" max="2" width="5" style="93" customWidth="1"/>
    <col min="3" max="3" width="17.42578125" style="93" bestFit="1" customWidth="1"/>
    <col min="4" max="4" width="11.140625" style="93" hidden="1" customWidth="1"/>
    <col min="5" max="5" width="6.140625" style="93" customWidth="1"/>
    <col min="6" max="7" width="8" style="93" customWidth="1"/>
    <col min="8" max="13" width="3.85546875" style="94" hidden="1" customWidth="1" outlineLevel="1"/>
    <col min="14" max="14" width="3.85546875" style="94" hidden="1" customWidth="1" collapsed="1"/>
    <col min="15" max="15" width="3.85546875" style="94" hidden="1" customWidth="1"/>
    <col min="16" max="57" width="3.85546875" style="94" customWidth="1"/>
    <col min="58" max="59" width="3.85546875" style="94" customWidth="1" outlineLevel="1"/>
    <col min="60" max="71" width="3.85546875" style="93" hidden="1" customWidth="1" outlineLevel="1"/>
    <col min="72" max="72" width="8.85546875" style="93" hidden="1" customWidth="1" outlineLevel="1"/>
    <col min="73" max="16384" width="8.85546875" style="93"/>
  </cols>
  <sheetData>
    <row r="1" spans="2:74" customFormat="1" ht="5.45" customHeight="1"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1"/>
      <c r="BE1" s="1"/>
      <c r="BF1" s="1"/>
      <c r="BG1" s="1"/>
    </row>
    <row r="2" spans="2:74" customFormat="1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38" t="s">
        <v>327</v>
      </c>
      <c r="U2" s="138"/>
      <c r="V2" s="138"/>
      <c r="W2" s="138"/>
      <c r="X2" s="138"/>
      <c r="Y2" s="138" t="s">
        <v>229</v>
      </c>
      <c r="Z2" s="138"/>
      <c r="AA2" s="138"/>
      <c r="AB2" s="138"/>
      <c r="AC2" s="138"/>
      <c r="AD2" s="47" t="s">
        <v>231</v>
      </c>
      <c r="AE2" s="138" t="s">
        <v>328</v>
      </c>
      <c r="AF2" s="138"/>
      <c r="AG2" s="138"/>
      <c r="AH2" s="138" t="s">
        <v>329</v>
      </c>
      <c r="AI2" s="138"/>
      <c r="AJ2" s="138"/>
      <c r="AK2" s="138"/>
      <c r="AL2" s="138" t="s">
        <v>330</v>
      </c>
      <c r="AM2" s="138"/>
      <c r="AN2" s="138" t="s">
        <v>248</v>
      </c>
      <c r="AO2" s="138"/>
      <c r="AP2" s="138"/>
      <c r="AQ2" s="138"/>
      <c r="AR2" s="138"/>
      <c r="AS2" s="138"/>
      <c r="AT2" s="138" t="s">
        <v>331</v>
      </c>
      <c r="AU2" s="138"/>
      <c r="AV2" s="138"/>
      <c r="AW2" s="138"/>
      <c r="AX2" s="2"/>
      <c r="AY2" s="2"/>
      <c r="AZ2" s="2"/>
      <c r="BA2" s="2"/>
      <c r="BB2" s="2"/>
      <c r="BC2" s="1"/>
      <c r="BD2" s="1"/>
      <c r="BE2" s="1"/>
      <c r="BF2" s="1"/>
      <c r="BG2" s="1"/>
    </row>
    <row r="3" spans="2:74" customForma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6" t="s">
        <v>210</v>
      </c>
      <c r="U3" s="17" t="s">
        <v>212</v>
      </c>
      <c r="V3" s="18" t="s">
        <v>214</v>
      </c>
      <c r="W3" s="20" t="s">
        <v>216</v>
      </c>
      <c r="X3" s="19" t="s">
        <v>218</v>
      </c>
      <c r="Y3" s="11" t="s">
        <v>220</v>
      </c>
      <c r="Z3" s="12" t="s">
        <v>222</v>
      </c>
      <c r="AA3" s="14" t="s">
        <v>224</v>
      </c>
      <c r="AB3" s="15" t="s">
        <v>226</v>
      </c>
      <c r="AC3" s="13" t="s">
        <v>228</v>
      </c>
      <c r="AD3" s="42" t="s">
        <v>230</v>
      </c>
      <c r="AE3" s="46">
        <v>40</v>
      </c>
      <c r="AF3" s="46">
        <v>15</v>
      </c>
      <c r="AG3" s="46">
        <v>10</v>
      </c>
      <c r="AH3" s="40" t="s">
        <v>235</v>
      </c>
      <c r="AI3" s="41" t="s">
        <v>237</v>
      </c>
      <c r="AJ3" s="45" t="s">
        <v>239</v>
      </c>
      <c r="AK3" s="21" t="s">
        <v>241</v>
      </c>
      <c r="AL3" s="43" t="s">
        <v>243</v>
      </c>
      <c r="AM3" s="44" t="s">
        <v>245</v>
      </c>
      <c r="AN3" s="39" t="s">
        <v>247</v>
      </c>
      <c r="AO3" s="39" t="s">
        <v>249</v>
      </c>
      <c r="AP3" s="39" t="s">
        <v>251</v>
      </c>
      <c r="AQ3" s="39" t="s">
        <v>253</v>
      </c>
      <c r="AR3" s="39" t="s">
        <v>255</v>
      </c>
      <c r="AS3" s="39" t="s">
        <v>257</v>
      </c>
      <c r="AT3" s="10" t="s">
        <v>259</v>
      </c>
      <c r="AU3" s="10" t="s">
        <v>261</v>
      </c>
      <c r="AV3" s="10" t="s">
        <v>263</v>
      </c>
      <c r="AW3" s="10" t="s">
        <v>265</v>
      </c>
      <c r="AX3" s="2"/>
      <c r="AY3" s="2"/>
      <c r="AZ3" s="2"/>
      <c r="BA3" s="2"/>
      <c r="BB3" s="2"/>
      <c r="BC3" s="1"/>
      <c r="BD3" s="1"/>
      <c r="BE3" s="1"/>
      <c r="BF3" s="1"/>
      <c r="BG3" s="1"/>
    </row>
    <row r="4" spans="2:74" customFormat="1" ht="6" customHeight="1"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1"/>
      <c r="BD4" s="1"/>
      <c r="BE4" s="1"/>
      <c r="BF4" s="1"/>
      <c r="BG4" s="1"/>
    </row>
    <row r="5" spans="2:74" customFormat="1" ht="10.7" customHeight="1">
      <c r="C5" s="8" t="str">
        <f>Weekly!Y2</f>
        <v xml:space="preserve"> Sun Nov 16</v>
      </c>
      <c r="H5" s="139">
        <v>7</v>
      </c>
      <c r="I5" s="140"/>
      <c r="J5" s="140"/>
      <c r="K5" s="141"/>
      <c r="L5" s="139">
        <v>8</v>
      </c>
      <c r="M5" s="140"/>
      <c r="N5" s="140"/>
      <c r="O5" s="141"/>
      <c r="P5" s="139">
        <v>9</v>
      </c>
      <c r="Q5" s="140"/>
      <c r="R5" s="140"/>
      <c r="S5" s="141"/>
      <c r="T5" s="139">
        <v>10</v>
      </c>
      <c r="U5" s="140"/>
      <c r="V5" s="140"/>
      <c r="W5" s="141"/>
      <c r="X5" s="139">
        <v>11</v>
      </c>
      <c r="Y5" s="140"/>
      <c r="Z5" s="140"/>
      <c r="AA5" s="141"/>
      <c r="AB5" s="139">
        <v>12</v>
      </c>
      <c r="AC5" s="140"/>
      <c r="AD5" s="140"/>
      <c r="AE5" s="141"/>
      <c r="AF5" s="139">
        <v>13</v>
      </c>
      <c r="AG5" s="140"/>
      <c r="AH5" s="140"/>
      <c r="AI5" s="141"/>
      <c r="AJ5" s="139">
        <v>14</v>
      </c>
      <c r="AK5" s="140"/>
      <c r="AL5" s="140"/>
      <c r="AM5" s="141"/>
      <c r="AN5" s="139">
        <v>15</v>
      </c>
      <c r="AO5" s="140"/>
      <c r="AP5" s="140"/>
      <c r="AQ5" s="141"/>
      <c r="AR5" s="139">
        <v>16</v>
      </c>
      <c r="AS5" s="140"/>
      <c r="AT5" s="140"/>
      <c r="AU5" s="141"/>
      <c r="AV5" s="139">
        <v>17</v>
      </c>
      <c r="AW5" s="140"/>
      <c r="AX5" s="140"/>
      <c r="AY5" s="141"/>
      <c r="AZ5" s="139">
        <v>18</v>
      </c>
      <c r="BA5" s="140"/>
      <c r="BB5" s="140"/>
      <c r="BC5" s="141"/>
      <c r="BD5" s="139">
        <v>19</v>
      </c>
      <c r="BE5" s="140"/>
      <c r="BF5" s="140"/>
      <c r="BG5" s="141"/>
      <c r="BH5" s="139">
        <v>20</v>
      </c>
      <c r="BI5" s="140"/>
      <c r="BJ5" s="140"/>
      <c r="BK5" s="141"/>
      <c r="BL5" s="139">
        <v>21</v>
      </c>
      <c r="BM5" s="140"/>
      <c r="BN5" s="140"/>
      <c r="BO5" s="141"/>
      <c r="BP5" s="139">
        <v>22</v>
      </c>
      <c r="BQ5" s="140"/>
      <c r="BR5" s="140"/>
      <c r="BS5" s="141"/>
    </row>
    <row r="6" spans="2:74" customFormat="1" ht="12.95">
      <c r="C6" s="8"/>
      <c r="H6" s="100" t="s">
        <v>332</v>
      </c>
      <c r="I6" s="98">
        <v>15</v>
      </c>
      <c r="J6" s="98">
        <v>30</v>
      </c>
      <c r="K6" s="99">
        <v>45</v>
      </c>
      <c r="L6" s="100" t="s">
        <v>332</v>
      </c>
      <c r="M6" s="98">
        <v>15</v>
      </c>
      <c r="N6" s="98">
        <v>30</v>
      </c>
      <c r="O6" s="99">
        <v>45</v>
      </c>
      <c r="P6" s="100" t="s">
        <v>332</v>
      </c>
      <c r="Q6" s="98">
        <v>15</v>
      </c>
      <c r="R6" s="98">
        <v>30</v>
      </c>
      <c r="S6" s="99">
        <v>45</v>
      </c>
      <c r="T6" s="100" t="s">
        <v>332</v>
      </c>
      <c r="U6" s="98">
        <v>15</v>
      </c>
      <c r="V6" s="98">
        <v>30</v>
      </c>
      <c r="W6" s="99">
        <v>45</v>
      </c>
      <c r="X6" s="100" t="s">
        <v>332</v>
      </c>
      <c r="Y6" s="98">
        <v>15</v>
      </c>
      <c r="Z6" s="98">
        <v>30</v>
      </c>
      <c r="AA6" s="99">
        <v>45</v>
      </c>
      <c r="AB6" s="100" t="s">
        <v>332</v>
      </c>
      <c r="AC6" s="98">
        <v>15</v>
      </c>
      <c r="AD6" s="98">
        <v>30</v>
      </c>
      <c r="AE6" s="99">
        <v>45</v>
      </c>
      <c r="AF6" s="100" t="s">
        <v>332</v>
      </c>
      <c r="AG6" s="98">
        <v>15</v>
      </c>
      <c r="AH6" s="98">
        <v>30</v>
      </c>
      <c r="AI6" s="99">
        <v>45</v>
      </c>
      <c r="AJ6" s="100" t="s">
        <v>332</v>
      </c>
      <c r="AK6" s="98">
        <v>15</v>
      </c>
      <c r="AL6" s="98">
        <v>30</v>
      </c>
      <c r="AM6" s="99">
        <v>45</v>
      </c>
      <c r="AN6" s="100" t="s">
        <v>332</v>
      </c>
      <c r="AO6" s="98">
        <v>15</v>
      </c>
      <c r="AP6" s="98">
        <v>30</v>
      </c>
      <c r="AQ6" s="99">
        <v>45</v>
      </c>
      <c r="AR6" s="100" t="s">
        <v>332</v>
      </c>
      <c r="AS6" s="98">
        <v>15</v>
      </c>
      <c r="AT6" s="98">
        <v>30</v>
      </c>
      <c r="AU6" s="99">
        <v>45</v>
      </c>
      <c r="AV6" s="100" t="s">
        <v>332</v>
      </c>
      <c r="AW6" s="98">
        <v>15</v>
      </c>
      <c r="AX6" s="98">
        <v>30</v>
      </c>
      <c r="AY6" s="99">
        <v>45</v>
      </c>
      <c r="AZ6" s="100" t="s">
        <v>332</v>
      </c>
      <c r="BA6" s="98">
        <v>15</v>
      </c>
      <c r="BB6" s="98">
        <v>30</v>
      </c>
      <c r="BC6" s="99">
        <v>45</v>
      </c>
      <c r="BD6" s="100" t="s">
        <v>332</v>
      </c>
      <c r="BE6" s="98">
        <v>15</v>
      </c>
      <c r="BF6" s="98">
        <v>30</v>
      </c>
      <c r="BG6" s="99">
        <v>45</v>
      </c>
      <c r="BH6" s="100" t="s">
        <v>332</v>
      </c>
      <c r="BI6" s="98">
        <v>15</v>
      </c>
      <c r="BJ6" s="98">
        <v>30</v>
      </c>
      <c r="BK6" s="99">
        <v>45</v>
      </c>
      <c r="BL6" s="100" t="s">
        <v>332</v>
      </c>
      <c r="BM6" s="98">
        <v>15</v>
      </c>
      <c r="BN6" s="98">
        <v>30</v>
      </c>
      <c r="BO6" s="99">
        <v>45</v>
      </c>
      <c r="BP6" s="100" t="s">
        <v>332</v>
      </c>
      <c r="BQ6" s="98">
        <v>15</v>
      </c>
      <c r="BR6" s="98">
        <v>30</v>
      </c>
      <c r="BS6" s="99">
        <v>45</v>
      </c>
    </row>
    <row r="7" spans="2:74" customFormat="1" ht="10.35" customHeight="1">
      <c r="G7" s="24" t="s">
        <v>236</v>
      </c>
      <c r="H7" s="22">
        <f>COUNTIF(H15:H101,"R")</f>
        <v>0</v>
      </c>
      <c r="I7" s="22">
        <f t="shared" ref="I7:BT7" si="0">COUNTIF(I15:I101,"R")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4" customFormat="1" ht="10.35" customHeight="1">
      <c r="G8" s="24" t="s">
        <v>238</v>
      </c>
      <c r="H8" s="22">
        <f>COUNTIF(H15:H101,"FR")</f>
        <v>0</v>
      </c>
      <c r="I8" s="22">
        <f t="shared" ref="I8:BT8" si="1">COUNTIF(I15:I101,"FR")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4" customFormat="1" ht="10.35" customHeight="1">
      <c r="G9" s="24" t="s">
        <v>333</v>
      </c>
      <c r="H9" s="22">
        <f>COUNTIF(H15:H101,"LD")</f>
        <v>0</v>
      </c>
      <c r="I9" s="22">
        <f t="shared" ref="I9:BT9" si="2">COUNTIF(I15:I101,"LD")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4" customFormat="1" ht="10.35" customHeight="1">
      <c r="G10" s="24" t="s">
        <v>242</v>
      </c>
      <c r="H10" s="22">
        <f>COUNTIF(H15:H101,"GR")</f>
        <v>0</v>
      </c>
      <c r="I10" s="22">
        <f t="shared" ref="I10:BT10" si="3">COUNTIF(I15:I101,"GR")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4" customFormat="1" ht="10.35" customHeight="1">
      <c r="G11" s="23" t="s">
        <v>334</v>
      </c>
      <c r="H11" s="22">
        <f>COUNTIF(H15:H101,"?*")</f>
        <v>1</v>
      </c>
      <c r="I11" s="22">
        <f t="shared" ref="I11:BT11" si="4">COUNTIF(I15:I101,"?*")</f>
        <v>0</v>
      </c>
      <c r="J11" s="22">
        <f t="shared" si="4"/>
        <v>0</v>
      </c>
      <c r="K11" s="22">
        <f t="shared" si="4"/>
        <v>0</v>
      </c>
      <c r="L11" s="22">
        <f t="shared" si="4"/>
        <v>1</v>
      </c>
      <c r="M11" s="22">
        <f t="shared" si="4"/>
        <v>0</v>
      </c>
      <c r="N11" s="22">
        <f t="shared" si="4"/>
        <v>0</v>
      </c>
      <c r="O11" s="22">
        <f t="shared" si="4"/>
        <v>0</v>
      </c>
      <c r="P11" s="22">
        <f t="shared" si="4"/>
        <v>9</v>
      </c>
      <c r="Q11" s="22">
        <f t="shared" si="4"/>
        <v>8</v>
      </c>
      <c r="R11" s="22">
        <f t="shared" si="4"/>
        <v>8</v>
      </c>
      <c r="S11" s="22">
        <f t="shared" si="4"/>
        <v>8</v>
      </c>
      <c r="T11" s="22">
        <f t="shared" si="4"/>
        <v>9</v>
      </c>
      <c r="U11" s="22">
        <f t="shared" si="4"/>
        <v>8</v>
      </c>
      <c r="V11" s="22">
        <f t="shared" si="4"/>
        <v>8</v>
      </c>
      <c r="W11" s="22">
        <f t="shared" si="4"/>
        <v>8</v>
      </c>
      <c r="X11" s="22">
        <f t="shared" si="4"/>
        <v>10</v>
      </c>
      <c r="Y11" s="22">
        <f t="shared" si="4"/>
        <v>9</v>
      </c>
      <c r="Z11" s="22">
        <f t="shared" si="4"/>
        <v>9</v>
      </c>
      <c r="AA11" s="22">
        <f t="shared" si="4"/>
        <v>9</v>
      </c>
      <c r="AB11" s="22">
        <f t="shared" si="4"/>
        <v>18</v>
      </c>
      <c r="AC11" s="22">
        <f t="shared" si="4"/>
        <v>17</v>
      </c>
      <c r="AD11" s="22">
        <f t="shared" si="4"/>
        <v>17</v>
      </c>
      <c r="AE11" s="22">
        <f t="shared" si="4"/>
        <v>17</v>
      </c>
      <c r="AF11" s="22">
        <f t="shared" si="4"/>
        <v>18</v>
      </c>
      <c r="AG11" s="22">
        <f t="shared" si="4"/>
        <v>17</v>
      </c>
      <c r="AH11" s="22">
        <f t="shared" si="4"/>
        <v>17</v>
      </c>
      <c r="AI11" s="22">
        <f t="shared" si="4"/>
        <v>17</v>
      </c>
      <c r="AJ11" s="22">
        <f t="shared" si="4"/>
        <v>17</v>
      </c>
      <c r="AK11" s="22">
        <f t="shared" si="4"/>
        <v>16</v>
      </c>
      <c r="AL11" s="22">
        <f t="shared" si="4"/>
        <v>16</v>
      </c>
      <c r="AM11" s="22">
        <f t="shared" si="4"/>
        <v>16</v>
      </c>
      <c r="AN11" s="22">
        <f t="shared" si="4"/>
        <v>17</v>
      </c>
      <c r="AO11" s="22">
        <f t="shared" si="4"/>
        <v>16</v>
      </c>
      <c r="AP11" s="22">
        <f t="shared" si="4"/>
        <v>16</v>
      </c>
      <c r="AQ11" s="22">
        <f t="shared" si="4"/>
        <v>16</v>
      </c>
      <c r="AR11" s="22">
        <f t="shared" si="4"/>
        <v>17</v>
      </c>
      <c r="AS11" s="22">
        <f t="shared" si="4"/>
        <v>16</v>
      </c>
      <c r="AT11" s="22">
        <f t="shared" si="4"/>
        <v>16</v>
      </c>
      <c r="AU11" s="22">
        <f t="shared" si="4"/>
        <v>16</v>
      </c>
      <c r="AV11" s="22">
        <f t="shared" si="4"/>
        <v>10</v>
      </c>
      <c r="AW11" s="22">
        <f t="shared" si="4"/>
        <v>9</v>
      </c>
      <c r="AX11" s="22">
        <f t="shared" si="4"/>
        <v>9</v>
      </c>
      <c r="AY11" s="22">
        <f t="shared" si="4"/>
        <v>9</v>
      </c>
      <c r="AZ11" s="22">
        <f t="shared" si="4"/>
        <v>10</v>
      </c>
      <c r="BA11" s="22">
        <f t="shared" si="4"/>
        <v>9</v>
      </c>
      <c r="BB11" s="22">
        <f t="shared" si="4"/>
        <v>9</v>
      </c>
      <c r="BC11" s="22">
        <f t="shared" si="4"/>
        <v>9</v>
      </c>
      <c r="BD11" s="22">
        <f t="shared" si="4"/>
        <v>9</v>
      </c>
      <c r="BE11" s="22">
        <f t="shared" si="4"/>
        <v>8</v>
      </c>
      <c r="BF11" s="22">
        <f t="shared" si="4"/>
        <v>8</v>
      </c>
      <c r="BG11" s="22">
        <f t="shared" si="4"/>
        <v>8</v>
      </c>
      <c r="BH11" s="22">
        <f t="shared" si="4"/>
        <v>1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1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1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4" customFormat="1" ht="16.7" hidden="1" customHeight="1">
      <c r="G12" s="23"/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</row>
    <row r="13" spans="2:74" customFormat="1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4" customFormat="1" ht="10.7" customHeight="1">
      <c r="H14" s="142">
        <v>7</v>
      </c>
      <c r="I14" s="143"/>
      <c r="J14" s="143"/>
      <c r="K14" s="144"/>
      <c r="L14" s="142">
        <v>8</v>
      </c>
      <c r="M14" s="143"/>
      <c r="N14" s="143"/>
      <c r="O14" s="144"/>
      <c r="P14" s="142">
        <v>9</v>
      </c>
      <c r="Q14" s="143"/>
      <c r="R14" s="143"/>
      <c r="S14" s="144"/>
      <c r="T14" s="142">
        <v>10</v>
      </c>
      <c r="U14" s="143"/>
      <c r="V14" s="143"/>
      <c r="W14" s="144"/>
      <c r="X14" s="142">
        <v>11</v>
      </c>
      <c r="Y14" s="143"/>
      <c r="Z14" s="143"/>
      <c r="AA14" s="144"/>
      <c r="AB14" s="142">
        <v>12</v>
      </c>
      <c r="AC14" s="143"/>
      <c r="AD14" s="143"/>
      <c r="AE14" s="144"/>
      <c r="AF14" s="142">
        <v>13</v>
      </c>
      <c r="AG14" s="143"/>
      <c r="AH14" s="143"/>
      <c r="AI14" s="144"/>
      <c r="AJ14" s="142">
        <v>14</v>
      </c>
      <c r="AK14" s="143"/>
      <c r="AL14" s="143"/>
      <c r="AM14" s="144"/>
      <c r="AN14" s="142">
        <v>15</v>
      </c>
      <c r="AO14" s="143"/>
      <c r="AP14" s="143"/>
      <c r="AQ14" s="144"/>
      <c r="AR14" s="142">
        <v>16</v>
      </c>
      <c r="AS14" s="143"/>
      <c r="AT14" s="143"/>
      <c r="AU14" s="144"/>
      <c r="AV14" s="142">
        <v>17</v>
      </c>
      <c r="AW14" s="143"/>
      <c r="AX14" s="143"/>
      <c r="AY14" s="144"/>
      <c r="AZ14" s="142">
        <v>18</v>
      </c>
      <c r="BA14" s="143"/>
      <c r="BB14" s="143"/>
      <c r="BC14" s="144"/>
      <c r="BD14" s="142">
        <v>19</v>
      </c>
      <c r="BE14" s="143"/>
      <c r="BF14" s="143"/>
      <c r="BG14" s="144"/>
      <c r="BH14" s="142">
        <v>20</v>
      </c>
      <c r="BI14" s="143"/>
      <c r="BJ14" s="143"/>
      <c r="BK14" s="144"/>
      <c r="BL14" s="142">
        <v>21</v>
      </c>
      <c r="BM14" s="143"/>
      <c r="BN14" s="143"/>
      <c r="BO14" s="144"/>
      <c r="BP14" s="142">
        <v>22</v>
      </c>
      <c r="BQ14" s="143"/>
      <c r="BR14" s="143"/>
      <c r="BS14" s="144"/>
    </row>
    <row r="15" spans="2:74" s="2" customFormat="1" ht="12.95">
      <c r="B15" s="5" t="s">
        <v>284</v>
      </c>
      <c r="C15" s="5" t="s">
        <v>13</v>
      </c>
      <c r="D15" s="5" t="s">
        <v>14</v>
      </c>
      <c r="E15" s="5" t="s">
        <v>335</v>
      </c>
      <c r="F15" s="5" t="s">
        <v>287</v>
      </c>
      <c r="G15" s="97" t="s">
        <v>336</v>
      </c>
      <c r="H15" s="100" t="s">
        <v>332</v>
      </c>
      <c r="I15" s="98">
        <v>15</v>
      </c>
      <c r="J15" s="98">
        <v>30</v>
      </c>
      <c r="K15" s="99">
        <v>45</v>
      </c>
      <c r="L15" s="100" t="s">
        <v>332</v>
      </c>
      <c r="M15" s="98">
        <v>15</v>
      </c>
      <c r="N15" s="98">
        <v>30</v>
      </c>
      <c r="O15" s="99">
        <v>45</v>
      </c>
      <c r="P15" s="100" t="s">
        <v>332</v>
      </c>
      <c r="Q15" s="98">
        <v>15</v>
      </c>
      <c r="R15" s="98">
        <v>30</v>
      </c>
      <c r="S15" s="99">
        <v>45</v>
      </c>
      <c r="T15" s="100" t="s">
        <v>332</v>
      </c>
      <c r="U15" s="98">
        <v>15</v>
      </c>
      <c r="V15" s="98">
        <v>30</v>
      </c>
      <c r="W15" s="99">
        <v>45</v>
      </c>
      <c r="X15" s="100" t="s">
        <v>332</v>
      </c>
      <c r="Y15" s="98">
        <v>15</v>
      </c>
      <c r="Z15" s="98">
        <v>30</v>
      </c>
      <c r="AA15" s="99">
        <v>45</v>
      </c>
      <c r="AB15" s="100" t="s">
        <v>332</v>
      </c>
      <c r="AC15" s="98">
        <v>15</v>
      </c>
      <c r="AD15" s="98">
        <v>30</v>
      </c>
      <c r="AE15" s="99">
        <v>45</v>
      </c>
      <c r="AF15" s="100" t="s">
        <v>332</v>
      </c>
      <c r="AG15" s="98">
        <v>15</v>
      </c>
      <c r="AH15" s="98">
        <v>30</v>
      </c>
      <c r="AI15" s="99">
        <v>45</v>
      </c>
      <c r="AJ15" s="100" t="s">
        <v>332</v>
      </c>
      <c r="AK15" s="98">
        <v>15</v>
      </c>
      <c r="AL15" s="98">
        <v>30</v>
      </c>
      <c r="AM15" s="99">
        <v>45</v>
      </c>
      <c r="AN15" s="100" t="s">
        <v>332</v>
      </c>
      <c r="AO15" s="98">
        <v>15</v>
      </c>
      <c r="AP15" s="98">
        <v>30</v>
      </c>
      <c r="AQ15" s="99">
        <v>45</v>
      </c>
      <c r="AR15" s="100" t="s">
        <v>332</v>
      </c>
      <c r="AS15" s="98">
        <v>15</v>
      </c>
      <c r="AT15" s="98">
        <v>30</v>
      </c>
      <c r="AU15" s="99">
        <v>45</v>
      </c>
      <c r="AV15" s="100" t="s">
        <v>332</v>
      </c>
      <c r="AW15" s="98">
        <v>15</v>
      </c>
      <c r="AX15" s="98">
        <v>30</v>
      </c>
      <c r="AY15" s="99">
        <v>45</v>
      </c>
      <c r="AZ15" s="100" t="s">
        <v>332</v>
      </c>
      <c r="BA15" s="98">
        <v>15</v>
      </c>
      <c r="BB15" s="98">
        <v>30</v>
      </c>
      <c r="BC15" s="99">
        <v>45</v>
      </c>
      <c r="BD15" s="100" t="s">
        <v>332</v>
      </c>
      <c r="BE15" s="98">
        <v>15</v>
      </c>
      <c r="BF15" s="98">
        <v>30</v>
      </c>
      <c r="BG15" s="99">
        <v>45</v>
      </c>
      <c r="BH15" s="100" t="s">
        <v>332</v>
      </c>
      <c r="BI15" s="98">
        <v>15</v>
      </c>
      <c r="BJ15" s="98">
        <v>30</v>
      </c>
      <c r="BK15" s="99">
        <v>45</v>
      </c>
      <c r="BL15" s="100" t="s">
        <v>332</v>
      </c>
      <c r="BM15" s="98">
        <v>15</v>
      </c>
      <c r="BN15" s="98">
        <v>30</v>
      </c>
      <c r="BO15" s="99">
        <v>45</v>
      </c>
      <c r="BP15" s="100" t="s">
        <v>332</v>
      </c>
      <c r="BQ15" s="98">
        <v>15</v>
      </c>
      <c r="BR15" s="98">
        <v>30</v>
      </c>
      <c r="BS15" s="99">
        <v>45</v>
      </c>
      <c r="BT15"/>
      <c r="BU15"/>
      <c r="BV15"/>
    </row>
    <row r="16" spans="2:74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</row>
    <row r="17" spans="2:72">
      <c r="B17" s="81" t="str">
        <f>Weekly!B9</f>
        <v>01509</v>
      </c>
      <c r="C17" s="90" t="str">
        <f>Weekly!C9</f>
        <v>Amy</v>
      </c>
      <c r="D17" s="90" t="str">
        <f>Weekly!D10</f>
        <v>Naritsuka-Hayler</v>
      </c>
      <c r="E17" s="91" t="str">
        <f>VLOOKUP(B17,Team!$B$4:$E$183,4,FALSE)</f>
        <v>L's</v>
      </c>
      <c r="F17" s="92" t="str">
        <f>Weekly!Y9</f>
        <v/>
      </c>
      <c r="G17" s="92" t="str">
        <f>Weekly!Z9</f>
        <v/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/>
      </c>
      <c r="O17" s="84" t="str">
        <f t="shared" ref="O17:O48" si="12">IF(AND($O$12&gt;=$F17,$O$12&lt;$G17),$E17,"")</f>
        <v/>
      </c>
      <c r="P17" s="82" t="str">
        <f t="shared" ref="P17:P48" si="13">IF(AND($P$12&gt;=$F17,$P$12&lt;$G17),$E17,"")</f>
        <v/>
      </c>
      <c r="Q17" s="48" t="str">
        <f t="shared" ref="Q17:Q48" si="14">IF(AND($Q$12&gt;=$F17,$Q$12&lt;$G17),$E17,"")</f>
        <v/>
      </c>
      <c r="R17" s="48" t="str">
        <f t="shared" ref="R17:R48" si="15">IF(AND($R$12&gt;=$F17,$R$12&lt;$G17),$E17,"")</f>
        <v/>
      </c>
      <c r="S17" s="84" t="str">
        <f t="shared" ref="S17:S48" si="16">IF(AND($S$12&gt;=$F17,$S$12&lt;$G17),$E17,"")</f>
        <v/>
      </c>
      <c r="T17" s="82" t="str">
        <f t="shared" ref="T17:T48" si="17">IF(AND($T$12&gt;=$F17,$T$12&lt;$G17),$E17,"")</f>
        <v/>
      </c>
      <c r="U17" s="48" t="str">
        <f t="shared" ref="U17:U48" si="18">IF(AND($U$12&gt;=$F17,$U$12&lt;$G17),$E17,"")</f>
        <v/>
      </c>
      <c r="V17" s="48" t="str">
        <f t="shared" ref="V17:V48" si="19">IF(AND($V$12&gt;=$F17,$V$12&lt;$G17),$E17,"")</f>
        <v/>
      </c>
      <c r="W17" s="84" t="str">
        <f t="shared" ref="W17:W48" si="20">IF(AND($W$12&gt;=$F17,$W$12&lt;$G17),$E17,"")</f>
        <v/>
      </c>
      <c r="X17" s="82" t="str">
        <f t="shared" ref="X17:X48" si="21">IF(AND($X$12&gt;=$F17,$X$12&lt;$G17),$E17,"")</f>
        <v/>
      </c>
      <c r="Y17" s="48" t="str">
        <f t="shared" ref="Y17:Y48" si="22">IF(AND($Y$12&gt;=$F17,$Y$12&lt;$G17),$E17,"")</f>
        <v/>
      </c>
      <c r="Z17" s="48" t="str">
        <f t="shared" ref="Z17:Z48" si="23">IF(AND($Z$12&gt;=$F17,$Z$12&lt;$G17),$E17,"")</f>
        <v/>
      </c>
      <c r="AA17" s="84" t="str">
        <f t="shared" ref="AA17:AA48" si="24">IF(AND($AA$12&gt;=$F17,$AA$12&lt;$G17),$E17,"")</f>
        <v/>
      </c>
      <c r="AB17" s="82" t="str">
        <f t="shared" ref="AB17:AB48" si="25">IF(AND($AB$12&gt;=$F17,$AB$12&lt;$G17),$E17,"")</f>
        <v/>
      </c>
      <c r="AC17" s="48" t="str">
        <f t="shared" ref="AC17:AC48" si="26">IF(AND($AC$12&gt;=$F17,$AC$12&lt;$G17),$E17,"")</f>
        <v/>
      </c>
      <c r="AD17" s="48" t="str">
        <f t="shared" ref="AD17:AD48" si="27">IF(AND($AD$12&gt;=$F17,$AD$12&lt;$G17),$E17,"")</f>
        <v/>
      </c>
      <c r="AE17" s="84" t="str">
        <f t="shared" ref="AE17:AE48" si="28">IF(AND($AE$12&gt;=$F17,$AE$12&lt;$G17),$E17,"")</f>
        <v/>
      </c>
      <c r="AF17" s="82" t="str">
        <f t="shared" ref="AF17:AF48" si="29">IF(AND($AF$12&gt;=$F17,$AF$12&lt;$G17),$E17,"")</f>
        <v/>
      </c>
      <c r="AG17" s="48" t="str">
        <f t="shared" ref="AG17:AG48" si="30">IF(AND($AG$12&gt;=$F17,$AG$12&lt;$G17),$E17,"")</f>
        <v/>
      </c>
      <c r="AH17" s="48" t="str">
        <f t="shared" ref="AH17:AH48" si="31">IF(AND($AH$12&gt;=$F17,$AH$12&lt;$G17),$E17,"")</f>
        <v/>
      </c>
      <c r="AI17" s="84" t="str">
        <f t="shared" ref="AI17:AI48" si="32">IF(AND($AI$12&gt;=$F17,$AI$12&lt;$G17),$E17,"")</f>
        <v/>
      </c>
      <c r="AJ17" s="82" t="str">
        <f t="shared" ref="AJ17:AJ48" si="33">IF(AND($AJ$12&gt;=$F17,$AJ$12&lt;$G17),$E17,"")</f>
        <v/>
      </c>
      <c r="AK17" s="48" t="str">
        <f t="shared" ref="AK17:AK48" si="34">IF(AND($AK$12&gt;=$F17,$AK$12&lt;$G17),$E17,"")</f>
        <v/>
      </c>
      <c r="AL17" s="48" t="str">
        <f t="shared" ref="AL17:AL48" si="35">IF(AND($AL$12&gt;=$F17,$AL$12&lt;$G17),$E17,"")</f>
        <v/>
      </c>
      <c r="AM17" s="84" t="str">
        <f t="shared" ref="AM17:AM48" si="36">IF(AND($AM$12&gt;=$F17,$AM$12&lt;$G17),$E17,"")</f>
        <v/>
      </c>
      <c r="AN17" s="82" t="str">
        <f t="shared" ref="AN17:AN48" si="37">IF(AND($AN$12&gt;=$F17,$AN$12&lt;$G17),$E17,"")</f>
        <v/>
      </c>
      <c r="AO17" s="48" t="str">
        <f t="shared" ref="AO17:AO48" si="38">IF(AND($AO$12&gt;=$F17,$AO$12&lt;$G17),$E17,"")</f>
        <v/>
      </c>
      <c r="AP17" s="48" t="str">
        <f t="shared" ref="AP17:AP48" si="39">IF(AND($AP$12&gt;=$F17,$AP$12&lt;$G17),$E17,"")</f>
        <v/>
      </c>
      <c r="AQ17" s="84" t="str">
        <f t="shared" ref="AQ17:AQ48" si="40">IF(AND($AQ$12&gt;=$F17,$AQ$12&lt;$G17),$E17,"")</f>
        <v/>
      </c>
      <c r="AR17" s="82" t="str">
        <f t="shared" ref="AR17:AR48" si="41">IF(AND($AR$12&gt;=$F17,$AR$12&lt;$G17),$E17,"")</f>
        <v/>
      </c>
      <c r="AS17" s="48" t="str">
        <f t="shared" ref="AS17:AS48" si="42">IF(AND($AS$12&gt;=$F17,$AS$12&lt;$G17),$E17,"")</f>
        <v/>
      </c>
      <c r="AT17" s="48" t="str">
        <f t="shared" ref="AT17:AT48" si="43">IF(AND($AT$12&gt;=$F17,$AT$12&lt;$G17),$E17,"")</f>
        <v/>
      </c>
      <c r="AU17" s="84" t="str">
        <f t="shared" ref="AU17:AU48" si="44">IF(AND($AU$12&gt;=$F17,$AU$12&lt;$G17),$E17,"")</f>
        <v/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/>
    </row>
    <row r="18" spans="2:72">
      <c r="B18" s="81" t="str">
        <f>Weekly!B10</f>
        <v>1175</v>
      </c>
      <c r="C18" s="90" t="str">
        <f>Weekly!C10</f>
        <v>Anna</v>
      </c>
      <c r="D18" s="90" t="str">
        <f>Weekly!D11</f>
        <v>Prashanth</v>
      </c>
      <c r="E18" s="91" t="str">
        <f>VLOOKUP(B18,Team!$B$4:$E$183,4,FALSE)</f>
        <v>H&amp;B</v>
      </c>
      <c r="F18" s="92">
        <f>Weekly!Y10</f>
        <v>0.499999999999999</v>
      </c>
      <c r="G18" s="92">
        <f>Weekly!Z10</f>
        <v>0.83333333333333204</v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/>
      </c>
      <c r="O18" s="84" t="str">
        <f t="shared" si="12"/>
        <v/>
      </c>
      <c r="P18" s="82" t="str">
        <f t="shared" si="13"/>
        <v/>
      </c>
      <c r="Q18" s="48" t="str">
        <f t="shared" si="14"/>
        <v/>
      </c>
      <c r="R18" s="48" t="str">
        <f t="shared" si="15"/>
        <v/>
      </c>
      <c r="S18" s="84" t="str">
        <f t="shared" si="16"/>
        <v/>
      </c>
      <c r="T18" s="82" t="str">
        <f t="shared" si="17"/>
        <v/>
      </c>
      <c r="U18" s="48" t="str">
        <f t="shared" si="18"/>
        <v/>
      </c>
      <c r="V18" s="48" t="str">
        <f t="shared" si="19"/>
        <v/>
      </c>
      <c r="W18" s="84" t="str">
        <f t="shared" si="20"/>
        <v/>
      </c>
      <c r="X18" s="82" t="str">
        <f t="shared" si="21"/>
        <v/>
      </c>
      <c r="Y18" s="48" t="str">
        <f t="shared" si="22"/>
        <v/>
      </c>
      <c r="Z18" s="48" t="str">
        <f t="shared" si="23"/>
        <v/>
      </c>
      <c r="AA18" s="84" t="str">
        <f t="shared" si="24"/>
        <v/>
      </c>
      <c r="AB18" s="82" t="str">
        <f t="shared" si="25"/>
        <v>H&amp;B</v>
      </c>
      <c r="AC18" s="48" t="str">
        <f t="shared" si="26"/>
        <v>H&amp;B</v>
      </c>
      <c r="AD18" s="48" t="str">
        <f t="shared" si="27"/>
        <v>H&amp;B</v>
      </c>
      <c r="AE18" s="84" t="str">
        <f t="shared" si="28"/>
        <v>H&amp;B</v>
      </c>
      <c r="AF18" s="82" t="str">
        <f t="shared" si="29"/>
        <v>H&amp;B</v>
      </c>
      <c r="AG18" s="48" t="str">
        <f t="shared" si="30"/>
        <v>H&amp;B</v>
      </c>
      <c r="AH18" s="48" t="str">
        <f t="shared" si="31"/>
        <v>H&amp;B</v>
      </c>
      <c r="AI18" s="84" t="str">
        <f t="shared" si="32"/>
        <v>H&amp;B</v>
      </c>
      <c r="AJ18" s="82" t="str">
        <f t="shared" si="33"/>
        <v>H&amp;B</v>
      </c>
      <c r="AK18" s="48" t="str">
        <f t="shared" si="34"/>
        <v>H&amp;B</v>
      </c>
      <c r="AL18" s="48" t="str">
        <f t="shared" si="35"/>
        <v>H&amp;B</v>
      </c>
      <c r="AM18" s="84" t="str">
        <f t="shared" si="36"/>
        <v>H&amp;B</v>
      </c>
      <c r="AN18" s="82" t="str">
        <f t="shared" si="37"/>
        <v>H&amp;B</v>
      </c>
      <c r="AO18" s="48" t="str">
        <f t="shared" si="38"/>
        <v>H&amp;B</v>
      </c>
      <c r="AP18" s="48" t="str">
        <f t="shared" si="39"/>
        <v>H&amp;B</v>
      </c>
      <c r="AQ18" s="84" t="str">
        <f t="shared" si="40"/>
        <v>H&amp;B</v>
      </c>
      <c r="AR18" s="82" t="str">
        <f t="shared" si="41"/>
        <v>H&amp;B</v>
      </c>
      <c r="AS18" s="48" t="str">
        <f t="shared" si="42"/>
        <v>H&amp;B</v>
      </c>
      <c r="AT18" s="48" t="str">
        <f t="shared" si="43"/>
        <v>H&amp;B</v>
      </c>
      <c r="AU18" s="84" t="str">
        <f t="shared" si="44"/>
        <v>H&amp;B</v>
      </c>
      <c r="AV18" s="82" t="str">
        <f t="shared" si="45"/>
        <v>H&amp;B</v>
      </c>
      <c r="AW18" s="48" t="str">
        <f t="shared" si="46"/>
        <v>H&amp;B</v>
      </c>
      <c r="AX18" s="48" t="str">
        <f t="shared" si="47"/>
        <v>H&amp;B</v>
      </c>
      <c r="AY18" s="84" t="str">
        <f t="shared" si="48"/>
        <v>H&amp;B</v>
      </c>
      <c r="AZ18" s="82" t="str">
        <f t="shared" si="49"/>
        <v>H&amp;B</v>
      </c>
      <c r="BA18" s="48" t="str">
        <f t="shared" si="50"/>
        <v>H&amp;B</v>
      </c>
      <c r="BB18" s="48" t="str">
        <f t="shared" si="51"/>
        <v>H&amp;B</v>
      </c>
      <c r="BC18" s="84" t="str">
        <f t="shared" si="52"/>
        <v>H&amp;B</v>
      </c>
      <c r="BD18" s="82" t="str">
        <f t="shared" si="53"/>
        <v>H&amp;B</v>
      </c>
      <c r="BE18" s="48" t="str">
        <f t="shared" si="54"/>
        <v>H&amp;B</v>
      </c>
      <c r="BF18" s="48" t="str">
        <f t="shared" si="55"/>
        <v>H&amp;B</v>
      </c>
      <c r="BG18" s="84" t="str">
        <f t="shared" si="56"/>
        <v>H&amp;B</v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/>
    </row>
    <row r="19" spans="2:72">
      <c r="B19" s="81" t="str">
        <f>Weekly!B11</f>
        <v>1041</v>
      </c>
      <c r="C19" s="90" t="str">
        <f>Weekly!C11</f>
        <v>Archana</v>
      </c>
      <c r="D19" s="90" t="str">
        <f>Weekly!D12</f>
        <v>Robertson</v>
      </c>
      <c r="E19" s="91" t="str">
        <f>VLOOKUP(B19,Team!$B$4:$E$183,4,FALSE)</f>
        <v>L's</v>
      </c>
      <c r="F19" s="92" t="str">
        <f>Weekly!Y11</f>
        <v/>
      </c>
      <c r="G19" s="92" t="str">
        <f>Weekly!Z11</f>
        <v/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/>
      </c>
      <c r="Y19" s="48" t="str">
        <f t="shared" si="22"/>
        <v/>
      </c>
      <c r="Z19" s="48" t="str">
        <f t="shared" si="23"/>
        <v/>
      </c>
      <c r="AA19" s="84" t="str">
        <f t="shared" si="24"/>
        <v/>
      </c>
      <c r="AB19" s="82" t="str">
        <f t="shared" si="25"/>
        <v/>
      </c>
      <c r="AC19" s="48" t="str">
        <f t="shared" si="26"/>
        <v/>
      </c>
      <c r="AD19" s="48" t="str">
        <f t="shared" si="27"/>
        <v/>
      </c>
      <c r="AE19" s="84" t="str">
        <f t="shared" si="28"/>
        <v/>
      </c>
      <c r="AF19" s="82" t="str">
        <f t="shared" si="29"/>
        <v/>
      </c>
      <c r="AG19" s="48" t="str">
        <f t="shared" si="30"/>
        <v/>
      </c>
      <c r="AH19" s="48" t="str">
        <f t="shared" si="31"/>
        <v/>
      </c>
      <c r="AI19" s="84" t="str">
        <f t="shared" si="32"/>
        <v/>
      </c>
      <c r="AJ19" s="82" t="str">
        <f t="shared" si="33"/>
        <v/>
      </c>
      <c r="AK19" s="48" t="str">
        <f t="shared" si="34"/>
        <v/>
      </c>
      <c r="AL19" s="48" t="str">
        <f t="shared" si="35"/>
        <v/>
      </c>
      <c r="AM19" s="84" t="str">
        <f t="shared" si="36"/>
        <v/>
      </c>
      <c r="AN19" s="82" t="str">
        <f t="shared" si="37"/>
        <v/>
      </c>
      <c r="AO19" s="48" t="str">
        <f t="shared" si="38"/>
        <v/>
      </c>
      <c r="AP19" s="48" t="str">
        <f t="shared" si="39"/>
        <v/>
      </c>
      <c r="AQ19" s="84" t="str">
        <f t="shared" si="40"/>
        <v/>
      </c>
      <c r="AR19" s="82" t="str">
        <f t="shared" si="41"/>
        <v/>
      </c>
      <c r="AS19" s="48" t="str">
        <f t="shared" si="42"/>
        <v/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/>
    </row>
    <row r="20" spans="2:72">
      <c r="B20" s="81" t="str">
        <f>Weekly!B12</f>
        <v>1245</v>
      </c>
      <c r="C20" s="90" t="str">
        <f>Weekly!C12</f>
        <v>Charlotte</v>
      </c>
      <c r="D20" s="90" t="str">
        <f>Weekly!D13</f>
        <v>Ward</v>
      </c>
      <c r="E20" s="91" t="str">
        <f>VLOOKUP(B20,Team!$B$4:$E$183,4,FALSE)</f>
        <v>HH</v>
      </c>
      <c r="F20" s="92" t="str">
        <f>Weekly!Y12</f>
        <v/>
      </c>
      <c r="G20" s="92" t="str">
        <f>Weekly!Z12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/>
    </row>
    <row r="21" spans="2:72">
      <c r="B21" s="81" t="str">
        <f>Weekly!B13</f>
        <v>1136</v>
      </c>
      <c r="C21" s="90" t="str">
        <f>Weekly!C13</f>
        <v>Cherry</v>
      </c>
      <c r="D21" s="90" t="str">
        <f>Weekly!D14</f>
        <v>Burgoyne</v>
      </c>
      <c r="E21" s="91" t="str">
        <f>VLOOKUP(B21,Team!$B$4:$E$183,4,FALSE)</f>
        <v>M's</v>
      </c>
      <c r="F21" s="92">
        <f>Weekly!Y13</f>
        <v>0.499999999999999</v>
      </c>
      <c r="G21" s="92">
        <f>Weekly!Z13</f>
        <v>0.83333333333333204</v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>M's</v>
      </c>
      <c r="AC21" s="48" t="str">
        <f t="shared" si="26"/>
        <v>M's</v>
      </c>
      <c r="AD21" s="48" t="str">
        <f t="shared" si="27"/>
        <v>M's</v>
      </c>
      <c r="AE21" s="84" t="str">
        <f t="shared" si="28"/>
        <v>M's</v>
      </c>
      <c r="AF21" s="82" t="str">
        <f t="shared" si="29"/>
        <v>M's</v>
      </c>
      <c r="AG21" s="48" t="str">
        <f t="shared" si="30"/>
        <v>M's</v>
      </c>
      <c r="AH21" s="48" t="str">
        <f t="shared" si="31"/>
        <v>M's</v>
      </c>
      <c r="AI21" s="84" t="str">
        <f t="shared" si="32"/>
        <v>M's</v>
      </c>
      <c r="AJ21" s="82" t="str">
        <f t="shared" si="33"/>
        <v>M's</v>
      </c>
      <c r="AK21" s="48" t="str">
        <f t="shared" si="34"/>
        <v>M's</v>
      </c>
      <c r="AL21" s="48" t="str">
        <f t="shared" si="35"/>
        <v>M's</v>
      </c>
      <c r="AM21" s="84" t="str">
        <f t="shared" si="36"/>
        <v>M's</v>
      </c>
      <c r="AN21" s="82" t="str">
        <f t="shared" si="37"/>
        <v>M's</v>
      </c>
      <c r="AO21" s="48" t="str">
        <f t="shared" si="38"/>
        <v>M's</v>
      </c>
      <c r="AP21" s="48" t="str">
        <f t="shared" si="39"/>
        <v>M's</v>
      </c>
      <c r="AQ21" s="84" t="str">
        <f t="shared" si="40"/>
        <v>M's</v>
      </c>
      <c r="AR21" s="82" t="str">
        <f t="shared" si="41"/>
        <v>M's</v>
      </c>
      <c r="AS21" s="48" t="str">
        <f t="shared" si="42"/>
        <v>M's</v>
      </c>
      <c r="AT21" s="48" t="str">
        <f t="shared" si="43"/>
        <v>M's</v>
      </c>
      <c r="AU21" s="84" t="str">
        <f t="shared" si="44"/>
        <v>M's</v>
      </c>
      <c r="AV21" s="82" t="str">
        <f t="shared" si="45"/>
        <v>M's</v>
      </c>
      <c r="AW21" s="48" t="str">
        <f t="shared" si="46"/>
        <v>M's</v>
      </c>
      <c r="AX21" s="48" t="str">
        <f t="shared" si="47"/>
        <v>M's</v>
      </c>
      <c r="AY21" s="84" t="str">
        <f t="shared" si="48"/>
        <v>M's</v>
      </c>
      <c r="AZ21" s="82" t="str">
        <f t="shared" si="49"/>
        <v>M's</v>
      </c>
      <c r="BA21" s="48" t="str">
        <f t="shared" si="50"/>
        <v>M's</v>
      </c>
      <c r="BB21" s="48" t="str">
        <f t="shared" si="51"/>
        <v>M's</v>
      </c>
      <c r="BC21" s="84" t="str">
        <f t="shared" si="52"/>
        <v>M's</v>
      </c>
      <c r="BD21" s="82" t="str">
        <f t="shared" si="53"/>
        <v>M's</v>
      </c>
      <c r="BE21" s="48" t="str">
        <f t="shared" si="54"/>
        <v>M's</v>
      </c>
      <c r="BF21" s="48" t="str">
        <f t="shared" si="55"/>
        <v>M's</v>
      </c>
      <c r="BG21" s="84" t="str">
        <f t="shared" si="56"/>
        <v>M's</v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/>
    </row>
    <row r="22" spans="2:72">
      <c r="B22" s="81" t="str">
        <f>Weekly!B14</f>
        <v>1247</v>
      </c>
      <c r="C22" s="90" t="str">
        <f>Weekly!C14</f>
        <v>Chihiro</v>
      </c>
      <c r="D22" s="90" t="str">
        <f>Weekly!D15</f>
        <v>Huang</v>
      </c>
      <c r="E22" s="91" t="str">
        <f>VLOOKUP(B22,Team!$B$4:$E$183,4,FALSE)</f>
        <v>HH</v>
      </c>
      <c r="F22" s="92" t="str">
        <f>Weekly!Y14</f>
        <v/>
      </c>
      <c r="G22" s="92" t="str">
        <f>Weekly!Z14</f>
        <v/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/>
      </c>
      <c r="O22" s="84" t="str">
        <f t="shared" si="12"/>
        <v/>
      </c>
      <c r="P22" s="82" t="str">
        <f t="shared" si="13"/>
        <v/>
      </c>
      <c r="Q22" s="48" t="str">
        <f t="shared" si="14"/>
        <v/>
      </c>
      <c r="R22" s="48" t="str">
        <f t="shared" si="15"/>
        <v/>
      </c>
      <c r="S22" s="84" t="str">
        <f t="shared" si="16"/>
        <v/>
      </c>
      <c r="T22" s="82" t="str">
        <f t="shared" si="17"/>
        <v/>
      </c>
      <c r="U22" s="48" t="str">
        <f t="shared" si="18"/>
        <v/>
      </c>
      <c r="V22" s="48" t="str">
        <f t="shared" si="19"/>
        <v/>
      </c>
      <c r="W22" s="84" t="str">
        <f t="shared" si="20"/>
        <v/>
      </c>
      <c r="X22" s="82" t="str">
        <f t="shared" si="21"/>
        <v/>
      </c>
      <c r="Y22" s="48" t="str">
        <f t="shared" si="22"/>
        <v/>
      </c>
      <c r="Z22" s="48" t="str">
        <f t="shared" si="23"/>
        <v/>
      </c>
      <c r="AA22" s="84" t="str">
        <f t="shared" si="24"/>
        <v/>
      </c>
      <c r="AB22" s="82" t="str">
        <f t="shared" si="25"/>
        <v/>
      </c>
      <c r="AC22" s="48" t="str">
        <f t="shared" si="26"/>
        <v/>
      </c>
      <c r="AD22" s="48" t="str">
        <f t="shared" si="27"/>
        <v/>
      </c>
      <c r="AE22" s="84" t="str">
        <f t="shared" si="28"/>
        <v/>
      </c>
      <c r="AF22" s="82" t="str">
        <f t="shared" si="29"/>
        <v/>
      </c>
      <c r="AG22" s="48" t="str">
        <f t="shared" si="30"/>
        <v/>
      </c>
      <c r="AH22" s="48" t="str">
        <f t="shared" si="31"/>
        <v/>
      </c>
      <c r="AI22" s="84" t="str">
        <f t="shared" si="32"/>
        <v/>
      </c>
      <c r="AJ22" s="82" t="str">
        <f t="shared" si="33"/>
        <v/>
      </c>
      <c r="AK22" s="48" t="str">
        <f t="shared" si="34"/>
        <v/>
      </c>
      <c r="AL22" s="48" t="str">
        <f t="shared" si="35"/>
        <v/>
      </c>
      <c r="AM22" s="84" t="str">
        <f t="shared" si="36"/>
        <v/>
      </c>
      <c r="AN22" s="82" t="str">
        <f t="shared" si="37"/>
        <v/>
      </c>
      <c r="AO22" s="48" t="str">
        <f t="shared" si="38"/>
        <v/>
      </c>
      <c r="AP22" s="48" t="str">
        <f t="shared" si="39"/>
        <v/>
      </c>
      <c r="AQ22" s="84" t="str">
        <f t="shared" si="40"/>
        <v/>
      </c>
      <c r="AR22" s="82" t="str">
        <f t="shared" si="41"/>
        <v/>
      </c>
      <c r="AS22" s="48" t="str">
        <f t="shared" si="42"/>
        <v/>
      </c>
      <c r="AT22" s="48" t="str">
        <f t="shared" si="43"/>
        <v/>
      </c>
      <c r="AU22" s="84" t="str">
        <f t="shared" si="44"/>
        <v/>
      </c>
      <c r="AV22" s="82" t="str">
        <f t="shared" si="45"/>
        <v/>
      </c>
      <c r="AW22" s="48" t="str">
        <f t="shared" si="46"/>
        <v/>
      </c>
      <c r="AX22" s="48" t="str">
        <f t="shared" si="47"/>
        <v/>
      </c>
      <c r="AY22" s="84" t="str">
        <f t="shared" si="48"/>
        <v/>
      </c>
      <c r="AZ22" s="82" t="str">
        <f t="shared" si="49"/>
        <v/>
      </c>
      <c r="BA22" s="48" t="str">
        <f t="shared" si="50"/>
        <v/>
      </c>
      <c r="BB22" s="48" t="str">
        <f t="shared" si="51"/>
        <v/>
      </c>
      <c r="BC22" s="84" t="str">
        <f t="shared" si="52"/>
        <v/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/>
    </row>
    <row r="23" spans="2:72">
      <c r="B23" s="81" t="str">
        <f>Weekly!B15</f>
        <v>01514</v>
      </c>
      <c r="C23" s="90" t="str">
        <f>Weekly!C15</f>
        <v>Chloe</v>
      </c>
      <c r="D23" s="90" t="str">
        <f>Weekly!D16</f>
        <v>Park</v>
      </c>
      <c r="E23" s="91" t="str">
        <f>VLOOKUP(B23,Team!$B$4:$E$183,4,FALSE)</f>
        <v>SPV</v>
      </c>
      <c r="F23" s="92">
        <f>Weekly!Y15</f>
        <v>0.499999999999999</v>
      </c>
      <c r="G23" s="92">
        <f>Weekly!Z15</f>
        <v>0.83333333333333204</v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/>
      </c>
      <c r="O23" s="84" t="str">
        <f t="shared" si="12"/>
        <v/>
      </c>
      <c r="P23" s="82" t="str">
        <f t="shared" si="13"/>
        <v/>
      </c>
      <c r="Q23" s="48" t="str">
        <f t="shared" si="14"/>
        <v/>
      </c>
      <c r="R23" s="48" t="str">
        <f t="shared" si="15"/>
        <v/>
      </c>
      <c r="S23" s="84" t="str">
        <f t="shared" si="16"/>
        <v/>
      </c>
      <c r="T23" s="82" t="str">
        <f t="shared" si="17"/>
        <v/>
      </c>
      <c r="U23" s="48" t="str">
        <f t="shared" si="18"/>
        <v/>
      </c>
      <c r="V23" s="48" t="str">
        <f t="shared" si="19"/>
        <v/>
      </c>
      <c r="W23" s="84" t="str">
        <f t="shared" si="20"/>
        <v/>
      </c>
      <c r="X23" s="82" t="str">
        <f t="shared" si="21"/>
        <v/>
      </c>
      <c r="Y23" s="48" t="str">
        <f t="shared" si="22"/>
        <v/>
      </c>
      <c r="Z23" s="48" t="str">
        <f t="shared" si="23"/>
        <v/>
      </c>
      <c r="AA23" s="84" t="str">
        <f t="shared" si="24"/>
        <v/>
      </c>
      <c r="AB23" s="82" t="str">
        <f t="shared" si="25"/>
        <v>SPV</v>
      </c>
      <c r="AC23" s="48" t="str">
        <f t="shared" si="26"/>
        <v>SPV</v>
      </c>
      <c r="AD23" s="48" t="str">
        <f t="shared" si="27"/>
        <v>SPV</v>
      </c>
      <c r="AE23" s="84" t="str">
        <f t="shared" si="28"/>
        <v>SPV</v>
      </c>
      <c r="AF23" s="82" t="str">
        <f t="shared" si="29"/>
        <v>SPV</v>
      </c>
      <c r="AG23" s="48" t="str">
        <f t="shared" si="30"/>
        <v>SPV</v>
      </c>
      <c r="AH23" s="48" t="str">
        <f t="shared" si="31"/>
        <v>SPV</v>
      </c>
      <c r="AI23" s="84" t="str">
        <f t="shared" si="32"/>
        <v>SPV</v>
      </c>
      <c r="AJ23" s="82" t="str">
        <f t="shared" si="33"/>
        <v>SPV</v>
      </c>
      <c r="AK23" s="48" t="str">
        <f t="shared" si="34"/>
        <v>SPV</v>
      </c>
      <c r="AL23" s="48" t="str">
        <f t="shared" si="35"/>
        <v>SPV</v>
      </c>
      <c r="AM23" s="84" t="str">
        <f t="shared" si="36"/>
        <v>SPV</v>
      </c>
      <c r="AN23" s="82" t="str">
        <f t="shared" si="37"/>
        <v>SPV</v>
      </c>
      <c r="AO23" s="48" t="str">
        <f t="shared" si="38"/>
        <v>SPV</v>
      </c>
      <c r="AP23" s="48" t="str">
        <f t="shared" si="39"/>
        <v>SPV</v>
      </c>
      <c r="AQ23" s="84" t="str">
        <f t="shared" si="40"/>
        <v>SPV</v>
      </c>
      <c r="AR23" s="82" t="str">
        <f t="shared" si="41"/>
        <v>SPV</v>
      </c>
      <c r="AS23" s="48" t="str">
        <f t="shared" si="42"/>
        <v>SPV</v>
      </c>
      <c r="AT23" s="48" t="str">
        <f t="shared" si="43"/>
        <v>SPV</v>
      </c>
      <c r="AU23" s="84" t="str">
        <f t="shared" si="44"/>
        <v>SPV</v>
      </c>
      <c r="AV23" s="82" t="str">
        <f t="shared" si="45"/>
        <v>SPV</v>
      </c>
      <c r="AW23" s="48" t="str">
        <f t="shared" si="46"/>
        <v>SPV</v>
      </c>
      <c r="AX23" s="48" t="str">
        <f t="shared" si="47"/>
        <v>SPV</v>
      </c>
      <c r="AY23" s="84" t="str">
        <f t="shared" si="48"/>
        <v>SPV</v>
      </c>
      <c r="AZ23" s="82" t="str">
        <f t="shared" si="49"/>
        <v>SPV</v>
      </c>
      <c r="BA23" s="48" t="str">
        <f t="shared" si="50"/>
        <v>SPV</v>
      </c>
      <c r="BB23" s="48" t="str">
        <f t="shared" si="51"/>
        <v>SPV</v>
      </c>
      <c r="BC23" s="84" t="str">
        <f t="shared" si="52"/>
        <v>SPV</v>
      </c>
      <c r="BD23" s="82" t="str">
        <f t="shared" si="53"/>
        <v>SPV</v>
      </c>
      <c r="BE23" s="48" t="str">
        <f t="shared" si="54"/>
        <v>SPV</v>
      </c>
      <c r="BF23" s="48" t="str">
        <f t="shared" si="55"/>
        <v>SPV</v>
      </c>
      <c r="BG23" s="84" t="str">
        <f t="shared" si="56"/>
        <v>SPV</v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/>
    </row>
    <row r="24" spans="2:72">
      <c r="B24" s="81" t="str">
        <f>Weekly!B16</f>
        <v>660</v>
      </c>
      <c r="C24" s="90" t="str">
        <f>Weekly!C16</f>
        <v>Daniel</v>
      </c>
      <c r="D24" s="90" t="str">
        <f>Weekly!D17</f>
        <v>Oh</v>
      </c>
      <c r="E24" s="91" t="str">
        <f>VLOOKUP(B24,Team!$B$4:$E$183,4,FALSE)</f>
        <v>HH</v>
      </c>
      <c r="F24" s="92" t="str">
        <f>Weekly!Y16</f>
        <v/>
      </c>
      <c r="G24" s="92" t="str">
        <f>Weekly!Z16</f>
        <v/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/>
      </c>
      <c r="AC24" s="48" t="str">
        <f t="shared" si="26"/>
        <v/>
      </c>
      <c r="AD24" s="48" t="str">
        <f t="shared" si="27"/>
        <v/>
      </c>
      <c r="AE24" s="84" t="str">
        <f t="shared" si="28"/>
        <v/>
      </c>
      <c r="AF24" s="82" t="str">
        <f t="shared" si="29"/>
        <v/>
      </c>
      <c r="AG24" s="48" t="str">
        <f t="shared" si="30"/>
        <v/>
      </c>
      <c r="AH24" s="48" t="str">
        <f t="shared" si="31"/>
        <v/>
      </c>
      <c r="AI24" s="84" t="str">
        <f t="shared" si="32"/>
        <v/>
      </c>
      <c r="AJ24" s="82" t="str">
        <f t="shared" si="33"/>
        <v/>
      </c>
      <c r="AK24" s="48" t="str">
        <f t="shared" si="34"/>
        <v/>
      </c>
      <c r="AL24" s="48" t="str">
        <f t="shared" si="35"/>
        <v/>
      </c>
      <c r="AM24" s="84" t="str">
        <f t="shared" si="36"/>
        <v/>
      </c>
      <c r="AN24" s="82" t="str">
        <f t="shared" si="37"/>
        <v/>
      </c>
      <c r="AO24" s="48" t="str">
        <f t="shared" si="38"/>
        <v/>
      </c>
      <c r="AP24" s="48" t="str">
        <f t="shared" si="39"/>
        <v/>
      </c>
      <c r="AQ24" s="84" t="str">
        <f t="shared" si="40"/>
        <v/>
      </c>
      <c r="AR24" s="82" t="str">
        <f t="shared" si="41"/>
        <v/>
      </c>
      <c r="AS24" s="48" t="str">
        <f t="shared" si="42"/>
        <v/>
      </c>
      <c r="AT24" s="48" t="str">
        <f t="shared" si="43"/>
        <v/>
      </c>
      <c r="AU24" s="84" t="str">
        <f t="shared" si="44"/>
        <v/>
      </c>
      <c r="AV24" s="82" t="str">
        <f t="shared" si="45"/>
        <v/>
      </c>
      <c r="AW24" s="48" t="str">
        <f t="shared" si="46"/>
        <v/>
      </c>
      <c r="AX24" s="48" t="str">
        <f t="shared" si="47"/>
        <v/>
      </c>
      <c r="AY24" s="84" t="str">
        <f t="shared" si="48"/>
        <v/>
      </c>
      <c r="AZ24" s="82" t="str">
        <f t="shared" si="49"/>
        <v/>
      </c>
      <c r="BA24" s="48" t="str">
        <f t="shared" si="50"/>
        <v/>
      </c>
      <c r="BB24" s="48" t="str">
        <f t="shared" si="51"/>
        <v/>
      </c>
      <c r="BC24" s="84" t="str">
        <f t="shared" si="52"/>
        <v/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/>
    </row>
    <row r="25" spans="2:72">
      <c r="B25" s="81" t="str">
        <f>Weekly!B17</f>
        <v>1275</v>
      </c>
      <c r="C25" s="90" t="str">
        <f>Weekly!C17</f>
        <v>Da-yeon</v>
      </c>
      <c r="D25" s="90" t="str">
        <f>Weekly!D18</f>
        <v>Kim</v>
      </c>
      <c r="E25" s="91" t="str">
        <f>VLOOKUP(B25,Team!$B$4:$E$183,4,FALSE)</f>
        <v>HH</v>
      </c>
      <c r="F25" s="92" t="str">
        <f>Weekly!Y17</f>
        <v/>
      </c>
      <c r="G25" s="92" t="str">
        <f>Weekly!Z17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/>
    </row>
    <row r="26" spans="2:72">
      <c r="B26" s="81" t="str">
        <f>Weekly!B18</f>
        <v>1258</v>
      </c>
      <c r="C26" s="90" t="str">
        <f>Weekly!C18</f>
        <v>Dennis</v>
      </c>
      <c r="D26" s="90" t="str">
        <f>Weekly!D19</f>
        <v>Hou</v>
      </c>
      <c r="E26" s="91" t="str">
        <f>VLOOKUP(B26,Team!$B$4:$E$183,4,FALSE)</f>
        <v>Stat.</v>
      </c>
      <c r="F26" s="92" t="str">
        <f>Weekly!Y18</f>
        <v/>
      </c>
      <c r="G26" s="92" t="str">
        <f>Weekly!Z18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/>
    </row>
    <row r="27" spans="2:72">
      <c r="B27" s="81" t="str">
        <f>Weekly!B19</f>
        <v>1131</v>
      </c>
      <c r="C27" s="90" t="str">
        <f>Weekly!C19</f>
        <v>Doris</v>
      </c>
      <c r="D27" s="90" t="str">
        <f>Weekly!D20</f>
        <v>Choi</v>
      </c>
      <c r="E27" s="91" t="str">
        <f>VLOOKUP(B27,Team!$B$4:$E$183,4,FALSE)</f>
        <v>L's</v>
      </c>
      <c r="F27" s="92" t="str">
        <f>Weekly!Y19</f>
        <v/>
      </c>
      <c r="G27" s="92" t="str">
        <f>Weekly!Z19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/>
    </row>
    <row r="28" spans="2:72">
      <c r="B28" s="81" t="str">
        <f>Weekly!B20</f>
        <v>01601</v>
      </c>
      <c r="C28" s="90" t="str">
        <f>Weekly!C20</f>
        <v>Dorothy</v>
      </c>
      <c r="D28" s="90" t="str">
        <f>Weekly!D21</f>
        <v>Trac</v>
      </c>
      <c r="E28" s="91" t="str">
        <f>VLOOKUP(B28,Team!$B$4:$E$183,4,FALSE)</f>
        <v>M's</v>
      </c>
      <c r="F28" s="92" t="str">
        <f>Weekly!Y20</f>
        <v/>
      </c>
      <c r="G28" s="92" t="str">
        <f>Weekly!Z20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/>
    </row>
    <row r="29" spans="2:72">
      <c r="B29" s="81" t="str">
        <f>Weekly!B21</f>
        <v>01506</v>
      </c>
      <c r="C29" s="90" t="str">
        <f>Weekly!C21</f>
        <v>Duke</v>
      </c>
      <c r="D29" s="90" t="str">
        <f>Weekly!D22</f>
        <v>Blackburn</v>
      </c>
      <c r="E29" s="91" t="str">
        <f>VLOOKUP(B29,Team!$B$4:$E$183,4,FALSE)</f>
        <v>HH</v>
      </c>
      <c r="F29" s="92">
        <f>Weekly!Y21</f>
        <v>0.499999999999999</v>
      </c>
      <c r="G29" s="92">
        <f>Weekly!Z21</f>
        <v>0.83333333333333204</v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/>
      </c>
      <c r="Y29" s="48" t="str">
        <f t="shared" si="22"/>
        <v/>
      </c>
      <c r="Z29" s="48" t="str">
        <f t="shared" si="23"/>
        <v/>
      </c>
      <c r="AA29" s="84" t="str">
        <f t="shared" si="24"/>
        <v/>
      </c>
      <c r="AB29" s="82" t="str">
        <f t="shared" si="25"/>
        <v>HH</v>
      </c>
      <c r="AC29" s="48" t="str">
        <f t="shared" si="26"/>
        <v>HH</v>
      </c>
      <c r="AD29" s="48" t="str">
        <f t="shared" si="27"/>
        <v>HH</v>
      </c>
      <c r="AE29" s="84" t="str">
        <f t="shared" si="28"/>
        <v>HH</v>
      </c>
      <c r="AF29" s="82" t="str">
        <f t="shared" si="29"/>
        <v>HH</v>
      </c>
      <c r="AG29" s="48" t="str">
        <f t="shared" si="30"/>
        <v>HH</v>
      </c>
      <c r="AH29" s="48" t="str">
        <f t="shared" si="31"/>
        <v>HH</v>
      </c>
      <c r="AI29" s="84" t="str">
        <f t="shared" si="32"/>
        <v>HH</v>
      </c>
      <c r="AJ29" s="82" t="str">
        <f t="shared" si="33"/>
        <v>HH</v>
      </c>
      <c r="AK29" s="48" t="str">
        <f t="shared" si="34"/>
        <v>HH</v>
      </c>
      <c r="AL29" s="48" t="str">
        <f t="shared" si="35"/>
        <v>HH</v>
      </c>
      <c r="AM29" s="84" t="str">
        <f t="shared" si="36"/>
        <v>HH</v>
      </c>
      <c r="AN29" s="82" t="str">
        <f t="shared" si="37"/>
        <v>HH</v>
      </c>
      <c r="AO29" s="48" t="str">
        <f t="shared" si="38"/>
        <v>HH</v>
      </c>
      <c r="AP29" s="48" t="str">
        <f t="shared" si="39"/>
        <v>HH</v>
      </c>
      <c r="AQ29" s="84" t="str">
        <f t="shared" si="40"/>
        <v>HH</v>
      </c>
      <c r="AR29" s="82" t="str">
        <f t="shared" si="41"/>
        <v>HH</v>
      </c>
      <c r="AS29" s="48" t="str">
        <f t="shared" si="42"/>
        <v>HH</v>
      </c>
      <c r="AT29" s="48" t="str">
        <f t="shared" si="43"/>
        <v>HH</v>
      </c>
      <c r="AU29" s="84" t="str">
        <f t="shared" si="44"/>
        <v>HH</v>
      </c>
      <c r="AV29" s="82" t="str">
        <f t="shared" si="45"/>
        <v>HH</v>
      </c>
      <c r="AW29" s="48" t="str">
        <f t="shared" si="46"/>
        <v>HH</v>
      </c>
      <c r="AX29" s="48" t="str">
        <f t="shared" si="47"/>
        <v>HH</v>
      </c>
      <c r="AY29" s="84" t="str">
        <f t="shared" si="48"/>
        <v>HH</v>
      </c>
      <c r="AZ29" s="82" t="str">
        <f t="shared" si="49"/>
        <v>HH</v>
      </c>
      <c r="BA29" s="48" t="str">
        <f t="shared" si="50"/>
        <v>HH</v>
      </c>
      <c r="BB29" s="48" t="str">
        <f t="shared" si="51"/>
        <v>HH</v>
      </c>
      <c r="BC29" s="84" t="str">
        <f t="shared" si="52"/>
        <v>HH</v>
      </c>
      <c r="BD29" s="82" t="str">
        <f t="shared" si="53"/>
        <v>HH</v>
      </c>
      <c r="BE29" s="48" t="str">
        <f t="shared" si="54"/>
        <v>HH</v>
      </c>
      <c r="BF29" s="48" t="str">
        <f t="shared" si="55"/>
        <v>HH</v>
      </c>
      <c r="BG29" s="84" t="str">
        <f t="shared" si="56"/>
        <v>HH</v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/>
    </row>
    <row r="30" spans="2:72">
      <c r="B30" s="81" t="str">
        <f>Weekly!B22</f>
        <v>01526</v>
      </c>
      <c r="C30" s="90" t="str">
        <f>Weekly!C22</f>
        <v>Emma</v>
      </c>
      <c r="D30" s="90" t="str">
        <f>Weekly!D23</f>
        <v>Deng</v>
      </c>
      <c r="E30" s="91" t="str">
        <f>VLOOKUP(B30,Team!$B$4:$E$183,4,FALSE)</f>
        <v>L's</v>
      </c>
      <c r="F30" s="92" t="str">
        <f>Weekly!Y22</f>
        <v/>
      </c>
      <c r="G30" s="92" t="str">
        <f>Weekly!Z22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/>
      </c>
      <c r="AK30" s="48" t="str">
        <f t="shared" si="34"/>
        <v/>
      </c>
      <c r="AL30" s="48" t="str">
        <f t="shared" si="35"/>
        <v/>
      </c>
      <c r="AM30" s="84" t="str">
        <f t="shared" si="36"/>
        <v/>
      </c>
      <c r="AN30" s="82" t="str">
        <f t="shared" si="37"/>
        <v/>
      </c>
      <c r="AO30" s="48" t="str">
        <f t="shared" si="38"/>
        <v/>
      </c>
      <c r="AP30" s="48" t="str">
        <f t="shared" si="39"/>
        <v/>
      </c>
      <c r="AQ30" s="84" t="str">
        <f t="shared" si="40"/>
        <v/>
      </c>
      <c r="AR30" s="82" t="str">
        <f t="shared" si="41"/>
        <v/>
      </c>
      <c r="AS30" s="48" t="str">
        <f t="shared" si="42"/>
        <v/>
      </c>
      <c r="AT30" s="48" t="str">
        <f t="shared" si="43"/>
        <v/>
      </c>
      <c r="AU30" s="84" t="str">
        <f t="shared" si="44"/>
        <v/>
      </c>
      <c r="AV30" s="82" t="str">
        <f t="shared" si="45"/>
        <v/>
      </c>
      <c r="AW30" s="48" t="str">
        <f t="shared" si="46"/>
        <v/>
      </c>
      <c r="AX30" s="48" t="str">
        <f t="shared" si="47"/>
        <v/>
      </c>
      <c r="AY30" s="84" t="str">
        <f t="shared" si="48"/>
        <v/>
      </c>
      <c r="AZ30" s="82" t="str">
        <f t="shared" si="49"/>
        <v/>
      </c>
      <c r="BA30" s="48" t="str">
        <f t="shared" si="50"/>
        <v/>
      </c>
      <c r="BB30" s="48" t="str">
        <f t="shared" si="51"/>
        <v/>
      </c>
      <c r="BC30" s="84" t="str">
        <f t="shared" si="52"/>
        <v/>
      </c>
      <c r="BD30" s="82" t="str">
        <f t="shared" si="53"/>
        <v/>
      </c>
      <c r="BE30" s="48" t="str">
        <f t="shared" si="54"/>
        <v/>
      </c>
      <c r="BF30" s="48" t="str">
        <f t="shared" si="55"/>
        <v/>
      </c>
      <c r="BG30" s="84" t="str">
        <f t="shared" si="56"/>
        <v/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/>
    </row>
    <row r="31" spans="2:72">
      <c r="B31" s="81" t="str">
        <f>Weekly!B23</f>
        <v>1025</v>
      </c>
      <c r="C31" s="90" t="str">
        <f>Weekly!C23</f>
        <v>Eunice</v>
      </c>
      <c r="D31" s="90" t="str">
        <f>Weekly!D24</f>
        <v>Hwa</v>
      </c>
      <c r="E31" s="91" t="str">
        <f>VLOOKUP(B31,Team!$B$4:$E$183,4,FALSE)</f>
        <v>L's</v>
      </c>
      <c r="F31" s="92" t="str">
        <f>Weekly!Y23</f>
        <v/>
      </c>
      <c r="G31" s="92" t="str">
        <f>Weekly!Z23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/>
    </row>
    <row r="32" spans="2:72">
      <c r="B32" s="81" t="str">
        <f>Weekly!B24</f>
        <v>670</v>
      </c>
      <c r="C32" s="90" t="str">
        <f>Weekly!C24</f>
        <v>Fern</v>
      </c>
      <c r="D32" s="90" t="str">
        <f>Weekly!D25</f>
        <v>Abad</v>
      </c>
      <c r="E32" s="91" t="str">
        <f>VLOOKUP(B32,Team!$B$4:$E$183,4,FALSE)</f>
        <v>SM</v>
      </c>
      <c r="F32" s="92">
        <f>Weekly!Y24</f>
        <v>0.499999999999999</v>
      </c>
      <c r="G32" s="92">
        <f>Weekly!Z24</f>
        <v>0.83333333333333204</v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>SM</v>
      </c>
      <c r="AC32" s="48" t="str">
        <f t="shared" si="26"/>
        <v>SM</v>
      </c>
      <c r="AD32" s="48" t="str">
        <f t="shared" si="27"/>
        <v>SM</v>
      </c>
      <c r="AE32" s="84" t="str">
        <f t="shared" si="28"/>
        <v>SM</v>
      </c>
      <c r="AF32" s="82" t="str">
        <f t="shared" si="29"/>
        <v>SM</v>
      </c>
      <c r="AG32" s="48" t="str">
        <f t="shared" si="30"/>
        <v>SM</v>
      </c>
      <c r="AH32" s="48" t="str">
        <f t="shared" si="31"/>
        <v>SM</v>
      </c>
      <c r="AI32" s="84" t="str">
        <f t="shared" si="32"/>
        <v>SM</v>
      </c>
      <c r="AJ32" s="82" t="str">
        <f t="shared" si="33"/>
        <v>SM</v>
      </c>
      <c r="AK32" s="48" t="str">
        <f t="shared" si="34"/>
        <v>SM</v>
      </c>
      <c r="AL32" s="48" t="str">
        <f t="shared" si="35"/>
        <v>SM</v>
      </c>
      <c r="AM32" s="84" t="str">
        <f t="shared" si="36"/>
        <v>SM</v>
      </c>
      <c r="AN32" s="82" t="str">
        <f t="shared" si="37"/>
        <v>SM</v>
      </c>
      <c r="AO32" s="48" t="str">
        <f t="shared" si="38"/>
        <v>SM</v>
      </c>
      <c r="AP32" s="48" t="str">
        <f t="shared" si="39"/>
        <v>SM</v>
      </c>
      <c r="AQ32" s="84" t="str">
        <f t="shared" si="40"/>
        <v>SM</v>
      </c>
      <c r="AR32" s="82" t="str">
        <f t="shared" si="41"/>
        <v>SM</v>
      </c>
      <c r="AS32" s="48" t="str">
        <f t="shared" si="42"/>
        <v>SM</v>
      </c>
      <c r="AT32" s="48" t="str">
        <f t="shared" si="43"/>
        <v>SM</v>
      </c>
      <c r="AU32" s="84" t="str">
        <f t="shared" si="44"/>
        <v>SM</v>
      </c>
      <c r="AV32" s="82" t="str">
        <f t="shared" si="45"/>
        <v>SM</v>
      </c>
      <c r="AW32" s="48" t="str">
        <f t="shared" si="46"/>
        <v>SM</v>
      </c>
      <c r="AX32" s="48" t="str">
        <f t="shared" si="47"/>
        <v>SM</v>
      </c>
      <c r="AY32" s="84" t="str">
        <f t="shared" si="48"/>
        <v>SM</v>
      </c>
      <c r="AZ32" s="82" t="str">
        <f t="shared" si="49"/>
        <v>SM</v>
      </c>
      <c r="BA32" s="48" t="str">
        <f t="shared" si="50"/>
        <v>SM</v>
      </c>
      <c r="BB32" s="48" t="str">
        <f t="shared" si="51"/>
        <v>SM</v>
      </c>
      <c r="BC32" s="84" t="str">
        <f t="shared" si="52"/>
        <v>SM</v>
      </c>
      <c r="BD32" s="82" t="str">
        <f t="shared" si="53"/>
        <v>SM</v>
      </c>
      <c r="BE32" s="48" t="str">
        <f t="shared" si="54"/>
        <v>SM</v>
      </c>
      <c r="BF32" s="48" t="str">
        <f t="shared" si="55"/>
        <v>SM</v>
      </c>
      <c r="BG32" s="84" t="str">
        <f t="shared" si="56"/>
        <v>SM</v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/>
    </row>
    <row r="33" spans="2:72">
      <c r="B33" s="81" t="str">
        <f>Weekly!B25</f>
        <v>01504</v>
      </c>
      <c r="C33" s="90" t="str">
        <f>Weekly!C25</f>
        <v>Hannah</v>
      </c>
      <c r="D33" s="90" t="str">
        <f>Weekly!D26</f>
        <v>Lee</v>
      </c>
      <c r="E33" s="91" t="str">
        <f>VLOOKUP(B33,Team!$B$4:$E$183,4,FALSE)</f>
        <v>L's</v>
      </c>
      <c r="F33" s="92" t="str">
        <f>Weekly!Y25</f>
        <v/>
      </c>
      <c r="G33" s="92" t="str">
        <f>Weekly!Z25</f>
        <v/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/>
      </c>
      <c r="AC33" s="48" t="str">
        <f t="shared" si="26"/>
        <v/>
      </c>
      <c r="AD33" s="48" t="str">
        <f t="shared" si="27"/>
        <v/>
      </c>
      <c r="AE33" s="84" t="str">
        <f t="shared" si="28"/>
        <v/>
      </c>
      <c r="AF33" s="82" t="str">
        <f t="shared" si="29"/>
        <v/>
      </c>
      <c r="AG33" s="48" t="str">
        <f t="shared" si="30"/>
        <v/>
      </c>
      <c r="AH33" s="48" t="str">
        <f t="shared" si="31"/>
        <v/>
      </c>
      <c r="AI33" s="84" t="str">
        <f t="shared" si="32"/>
        <v/>
      </c>
      <c r="AJ33" s="82" t="str">
        <f t="shared" si="33"/>
        <v/>
      </c>
      <c r="AK33" s="48" t="str">
        <f t="shared" si="34"/>
        <v/>
      </c>
      <c r="AL33" s="48" t="str">
        <f t="shared" si="35"/>
        <v/>
      </c>
      <c r="AM33" s="84" t="str">
        <f t="shared" si="36"/>
        <v/>
      </c>
      <c r="AN33" s="82" t="str">
        <f t="shared" si="37"/>
        <v/>
      </c>
      <c r="AO33" s="48" t="str">
        <f t="shared" si="38"/>
        <v/>
      </c>
      <c r="AP33" s="48" t="str">
        <f t="shared" si="39"/>
        <v/>
      </c>
      <c r="AQ33" s="84" t="str">
        <f t="shared" si="40"/>
        <v/>
      </c>
      <c r="AR33" s="82" t="str">
        <f t="shared" si="41"/>
        <v/>
      </c>
      <c r="AS33" s="48" t="str">
        <f t="shared" si="42"/>
        <v/>
      </c>
      <c r="AT33" s="48" t="str">
        <f t="shared" si="43"/>
        <v/>
      </c>
      <c r="AU33" s="84" t="str">
        <f t="shared" si="44"/>
        <v/>
      </c>
      <c r="AV33" s="82" t="str">
        <f t="shared" si="45"/>
        <v/>
      </c>
      <c r="AW33" s="48" t="str">
        <f t="shared" si="46"/>
        <v/>
      </c>
      <c r="AX33" s="48" t="str">
        <f t="shared" si="47"/>
        <v/>
      </c>
      <c r="AY33" s="84" t="str">
        <f t="shared" si="48"/>
        <v/>
      </c>
      <c r="AZ33" s="82" t="str">
        <f t="shared" si="49"/>
        <v/>
      </c>
      <c r="BA33" s="48" t="str">
        <f t="shared" si="50"/>
        <v/>
      </c>
      <c r="BB33" s="48" t="str">
        <f t="shared" si="51"/>
        <v/>
      </c>
      <c r="BC33" s="84" t="str">
        <f t="shared" si="52"/>
        <v/>
      </c>
      <c r="BD33" s="82" t="str">
        <f t="shared" si="53"/>
        <v/>
      </c>
      <c r="BE33" s="48" t="str">
        <f t="shared" si="54"/>
        <v/>
      </c>
      <c r="BF33" s="48" t="str">
        <f t="shared" si="55"/>
        <v/>
      </c>
      <c r="BG33" s="84" t="str">
        <f t="shared" si="56"/>
        <v/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/>
    </row>
    <row r="34" spans="2:72">
      <c r="B34" s="81" t="str">
        <f>Weekly!B26</f>
        <v>01524</v>
      </c>
      <c r="C34" s="90" t="str">
        <f>Weekly!C26</f>
        <v>Isabelle</v>
      </c>
      <c r="D34" s="90" t="str">
        <f>Weekly!D27</f>
        <v>Viernes</v>
      </c>
      <c r="E34" s="91" t="str">
        <f>VLOOKUP(B34,Team!$B$4:$E$183,4,FALSE)</f>
        <v>HH</v>
      </c>
      <c r="F34" s="92">
        <f>Weekly!Y26</f>
        <v>0.375</v>
      </c>
      <c r="G34" s="92">
        <f>Weekly!Z26</f>
        <v>0.70833333333333304</v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>HH</v>
      </c>
      <c r="Q34" s="48" t="str">
        <f t="shared" si="14"/>
        <v>HH</v>
      </c>
      <c r="R34" s="48" t="str">
        <f t="shared" si="15"/>
        <v>HH</v>
      </c>
      <c r="S34" s="84" t="str">
        <f t="shared" si="16"/>
        <v>HH</v>
      </c>
      <c r="T34" s="82" t="str">
        <f t="shared" si="17"/>
        <v>HH</v>
      </c>
      <c r="U34" s="48" t="str">
        <f t="shared" si="18"/>
        <v>HH</v>
      </c>
      <c r="V34" s="48" t="str">
        <f t="shared" si="19"/>
        <v>HH</v>
      </c>
      <c r="W34" s="84" t="str">
        <f t="shared" si="20"/>
        <v>HH</v>
      </c>
      <c r="X34" s="82" t="str">
        <f t="shared" si="21"/>
        <v>HH</v>
      </c>
      <c r="Y34" s="48" t="str">
        <f t="shared" si="22"/>
        <v>HH</v>
      </c>
      <c r="Z34" s="48" t="str">
        <f t="shared" si="23"/>
        <v>HH</v>
      </c>
      <c r="AA34" s="84" t="str">
        <f t="shared" si="24"/>
        <v>HH</v>
      </c>
      <c r="AB34" s="82" t="str">
        <f t="shared" si="25"/>
        <v>HH</v>
      </c>
      <c r="AC34" s="48" t="str">
        <f t="shared" si="26"/>
        <v>HH</v>
      </c>
      <c r="AD34" s="48" t="str">
        <f t="shared" si="27"/>
        <v>HH</v>
      </c>
      <c r="AE34" s="84" t="str">
        <f t="shared" si="28"/>
        <v>HH</v>
      </c>
      <c r="AF34" s="82" t="str">
        <f t="shared" si="29"/>
        <v>HH</v>
      </c>
      <c r="AG34" s="48" t="str">
        <f t="shared" si="30"/>
        <v>HH</v>
      </c>
      <c r="AH34" s="48" t="str">
        <f t="shared" si="31"/>
        <v>HH</v>
      </c>
      <c r="AI34" s="84" t="str">
        <f t="shared" si="32"/>
        <v>HH</v>
      </c>
      <c r="AJ34" s="82" t="str">
        <f t="shared" si="33"/>
        <v>HH</v>
      </c>
      <c r="AK34" s="48" t="str">
        <f t="shared" si="34"/>
        <v>HH</v>
      </c>
      <c r="AL34" s="48" t="str">
        <f t="shared" si="35"/>
        <v>HH</v>
      </c>
      <c r="AM34" s="84" t="str">
        <f t="shared" si="36"/>
        <v>HH</v>
      </c>
      <c r="AN34" s="82" t="str">
        <f t="shared" si="37"/>
        <v>HH</v>
      </c>
      <c r="AO34" s="48" t="str">
        <f t="shared" si="38"/>
        <v>HH</v>
      </c>
      <c r="AP34" s="48" t="str">
        <f t="shared" si="39"/>
        <v>HH</v>
      </c>
      <c r="AQ34" s="84" t="str">
        <f t="shared" si="40"/>
        <v>HH</v>
      </c>
      <c r="AR34" s="82" t="str">
        <f t="shared" si="41"/>
        <v>HH</v>
      </c>
      <c r="AS34" s="48" t="str">
        <f t="shared" si="42"/>
        <v>HH</v>
      </c>
      <c r="AT34" s="48" t="str">
        <f t="shared" si="43"/>
        <v>HH</v>
      </c>
      <c r="AU34" s="84" t="str">
        <f t="shared" si="44"/>
        <v>HH</v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/>
    </row>
    <row r="35" spans="2:72">
      <c r="B35" s="81" t="str">
        <f>Weekly!B27</f>
        <v>1216</v>
      </c>
      <c r="C35" s="90" t="str">
        <f>Weekly!C27</f>
        <v>Janelle</v>
      </c>
      <c r="D35" s="90" t="str">
        <f>Weekly!D28</f>
        <v>Hui</v>
      </c>
      <c r="E35" s="91" t="str">
        <f>VLOOKUP(B35,Team!$B$4:$E$183,4,FALSE)</f>
        <v>M's</v>
      </c>
      <c r="F35" s="92">
        <f>Weekly!Y27</f>
        <v>0.499999999999999</v>
      </c>
      <c r="G35" s="92">
        <f>Weekly!Z27</f>
        <v>0.83333333333333204</v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>M's</v>
      </c>
      <c r="AC35" s="48" t="str">
        <f t="shared" si="26"/>
        <v>M's</v>
      </c>
      <c r="AD35" s="48" t="str">
        <f t="shared" si="27"/>
        <v>M's</v>
      </c>
      <c r="AE35" s="84" t="str">
        <f t="shared" si="28"/>
        <v>M's</v>
      </c>
      <c r="AF35" s="82" t="str">
        <f t="shared" si="29"/>
        <v>M's</v>
      </c>
      <c r="AG35" s="48" t="str">
        <f t="shared" si="30"/>
        <v>M's</v>
      </c>
      <c r="AH35" s="48" t="str">
        <f t="shared" si="31"/>
        <v>M's</v>
      </c>
      <c r="AI35" s="84" t="str">
        <f t="shared" si="32"/>
        <v>M's</v>
      </c>
      <c r="AJ35" s="82" t="str">
        <f t="shared" si="33"/>
        <v>M's</v>
      </c>
      <c r="AK35" s="48" t="str">
        <f t="shared" si="34"/>
        <v>M's</v>
      </c>
      <c r="AL35" s="48" t="str">
        <f t="shared" si="35"/>
        <v>M's</v>
      </c>
      <c r="AM35" s="84" t="str">
        <f t="shared" si="36"/>
        <v>M's</v>
      </c>
      <c r="AN35" s="82" t="str">
        <f t="shared" si="37"/>
        <v>M's</v>
      </c>
      <c r="AO35" s="48" t="str">
        <f t="shared" si="38"/>
        <v>M's</v>
      </c>
      <c r="AP35" s="48" t="str">
        <f t="shared" si="39"/>
        <v>M's</v>
      </c>
      <c r="AQ35" s="84" t="str">
        <f t="shared" si="40"/>
        <v>M's</v>
      </c>
      <c r="AR35" s="82" t="str">
        <f t="shared" si="41"/>
        <v>M's</v>
      </c>
      <c r="AS35" s="48" t="str">
        <f t="shared" si="42"/>
        <v>M's</v>
      </c>
      <c r="AT35" s="48" t="str">
        <f t="shared" si="43"/>
        <v>M's</v>
      </c>
      <c r="AU35" s="84" t="str">
        <f t="shared" si="44"/>
        <v>M's</v>
      </c>
      <c r="AV35" s="82" t="str">
        <f t="shared" si="45"/>
        <v>M's</v>
      </c>
      <c r="AW35" s="48" t="str">
        <f t="shared" si="46"/>
        <v>M's</v>
      </c>
      <c r="AX35" s="48" t="str">
        <f t="shared" si="47"/>
        <v>M's</v>
      </c>
      <c r="AY35" s="84" t="str">
        <f t="shared" si="48"/>
        <v>M's</v>
      </c>
      <c r="AZ35" s="82" t="str">
        <f t="shared" si="49"/>
        <v>M's</v>
      </c>
      <c r="BA35" s="48" t="str">
        <f t="shared" si="50"/>
        <v>M's</v>
      </c>
      <c r="BB35" s="48" t="str">
        <f t="shared" si="51"/>
        <v>M's</v>
      </c>
      <c r="BC35" s="84" t="str">
        <f t="shared" si="52"/>
        <v>M's</v>
      </c>
      <c r="BD35" s="82" t="str">
        <f t="shared" si="53"/>
        <v>M's</v>
      </c>
      <c r="BE35" s="48" t="str">
        <f t="shared" si="54"/>
        <v>M's</v>
      </c>
      <c r="BF35" s="48" t="str">
        <f t="shared" si="55"/>
        <v>M's</v>
      </c>
      <c r="BG35" s="84" t="str">
        <f t="shared" si="56"/>
        <v>M's</v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/>
    </row>
    <row r="36" spans="2:72">
      <c r="B36" s="81" t="str">
        <f>Weekly!B28</f>
        <v>1228</v>
      </c>
      <c r="C36" s="90" t="str">
        <f>Weekly!C28</f>
        <v>Jared</v>
      </c>
      <c r="D36" s="90" t="str">
        <f>Weekly!D29</f>
        <v>Rao</v>
      </c>
      <c r="E36" s="91" t="str">
        <f>VLOOKUP(B36,Team!$B$4:$E$183,4,FALSE)</f>
        <v>HH</v>
      </c>
      <c r="F36" s="92">
        <f>Weekly!Y28</f>
        <v>0.499999999999999</v>
      </c>
      <c r="G36" s="92">
        <f>Weekly!Z28</f>
        <v>0.83333333333333204</v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/>
      </c>
      <c r="Q36" s="48" t="str">
        <f t="shared" si="14"/>
        <v/>
      </c>
      <c r="R36" s="48" t="str">
        <f t="shared" si="15"/>
        <v/>
      </c>
      <c r="S36" s="84" t="str">
        <f t="shared" si="16"/>
        <v/>
      </c>
      <c r="T36" s="82" t="str">
        <f t="shared" si="17"/>
        <v/>
      </c>
      <c r="U36" s="48" t="str">
        <f t="shared" si="18"/>
        <v/>
      </c>
      <c r="V36" s="48" t="str">
        <f t="shared" si="19"/>
        <v/>
      </c>
      <c r="W36" s="84" t="str">
        <f t="shared" si="20"/>
        <v/>
      </c>
      <c r="X36" s="82" t="str">
        <f t="shared" si="21"/>
        <v/>
      </c>
      <c r="Y36" s="48" t="str">
        <f t="shared" si="22"/>
        <v/>
      </c>
      <c r="Z36" s="48" t="str">
        <f t="shared" si="23"/>
        <v/>
      </c>
      <c r="AA36" s="84" t="str">
        <f t="shared" si="24"/>
        <v/>
      </c>
      <c r="AB36" s="82" t="str">
        <f t="shared" si="25"/>
        <v>HH</v>
      </c>
      <c r="AC36" s="48" t="str">
        <f t="shared" si="26"/>
        <v>HH</v>
      </c>
      <c r="AD36" s="48" t="str">
        <f t="shared" si="27"/>
        <v>HH</v>
      </c>
      <c r="AE36" s="84" t="str">
        <f t="shared" si="28"/>
        <v>HH</v>
      </c>
      <c r="AF36" s="82" t="str">
        <f t="shared" si="29"/>
        <v>HH</v>
      </c>
      <c r="AG36" s="48" t="str">
        <f t="shared" si="30"/>
        <v>HH</v>
      </c>
      <c r="AH36" s="48" t="str">
        <f t="shared" si="31"/>
        <v>HH</v>
      </c>
      <c r="AI36" s="84" t="str">
        <f t="shared" si="32"/>
        <v>HH</v>
      </c>
      <c r="AJ36" s="82" t="str">
        <f t="shared" si="33"/>
        <v>HH</v>
      </c>
      <c r="AK36" s="48" t="str">
        <f t="shared" si="34"/>
        <v>HH</v>
      </c>
      <c r="AL36" s="48" t="str">
        <f t="shared" si="35"/>
        <v>HH</v>
      </c>
      <c r="AM36" s="84" t="str">
        <f t="shared" si="36"/>
        <v>HH</v>
      </c>
      <c r="AN36" s="82" t="str">
        <f t="shared" si="37"/>
        <v>HH</v>
      </c>
      <c r="AO36" s="48" t="str">
        <f t="shared" si="38"/>
        <v>HH</v>
      </c>
      <c r="AP36" s="48" t="str">
        <f t="shared" si="39"/>
        <v>HH</v>
      </c>
      <c r="AQ36" s="84" t="str">
        <f t="shared" si="40"/>
        <v>HH</v>
      </c>
      <c r="AR36" s="82" t="str">
        <f t="shared" si="41"/>
        <v>HH</v>
      </c>
      <c r="AS36" s="48" t="str">
        <f t="shared" si="42"/>
        <v>HH</v>
      </c>
      <c r="AT36" s="48" t="str">
        <f t="shared" si="43"/>
        <v>HH</v>
      </c>
      <c r="AU36" s="84" t="str">
        <f t="shared" si="44"/>
        <v>HH</v>
      </c>
      <c r="AV36" s="82" t="str">
        <f t="shared" si="45"/>
        <v>HH</v>
      </c>
      <c r="AW36" s="48" t="str">
        <f t="shared" si="46"/>
        <v>HH</v>
      </c>
      <c r="AX36" s="48" t="str">
        <f t="shared" si="47"/>
        <v>HH</v>
      </c>
      <c r="AY36" s="84" t="str">
        <f t="shared" si="48"/>
        <v>HH</v>
      </c>
      <c r="AZ36" s="82" t="str">
        <f t="shared" si="49"/>
        <v>HH</v>
      </c>
      <c r="BA36" s="48" t="str">
        <f t="shared" si="50"/>
        <v>HH</v>
      </c>
      <c r="BB36" s="48" t="str">
        <f t="shared" si="51"/>
        <v>HH</v>
      </c>
      <c r="BC36" s="84" t="str">
        <f t="shared" si="52"/>
        <v>HH</v>
      </c>
      <c r="BD36" s="82" t="str">
        <f t="shared" si="53"/>
        <v>HH</v>
      </c>
      <c r="BE36" s="48" t="str">
        <f t="shared" si="54"/>
        <v>HH</v>
      </c>
      <c r="BF36" s="48" t="str">
        <f t="shared" si="55"/>
        <v>HH</v>
      </c>
      <c r="BG36" s="84" t="str">
        <f t="shared" si="56"/>
        <v>HH</v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/>
    </row>
    <row r="37" spans="2:72">
      <c r="B37" s="81" t="str">
        <f>Weekly!B29</f>
        <v>1196</v>
      </c>
      <c r="C37" s="90" t="str">
        <f>Weekly!C29</f>
        <v>Jessica</v>
      </c>
      <c r="D37" s="90" t="str">
        <f>Weekly!D30</f>
        <v>Zhang</v>
      </c>
      <c r="E37" s="91" t="str">
        <f>VLOOKUP(B37,Team!$B$4:$E$183,4,FALSE)</f>
        <v>SPV</v>
      </c>
      <c r="F37" s="92" t="str">
        <f>Weekly!Y29</f>
        <v/>
      </c>
      <c r="G37" s="92" t="str">
        <f>Weekly!Z29</f>
        <v/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/>
      </c>
      <c r="Y37" s="48" t="str">
        <f t="shared" si="22"/>
        <v/>
      </c>
      <c r="Z37" s="48" t="str">
        <f t="shared" si="23"/>
        <v/>
      </c>
      <c r="AA37" s="84" t="str">
        <f t="shared" si="24"/>
        <v/>
      </c>
      <c r="AB37" s="82" t="str">
        <f t="shared" si="25"/>
        <v/>
      </c>
      <c r="AC37" s="48" t="str">
        <f t="shared" si="26"/>
        <v/>
      </c>
      <c r="AD37" s="48" t="str">
        <f t="shared" si="27"/>
        <v/>
      </c>
      <c r="AE37" s="84" t="str">
        <f t="shared" si="28"/>
        <v/>
      </c>
      <c r="AF37" s="82" t="str">
        <f t="shared" si="29"/>
        <v/>
      </c>
      <c r="AG37" s="48" t="str">
        <f t="shared" si="30"/>
        <v/>
      </c>
      <c r="AH37" s="48" t="str">
        <f t="shared" si="31"/>
        <v/>
      </c>
      <c r="AI37" s="84" t="str">
        <f t="shared" si="32"/>
        <v/>
      </c>
      <c r="AJ37" s="82" t="str">
        <f t="shared" si="33"/>
        <v/>
      </c>
      <c r="AK37" s="48" t="str">
        <f t="shared" si="34"/>
        <v/>
      </c>
      <c r="AL37" s="48" t="str">
        <f t="shared" si="35"/>
        <v/>
      </c>
      <c r="AM37" s="84" t="str">
        <f t="shared" si="36"/>
        <v/>
      </c>
      <c r="AN37" s="82" t="str">
        <f t="shared" si="37"/>
        <v/>
      </c>
      <c r="AO37" s="48" t="str">
        <f t="shared" si="38"/>
        <v/>
      </c>
      <c r="AP37" s="48" t="str">
        <f t="shared" si="39"/>
        <v/>
      </c>
      <c r="AQ37" s="84" t="str">
        <f t="shared" si="40"/>
        <v/>
      </c>
      <c r="AR37" s="82" t="str">
        <f t="shared" si="41"/>
        <v/>
      </c>
      <c r="AS37" s="48" t="str">
        <f t="shared" si="42"/>
        <v/>
      </c>
      <c r="AT37" s="48" t="str">
        <f t="shared" si="43"/>
        <v/>
      </c>
      <c r="AU37" s="84" t="str">
        <f t="shared" si="44"/>
        <v/>
      </c>
      <c r="AV37" s="82" t="str">
        <f t="shared" si="45"/>
        <v/>
      </c>
      <c r="AW37" s="48" t="str">
        <f t="shared" si="46"/>
        <v/>
      </c>
      <c r="AX37" s="48" t="str">
        <f t="shared" si="47"/>
        <v/>
      </c>
      <c r="AY37" s="84" t="str">
        <f t="shared" si="48"/>
        <v/>
      </c>
      <c r="AZ37" s="82" t="str">
        <f t="shared" si="49"/>
        <v/>
      </c>
      <c r="BA37" s="48" t="str">
        <f t="shared" si="50"/>
        <v/>
      </c>
      <c r="BB37" s="48" t="str">
        <f t="shared" si="51"/>
        <v/>
      </c>
      <c r="BC37" s="84" t="str">
        <f t="shared" si="52"/>
        <v/>
      </c>
      <c r="BD37" s="82" t="str">
        <f t="shared" si="53"/>
        <v/>
      </c>
      <c r="BE37" s="48" t="str">
        <f t="shared" si="54"/>
        <v/>
      </c>
      <c r="BF37" s="48" t="str">
        <f t="shared" si="55"/>
        <v/>
      </c>
      <c r="BG37" s="84" t="str">
        <f t="shared" si="56"/>
        <v/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/>
    </row>
    <row r="38" spans="2:72">
      <c r="B38" s="81" t="str">
        <f>Weekly!B30</f>
        <v>01520</v>
      </c>
      <c r="C38" s="90" t="str">
        <f>Weekly!C30</f>
        <v>Jessie</v>
      </c>
      <c r="D38" s="90" t="str">
        <f>Weekly!D31</f>
        <v>Yabut</v>
      </c>
      <c r="E38" s="91" t="str">
        <f>VLOOKUP(B38,Team!$B$4:$E$183,4,FALSE)</f>
        <v>L's</v>
      </c>
      <c r="F38" s="92" t="str">
        <f>Weekly!Y30</f>
        <v/>
      </c>
      <c r="G38" s="92" t="str">
        <f>Weekly!Z30</f>
        <v/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/>
      </c>
      <c r="Y38" s="48" t="str">
        <f t="shared" si="22"/>
        <v/>
      </c>
      <c r="Z38" s="48" t="str">
        <f t="shared" si="23"/>
        <v/>
      </c>
      <c r="AA38" s="84" t="str">
        <f t="shared" si="24"/>
        <v/>
      </c>
      <c r="AB38" s="82" t="str">
        <f t="shared" si="25"/>
        <v/>
      </c>
      <c r="AC38" s="48" t="str">
        <f t="shared" si="26"/>
        <v/>
      </c>
      <c r="AD38" s="48" t="str">
        <f t="shared" si="27"/>
        <v/>
      </c>
      <c r="AE38" s="84" t="str">
        <f t="shared" si="28"/>
        <v/>
      </c>
      <c r="AF38" s="82" t="str">
        <f t="shared" si="29"/>
        <v/>
      </c>
      <c r="AG38" s="48" t="str">
        <f t="shared" si="30"/>
        <v/>
      </c>
      <c r="AH38" s="48" t="str">
        <f t="shared" si="31"/>
        <v/>
      </c>
      <c r="AI38" s="84" t="str">
        <f t="shared" si="32"/>
        <v/>
      </c>
      <c r="AJ38" s="82" t="str">
        <f t="shared" si="33"/>
        <v/>
      </c>
      <c r="AK38" s="48" t="str">
        <f t="shared" si="34"/>
        <v/>
      </c>
      <c r="AL38" s="48" t="str">
        <f t="shared" si="35"/>
        <v/>
      </c>
      <c r="AM38" s="84" t="str">
        <f t="shared" si="36"/>
        <v/>
      </c>
      <c r="AN38" s="82" t="str">
        <f t="shared" si="37"/>
        <v/>
      </c>
      <c r="AO38" s="48" t="str">
        <f t="shared" si="38"/>
        <v/>
      </c>
      <c r="AP38" s="48" t="str">
        <f t="shared" si="39"/>
        <v/>
      </c>
      <c r="AQ38" s="84" t="str">
        <f t="shared" si="40"/>
        <v/>
      </c>
      <c r="AR38" s="82" t="str">
        <f t="shared" si="41"/>
        <v/>
      </c>
      <c r="AS38" s="48" t="str">
        <f t="shared" si="42"/>
        <v/>
      </c>
      <c r="AT38" s="48" t="str">
        <f t="shared" si="43"/>
        <v/>
      </c>
      <c r="AU38" s="84" t="str">
        <f t="shared" si="44"/>
        <v/>
      </c>
      <c r="AV38" s="82" t="str">
        <f t="shared" si="45"/>
        <v/>
      </c>
      <c r="AW38" s="48" t="str">
        <f t="shared" si="46"/>
        <v/>
      </c>
      <c r="AX38" s="48" t="str">
        <f t="shared" si="47"/>
        <v/>
      </c>
      <c r="AY38" s="84" t="str">
        <f t="shared" si="48"/>
        <v/>
      </c>
      <c r="AZ38" s="82" t="str">
        <f t="shared" si="49"/>
        <v/>
      </c>
      <c r="BA38" s="48" t="str">
        <f t="shared" si="50"/>
        <v/>
      </c>
      <c r="BB38" s="48" t="str">
        <f t="shared" si="51"/>
        <v/>
      </c>
      <c r="BC38" s="84" t="str">
        <f t="shared" si="52"/>
        <v/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/>
    </row>
    <row r="39" spans="2:72">
      <c r="B39" s="81" t="str">
        <f>Weekly!B31</f>
        <v>01505</v>
      </c>
      <c r="C39" s="90" t="str">
        <f>Weekly!C31</f>
        <v>Jewel</v>
      </c>
      <c r="D39" s="90" t="str">
        <f>Weekly!D32</f>
        <v>Shue</v>
      </c>
      <c r="E39" s="91" t="str">
        <f>VLOOKUP(B39,Team!$B$4:$E$183,4,FALSE)</f>
        <v>L's</v>
      </c>
      <c r="F39" s="92">
        <f>Weekly!Y31</f>
        <v>0.375</v>
      </c>
      <c r="G39" s="92">
        <f>Weekly!Z31</f>
        <v>0.58333333333333304</v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>L's</v>
      </c>
      <c r="Q39" s="48" t="str">
        <f t="shared" si="14"/>
        <v>L's</v>
      </c>
      <c r="R39" s="48" t="str">
        <f t="shared" si="15"/>
        <v>L's</v>
      </c>
      <c r="S39" s="84" t="str">
        <f t="shared" si="16"/>
        <v>L's</v>
      </c>
      <c r="T39" s="82" t="str">
        <f t="shared" si="17"/>
        <v>L's</v>
      </c>
      <c r="U39" s="48" t="str">
        <f t="shared" si="18"/>
        <v>L's</v>
      </c>
      <c r="V39" s="48" t="str">
        <f t="shared" si="19"/>
        <v>L's</v>
      </c>
      <c r="W39" s="84" t="str">
        <f t="shared" si="20"/>
        <v>L's</v>
      </c>
      <c r="X39" s="82" t="str">
        <f t="shared" si="21"/>
        <v>L's</v>
      </c>
      <c r="Y39" s="48" t="str">
        <f t="shared" si="22"/>
        <v>L's</v>
      </c>
      <c r="Z39" s="48" t="str">
        <f t="shared" si="23"/>
        <v>L's</v>
      </c>
      <c r="AA39" s="84" t="str">
        <f t="shared" si="24"/>
        <v>L's</v>
      </c>
      <c r="AB39" s="82" t="str">
        <f t="shared" si="25"/>
        <v>L's</v>
      </c>
      <c r="AC39" s="48" t="str">
        <f t="shared" si="26"/>
        <v>L's</v>
      </c>
      <c r="AD39" s="48" t="str">
        <f t="shared" si="27"/>
        <v>L's</v>
      </c>
      <c r="AE39" s="84" t="str">
        <f t="shared" si="28"/>
        <v>L's</v>
      </c>
      <c r="AF39" s="82" t="str">
        <f t="shared" si="29"/>
        <v>L's</v>
      </c>
      <c r="AG39" s="48" t="str">
        <f t="shared" si="30"/>
        <v>L's</v>
      </c>
      <c r="AH39" s="48" t="str">
        <f t="shared" si="31"/>
        <v>L's</v>
      </c>
      <c r="AI39" s="84" t="str">
        <f t="shared" si="32"/>
        <v>L's</v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/>
    </row>
    <row r="40" spans="2:72">
      <c r="B40" s="81" t="str">
        <f>Weekly!B32</f>
        <v>1289</v>
      </c>
      <c r="C40" s="90" t="str">
        <f>Weekly!C32</f>
        <v>Jordan</v>
      </c>
      <c r="D40" s="90" t="str">
        <f>Weekly!D33</f>
        <v>Lam</v>
      </c>
      <c r="E40" s="91" t="str">
        <f>VLOOKUP(B40,Team!$B$4:$E$183,4,FALSE)</f>
        <v>SPV</v>
      </c>
      <c r="F40" s="92">
        <f>Weekly!Y32</f>
        <v>0.375</v>
      </c>
      <c r="G40" s="92">
        <f>Weekly!Z32</f>
        <v>0.70833333333333304</v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>SPV</v>
      </c>
      <c r="Q40" s="48" t="str">
        <f t="shared" si="14"/>
        <v>SPV</v>
      </c>
      <c r="R40" s="48" t="str">
        <f t="shared" si="15"/>
        <v>SPV</v>
      </c>
      <c r="S40" s="84" t="str">
        <f t="shared" si="16"/>
        <v>SPV</v>
      </c>
      <c r="T40" s="82" t="str">
        <f t="shared" si="17"/>
        <v>SPV</v>
      </c>
      <c r="U40" s="48" t="str">
        <f t="shared" si="18"/>
        <v>SPV</v>
      </c>
      <c r="V40" s="48" t="str">
        <f t="shared" si="19"/>
        <v>SPV</v>
      </c>
      <c r="W40" s="84" t="str">
        <f t="shared" si="20"/>
        <v>SPV</v>
      </c>
      <c r="X40" s="82" t="str">
        <f t="shared" si="21"/>
        <v>SPV</v>
      </c>
      <c r="Y40" s="48" t="str">
        <f t="shared" si="22"/>
        <v>SPV</v>
      </c>
      <c r="Z40" s="48" t="str">
        <f t="shared" si="23"/>
        <v>SPV</v>
      </c>
      <c r="AA40" s="84" t="str">
        <f t="shared" si="24"/>
        <v>SPV</v>
      </c>
      <c r="AB40" s="82" t="str">
        <f t="shared" si="25"/>
        <v>SPV</v>
      </c>
      <c r="AC40" s="48" t="str">
        <f t="shared" si="26"/>
        <v>SPV</v>
      </c>
      <c r="AD40" s="48" t="str">
        <f t="shared" si="27"/>
        <v>SPV</v>
      </c>
      <c r="AE40" s="84" t="str">
        <f t="shared" si="28"/>
        <v>SPV</v>
      </c>
      <c r="AF40" s="82" t="str">
        <f t="shared" si="29"/>
        <v>SPV</v>
      </c>
      <c r="AG40" s="48" t="str">
        <f t="shared" si="30"/>
        <v>SPV</v>
      </c>
      <c r="AH40" s="48" t="str">
        <f t="shared" si="31"/>
        <v>SPV</v>
      </c>
      <c r="AI40" s="84" t="str">
        <f t="shared" si="32"/>
        <v>SPV</v>
      </c>
      <c r="AJ40" s="82" t="str">
        <f t="shared" si="33"/>
        <v>SPV</v>
      </c>
      <c r="AK40" s="48" t="str">
        <f t="shared" si="34"/>
        <v>SPV</v>
      </c>
      <c r="AL40" s="48" t="str">
        <f t="shared" si="35"/>
        <v>SPV</v>
      </c>
      <c r="AM40" s="84" t="str">
        <f t="shared" si="36"/>
        <v>SPV</v>
      </c>
      <c r="AN40" s="82" t="str">
        <f t="shared" si="37"/>
        <v>SPV</v>
      </c>
      <c r="AO40" s="48" t="str">
        <f t="shared" si="38"/>
        <v>SPV</v>
      </c>
      <c r="AP40" s="48" t="str">
        <f t="shared" si="39"/>
        <v>SPV</v>
      </c>
      <c r="AQ40" s="84" t="str">
        <f t="shared" si="40"/>
        <v>SPV</v>
      </c>
      <c r="AR40" s="82" t="str">
        <f t="shared" si="41"/>
        <v>SPV</v>
      </c>
      <c r="AS40" s="48" t="str">
        <f t="shared" si="42"/>
        <v>SPV</v>
      </c>
      <c r="AT40" s="48" t="str">
        <f t="shared" si="43"/>
        <v>SPV</v>
      </c>
      <c r="AU40" s="84" t="str">
        <f t="shared" si="44"/>
        <v>SPV</v>
      </c>
      <c r="AV40" s="82" t="str">
        <f t="shared" si="45"/>
        <v/>
      </c>
      <c r="AW40" s="48" t="str">
        <f t="shared" si="46"/>
        <v/>
      </c>
      <c r="AX40" s="48" t="str">
        <f t="shared" si="47"/>
        <v/>
      </c>
      <c r="AY40" s="84" t="str">
        <f t="shared" si="48"/>
        <v/>
      </c>
      <c r="AZ40" s="82" t="str">
        <f t="shared" si="49"/>
        <v/>
      </c>
      <c r="BA40" s="48" t="str">
        <f t="shared" si="50"/>
        <v/>
      </c>
      <c r="BB40" s="48" t="str">
        <f t="shared" si="51"/>
        <v/>
      </c>
      <c r="BC40" s="84" t="str">
        <f t="shared" si="52"/>
        <v/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/>
    </row>
    <row r="41" spans="2:72">
      <c r="B41" s="81" t="str">
        <f>Weekly!B33</f>
        <v>1094</v>
      </c>
      <c r="C41" s="90" t="str">
        <f>Weekly!C33</f>
        <v>Joslyn</v>
      </c>
      <c r="D41" s="90" t="str">
        <f>Weekly!D34</f>
        <v>Ko</v>
      </c>
      <c r="E41" s="91" t="str">
        <f>VLOOKUP(B41,Team!$B$4:$E$183,4,FALSE)</f>
        <v>HH</v>
      </c>
      <c r="F41" s="92">
        <f>Weekly!Y33</f>
        <v>0.375</v>
      </c>
      <c r="G41" s="92">
        <f>Weekly!Z33</f>
        <v>0.70833333333333304</v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>HH</v>
      </c>
      <c r="Q41" s="48" t="str">
        <f t="shared" si="14"/>
        <v>HH</v>
      </c>
      <c r="R41" s="48" t="str">
        <f t="shared" si="15"/>
        <v>HH</v>
      </c>
      <c r="S41" s="84" t="str">
        <f t="shared" si="16"/>
        <v>HH</v>
      </c>
      <c r="T41" s="82" t="str">
        <f t="shared" si="17"/>
        <v>HH</v>
      </c>
      <c r="U41" s="48" t="str">
        <f t="shared" si="18"/>
        <v>HH</v>
      </c>
      <c r="V41" s="48" t="str">
        <f t="shared" si="19"/>
        <v>HH</v>
      </c>
      <c r="W41" s="84" t="str">
        <f t="shared" si="20"/>
        <v>HH</v>
      </c>
      <c r="X41" s="82" t="str">
        <f t="shared" si="21"/>
        <v>HH</v>
      </c>
      <c r="Y41" s="48" t="str">
        <f t="shared" si="22"/>
        <v>HH</v>
      </c>
      <c r="Z41" s="48" t="str">
        <f t="shared" si="23"/>
        <v>HH</v>
      </c>
      <c r="AA41" s="84" t="str">
        <f t="shared" si="24"/>
        <v>HH</v>
      </c>
      <c r="AB41" s="82" t="str">
        <f t="shared" si="25"/>
        <v>HH</v>
      </c>
      <c r="AC41" s="48" t="str">
        <f t="shared" si="26"/>
        <v>HH</v>
      </c>
      <c r="AD41" s="48" t="str">
        <f t="shared" si="27"/>
        <v>HH</v>
      </c>
      <c r="AE41" s="84" t="str">
        <f t="shared" si="28"/>
        <v>HH</v>
      </c>
      <c r="AF41" s="82" t="str">
        <f t="shared" si="29"/>
        <v>HH</v>
      </c>
      <c r="AG41" s="48" t="str">
        <f t="shared" si="30"/>
        <v>HH</v>
      </c>
      <c r="AH41" s="48" t="str">
        <f t="shared" si="31"/>
        <v>HH</v>
      </c>
      <c r="AI41" s="84" t="str">
        <f t="shared" si="32"/>
        <v>HH</v>
      </c>
      <c r="AJ41" s="82" t="str">
        <f t="shared" si="33"/>
        <v>HH</v>
      </c>
      <c r="AK41" s="48" t="str">
        <f t="shared" si="34"/>
        <v>HH</v>
      </c>
      <c r="AL41" s="48" t="str">
        <f t="shared" si="35"/>
        <v>HH</v>
      </c>
      <c r="AM41" s="84" t="str">
        <f t="shared" si="36"/>
        <v>HH</v>
      </c>
      <c r="AN41" s="82" t="str">
        <f t="shared" si="37"/>
        <v>HH</v>
      </c>
      <c r="AO41" s="48" t="str">
        <f t="shared" si="38"/>
        <v>HH</v>
      </c>
      <c r="AP41" s="48" t="str">
        <f t="shared" si="39"/>
        <v>HH</v>
      </c>
      <c r="AQ41" s="84" t="str">
        <f t="shared" si="40"/>
        <v>HH</v>
      </c>
      <c r="AR41" s="82" t="str">
        <f t="shared" si="41"/>
        <v>HH</v>
      </c>
      <c r="AS41" s="48" t="str">
        <f t="shared" si="42"/>
        <v>HH</v>
      </c>
      <c r="AT41" s="48" t="str">
        <f t="shared" si="43"/>
        <v>HH</v>
      </c>
      <c r="AU41" s="84" t="str">
        <f t="shared" si="44"/>
        <v>HH</v>
      </c>
      <c r="AV41" s="82" t="str">
        <f t="shared" si="45"/>
        <v/>
      </c>
      <c r="AW41" s="48" t="str">
        <f t="shared" si="46"/>
        <v/>
      </c>
      <c r="AX41" s="48" t="str">
        <f t="shared" si="47"/>
        <v/>
      </c>
      <c r="AY41" s="84" t="str">
        <f t="shared" si="48"/>
        <v/>
      </c>
      <c r="AZ41" s="82" t="str">
        <f t="shared" si="49"/>
        <v/>
      </c>
      <c r="BA41" s="48" t="str">
        <f t="shared" si="50"/>
        <v/>
      </c>
      <c r="BB41" s="48" t="str">
        <f t="shared" si="51"/>
        <v/>
      </c>
      <c r="BC41" s="84" t="str">
        <f t="shared" si="52"/>
        <v/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/>
    </row>
    <row r="42" spans="2:72">
      <c r="B42" s="81" t="str">
        <f>Weekly!B34</f>
        <v>1014</v>
      </c>
      <c r="C42" s="90" t="str">
        <f>Weekly!C34</f>
        <v>Julie K.</v>
      </c>
      <c r="D42" s="90" t="str">
        <f>Weekly!D35</f>
        <v>Luong</v>
      </c>
      <c r="E42" s="91" t="str">
        <f>VLOOKUP(B42,Team!$B$4:$E$183,4,FALSE)</f>
        <v>H&amp;B</v>
      </c>
      <c r="F42" s="92" t="str">
        <f>Weekly!Y34</f>
        <v/>
      </c>
      <c r="G42" s="92" t="str">
        <f>Weekly!Z34</f>
        <v/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/>
      </c>
      <c r="Q42" s="48" t="str">
        <f t="shared" si="14"/>
        <v/>
      </c>
      <c r="R42" s="48" t="str">
        <f t="shared" si="15"/>
        <v/>
      </c>
      <c r="S42" s="84" t="str">
        <f t="shared" si="16"/>
        <v/>
      </c>
      <c r="T42" s="82" t="str">
        <f t="shared" si="17"/>
        <v/>
      </c>
      <c r="U42" s="48" t="str">
        <f t="shared" si="18"/>
        <v/>
      </c>
      <c r="V42" s="48" t="str">
        <f t="shared" si="19"/>
        <v/>
      </c>
      <c r="W42" s="84" t="str">
        <f t="shared" si="20"/>
        <v/>
      </c>
      <c r="X42" s="82" t="str">
        <f t="shared" si="21"/>
        <v/>
      </c>
      <c r="Y42" s="48" t="str">
        <f t="shared" si="22"/>
        <v/>
      </c>
      <c r="Z42" s="48" t="str">
        <f t="shared" si="23"/>
        <v/>
      </c>
      <c r="AA42" s="84" t="str">
        <f t="shared" si="24"/>
        <v/>
      </c>
      <c r="AB42" s="82" t="str">
        <f t="shared" si="25"/>
        <v/>
      </c>
      <c r="AC42" s="48" t="str">
        <f t="shared" si="26"/>
        <v/>
      </c>
      <c r="AD42" s="48" t="str">
        <f t="shared" si="27"/>
        <v/>
      </c>
      <c r="AE42" s="84" t="str">
        <f t="shared" si="28"/>
        <v/>
      </c>
      <c r="AF42" s="82" t="str">
        <f t="shared" si="29"/>
        <v/>
      </c>
      <c r="AG42" s="48" t="str">
        <f t="shared" si="30"/>
        <v/>
      </c>
      <c r="AH42" s="48" t="str">
        <f t="shared" si="31"/>
        <v/>
      </c>
      <c r="AI42" s="84" t="str">
        <f t="shared" si="32"/>
        <v/>
      </c>
      <c r="AJ42" s="82" t="str">
        <f t="shared" si="33"/>
        <v/>
      </c>
      <c r="AK42" s="48" t="str">
        <f t="shared" si="34"/>
        <v/>
      </c>
      <c r="AL42" s="48" t="str">
        <f t="shared" si="35"/>
        <v/>
      </c>
      <c r="AM42" s="84" t="str">
        <f t="shared" si="36"/>
        <v/>
      </c>
      <c r="AN42" s="82" t="str">
        <f t="shared" si="37"/>
        <v/>
      </c>
      <c r="AO42" s="48" t="str">
        <f t="shared" si="38"/>
        <v/>
      </c>
      <c r="AP42" s="48" t="str">
        <f t="shared" si="39"/>
        <v/>
      </c>
      <c r="AQ42" s="84" t="str">
        <f t="shared" si="40"/>
        <v/>
      </c>
      <c r="AR42" s="82" t="str">
        <f t="shared" si="41"/>
        <v/>
      </c>
      <c r="AS42" s="48" t="str">
        <f t="shared" si="42"/>
        <v/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/>
    </row>
    <row r="43" spans="2:72">
      <c r="B43" s="81" t="str">
        <f>Weekly!B35</f>
        <v>01518</v>
      </c>
      <c r="C43" s="90" t="str">
        <f>Weekly!C35</f>
        <v>Julie L.</v>
      </c>
      <c r="D43" s="90" t="str">
        <f>Weekly!D36</f>
        <v>Sy</v>
      </c>
      <c r="E43" s="91" t="str">
        <f>VLOOKUP(B43,Team!$B$4:$E$183,4,FALSE)</f>
        <v>F</v>
      </c>
      <c r="F43" s="92" t="str">
        <f>Weekly!Y35</f>
        <v/>
      </c>
      <c r="G43" s="92" t="str">
        <f>Weekly!Z35</f>
        <v/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/>
      </c>
      <c r="Y43" s="48" t="str">
        <f t="shared" si="22"/>
        <v/>
      </c>
      <c r="Z43" s="48" t="str">
        <f t="shared" si="23"/>
        <v/>
      </c>
      <c r="AA43" s="84" t="str">
        <f t="shared" si="24"/>
        <v/>
      </c>
      <c r="AB43" s="82" t="str">
        <f t="shared" si="25"/>
        <v/>
      </c>
      <c r="AC43" s="48" t="str">
        <f t="shared" si="26"/>
        <v/>
      </c>
      <c r="AD43" s="48" t="str">
        <f t="shared" si="27"/>
        <v/>
      </c>
      <c r="AE43" s="84" t="str">
        <f t="shared" si="28"/>
        <v/>
      </c>
      <c r="AF43" s="82" t="str">
        <f t="shared" si="29"/>
        <v/>
      </c>
      <c r="AG43" s="48" t="str">
        <f t="shared" si="30"/>
        <v/>
      </c>
      <c r="AH43" s="48" t="str">
        <f t="shared" si="31"/>
        <v/>
      </c>
      <c r="AI43" s="84" t="str">
        <f t="shared" si="32"/>
        <v/>
      </c>
      <c r="AJ43" s="82" t="str">
        <f t="shared" si="33"/>
        <v/>
      </c>
      <c r="AK43" s="48" t="str">
        <f t="shared" si="34"/>
        <v/>
      </c>
      <c r="AL43" s="48" t="str">
        <f t="shared" si="35"/>
        <v/>
      </c>
      <c r="AM43" s="84" t="str">
        <f t="shared" si="36"/>
        <v/>
      </c>
      <c r="AN43" s="82" t="str">
        <f t="shared" si="37"/>
        <v/>
      </c>
      <c r="AO43" s="48" t="str">
        <f t="shared" si="38"/>
        <v/>
      </c>
      <c r="AP43" s="48" t="str">
        <f t="shared" si="39"/>
        <v/>
      </c>
      <c r="AQ43" s="84" t="str">
        <f t="shared" si="40"/>
        <v/>
      </c>
      <c r="AR43" s="82" t="str">
        <f t="shared" si="41"/>
        <v/>
      </c>
      <c r="AS43" s="48" t="str">
        <f t="shared" si="42"/>
        <v/>
      </c>
      <c r="AT43" s="48" t="str">
        <f t="shared" si="43"/>
        <v/>
      </c>
      <c r="AU43" s="84" t="str">
        <f t="shared" si="44"/>
        <v/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/>
    </row>
    <row r="44" spans="2:72">
      <c r="B44" s="81" t="str">
        <f>Weekly!B36</f>
        <v>01527</v>
      </c>
      <c r="C44" s="90" t="str">
        <f>Weekly!C36</f>
        <v>Justine</v>
      </c>
      <c r="D44" s="90" t="str">
        <f>Weekly!D37</f>
        <v>Htun</v>
      </c>
      <c r="E44" s="91" t="str">
        <f>VLOOKUP(B44,Team!$B$4:$E$183,4,FALSE)</f>
        <v>Stat.</v>
      </c>
      <c r="F44" s="92">
        <f>Weekly!Y36</f>
        <v>0.375</v>
      </c>
      <c r="G44" s="92">
        <f>Weekly!Z36</f>
        <v>0.70833333333333304</v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>Stat.</v>
      </c>
      <c r="Q44" s="48" t="str">
        <f t="shared" si="14"/>
        <v>Stat.</v>
      </c>
      <c r="R44" s="48" t="str">
        <f t="shared" si="15"/>
        <v>Stat.</v>
      </c>
      <c r="S44" s="84" t="str">
        <f t="shared" si="16"/>
        <v>Stat.</v>
      </c>
      <c r="T44" s="82" t="str">
        <f t="shared" si="17"/>
        <v>Stat.</v>
      </c>
      <c r="U44" s="48" t="str">
        <f t="shared" si="18"/>
        <v>Stat.</v>
      </c>
      <c r="V44" s="48" t="str">
        <f t="shared" si="19"/>
        <v>Stat.</v>
      </c>
      <c r="W44" s="84" t="str">
        <f t="shared" si="20"/>
        <v>Stat.</v>
      </c>
      <c r="X44" s="82" t="str">
        <f t="shared" si="21"/>
        <v>Stat.</v>
      </c>
      <c r="Y44" s="48" t="str">
        <f t="shared" si="22"/>
        <v>Stat.</v>
      </c>
      <c r="Z44" s="48" t="str">
        <f t="shared" si="23"/>
        <v>Stat.</v>
      </c>
      <c r="AA44" s="84" t="str">
        <f t="shared" si="24"/>
        <v>Stat.</v>
      </c>
      <c r="AB44" s="82" t="str">
        <f t="shared" si="25"/>
        <v>Stat.</v>
      </c>
      <c r="AC44" s="48" t="str">
        <f t="shared" si="26"/>
        <v>Stat.</v>
      </c>
      <c r="AD44" s="48" t="str">
        <f t="shared" si="27"/>
        <v>Stat.</v>
      </c>
      <c r="AE44" s="84" t="str">
        <f t="shared" si="28"/>
        <v>Stat.</v>
      </c>
      <c r="AF44" s="82" t="str">
        <f t="shared" si="29"/>
        <v>Stat.</v>
      </c>
      <c r="AG44" s="48" t="str">
        <f t="shared" si="30"/>
        <v>Stat.</v>
      </c>
      <c r="AH44" s="48" t="str">
        <f t="shared" si="31"/>
        <v>Stat.</v>
      </c>
      <c r="AI44" s="84" t="str">
        <f t="shared" si="32"/>
        <v>Stat.</v>
      </c>
      <c r="AJ44" s="82" t="str">
        <f t="shared" si="33"/>
        <v>Stat.</v>
      </c>
      <c r="AK44" s="48" t="str">
        <f t="shared" si="34"/>
        <v>Stat.</v>
      </c>
      <c r="AL44" s="48" t="str">
        <f t="shared" si="35"/>
        <v>Stat.</v>
      </c>
      <c r="AM44" s="84" t="str">
        <f t="shared" si="36"/>
        <v>Stat.</v>
      </c>
      <c r="AN44" s="82" t="str">
        <f t="shared" si="37"/>
        <v>Stat.</v>
      </c>
      <c r="AO44" s="48" t="str">
        <f t="shared" si="38"/>
        <v>Stat.</v>
      </c>
      <c r="AP44" s="48" t="str">
        <f t="shared" si="39"/>
        <v>Stat.</v>
      </c>
      <c r="AQ44" s="84" t="str">
        <f t="shared" si="40"/>
        <v>Stat.</v>
      </c>
      <c r="AR44" s="82" t="str">
        <f t="shared" si="41"/>
        <v>Stat.</v>
      </c>
      <c r="AS44" s="48" t="str">
        <f t="shared" si="42"/>
        <v>Stat.</v>
      </c>
      <c r="AT44" s="48" t="str">
        <f t="shared" si="43"/>
        <v>Stat.</v>
      </c>
      <c r="AU44" s="84" t="str">
        <f t="shared" si="44"/>
        <v>Stat.</v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/>
    </row>
    <row r="45" spans="2:72">
      <c r="B45" s="81" t="str">
        <f>Weekly!B37</f>
        <v>01519</v>
      </c>
      <c r="C45" s="90" t="str">
        <f>Weekly!C37</f>
        <v>Kathy</v>
      </c>
      <c r="D45" s="90" t="str">
        <f>Weekly!D38</f>
        <v>Bongolan</v>
      </c>
      <c r="E45" s="91" t="str">
        <f>VLOOKUP(B45,Team!$B$4:$E$183,4,FALSE)</f>
        <v>Stat.</v>
      </c>
      <c r="F45" s="92">
        <f>Weekly!Y37</f>
        <v>0.499999999999999</v>
      </c>
      <c r="G45" s="92">
        <f>Weekly!Z37</f>
        <v>0.83333333333333204</v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/>
      </c>
      <c r="Y45" s="48" t="str">
        <f t="shared" si="22"/>
        <v/>
      </c>
      <c r="Z45" s="48" t="str">
        <f t="shared" si="23"/>
        <v/>
      </c>
      <c r="AA45" s="84" t="str">
        <f t="shared" si="24"/>
        <v/>
      </c>
      <c r="AB45" s="82" t="str">
        <f t="shared" si="25"/>
        <v>Stat.</v>
      </c>
      <c r="AC45" s="48" t="str">
        <f t="shared" si="26"/>
        <v>Stat.</v>
      </c>
      <c r="AD45" s="48" t="str">
        <f t="shared" si="27"/>
        <v>Stat.</v>
      </c>
      <c r="AE45" s="84" t="str">
        <f t="shared" si="28"/>
        <v>Stat.</v>
      </c>
      <c r="AF45" s="82" t="str">
        <f t="shared" si="29"/>
        <v>Stat.</v>
      </c>
      <c r="AG45" s="48" t="str">
        <f t="shared" si="30"/>
        <v>Stat.</v>
      </c>
      <c r="AH45" s="48" t="str">
        <f t="shared" si="31"/>
        <v>Stat.</v>
      </c>
      <c r="AI45" s="84" t="str">
        <f t="shared" si="32"/>
        <v>Stat.</v>
      </c>
      <c r="AJ45" s="82" t="str">
        <f t="shared" si="33"/>
        <v>Stat.</v>
      </c>
      <c r="AK45" s="48" t="str">
        <f t="shared" si="34"/>
        <v>Stat.</v>
      </c>
      <c r="AL45" s="48" t="str">
        <f t="shared" si="35"/>
        <v>Stat.</v>
      </c>
      <c r="AM45" s="84" t="str">
        <f t="shared" si="36"/>
        <v>Stat.</v>
      </c>
      <c r="AN45" s="82" t="str">
        <f t="shared" si="37"/>
        <v>Stat.</v>
      </c>
      <c r="AO45" s="48" t="str">
        <f t="shared" si="38"/>
        <v>Stat.</v>
      </c>
      <c r="AP45" s="48" t="str">
        <f t="shared" si="39"/>
        <v>Stat.</v>
      </c>
      <c r="AQ45" s="84" t="str">
        <f t="shared" si="40"/>
        <v>Stat.</v>
      </c>
      <c r="AR45" s="82" t="str">
        <f t="shared" si="41"/>
        <v>Stat.</v>
      </c>
      <c r="AS45" s="48" t="str">
        <f t="shared" si="42"/>
        <v>Stat.</v>
      </c>
      <c r="AT45" s="48" t="str">
        <f t="shared" si="43"/>
        <v>Stat.</v>
      </c>
      <c r="AU45" s="84" t="str">
        <f t="shared" si="44"/>
        <v>Stat.</v>
      </c>
      <c r="AV45" s="82" t="str">
        <f t="shared" si="45"/>
        <v>Stat.</v>
      </c>
      <c r="AW45" s="48" t="str">
        <f t="shared" si="46"/>
        <v>Stat.</v>
      </c>
      <c r="AX45" s="48" t="str">
        <f t="shared" si="47"/>
        <v>Stat.</v>
      </c>
      <c r="AY45" s="84" t="str">
        <f t="shared" si="48"/>
        <v>Stat.</v>
      </c>
      <c r="AZ45" s="82" t="str">
        <f t="shared" si="49"/>
        <v>Stat.</v>
      </c>
      <c r="BA45" s="48" t="str">
        <f t="shared" si="50"/>
        <v>Stat.</v>
      </c>
      <c r="BB45" s="48" t="str">
        <f t="shared" si="51"/>
        <v>Stat.</v>
      </c>
      <c r="BC45" s="84" t="str">
        <f t="shared" si="52"/>
        <v>Stat.</v>
      </c>
      <c r="BD45" s="82" t="str">
        <f t="shared" si="53"/>
        <v>Stat.</v>
      </c>
      <c r="BE45" s="48" t="str">
        <f t="shared" si="54"/>
        <v>Stat.</v>
      </c>
      <c r="BF45" s="48" t="str">
        <f t="shared" si="55"/>
        <v>Stat.</v>
      </c>
      <c r="BG45" s="84" t="str">
        <f t="shared" si="56"/>
        <v>Stat.</v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/>
    </row>
    <row r="46" spans="2:72">
      <c r="B46" s="81" t="str">
        <f>Weekly!B38</f>
        <v>1143</v>
      </c>
      <c r="C46" s="90" t="str">
        <f>Weekly!C38</f>
        <v>Kaye</v>
      </c>
      <c r="D46" s="90" t="str">
        <f>Weekly!D39</f>
        <v>Ng</v>
      </c>
      <c r="E46" s="91" t="str">
        <f>VLOOKUP(B46,Team!$B$4:$E$183,4,FALSE)</f>
        <v>L's</v>
      </c>
      <c r="F46" s="92">
        <f>Weekly!Y38</f>
        <v>0.45833333333333298</v>
      </c>
      <c r="G46" s="92">
        <f>Weekly!Z38</f>
        <v>0.79166666666666596</v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>L's</v>
      </c>
      <c r="Y46" s="48" t="str">
        <f t="shared" si="22"/>
        <v>L's</v>
      </c>
      <c r="Z46" s="48" t="str">
        <f t="shared" si="23"/>
        <v>L's</v>
      </c>
      <c r="AA46" s="84" t="str">
        <f t="shared" si="24"/>
        <v>L's</v>
      </c>
      <c r="AB46" s="82" t="str">
        <f t="shared" si="25"/>
        <v>L's</v>
      </c>
      <c r="AC46" s="48" t="str">
        <f t="shared" si="26"/>
        <v>L's</v>
      </c>
      <c r="AD46" s="48" t="str">
        <f t="shared" si="27"/>
        <v>L's</v>
      </c>
      <c r="AE46" s="84" t="str">
        <f t="shared" si="28"/>
        <v>L's</v>
      </c>
      <c r="AF46" s="82" t="str">
        <f t="shared" si="29"/>
        <v>L's</v>
      </c>
      <c r="AG46" s="48" t="str">
        <f t="shared" si="30"/>
        <v>L's</v>
      </c>
      <c r="AH46" s="48" t="str">
        <f t="shared" si="31"/>
        <v>L's</v>
      </c>
      <c r="AI46" s="84" t="str">
        <f t="shared" si="32"/>
        <v>L's</v>
      </c>
      <c r="AJ46" s="82" t="str">
        <f t="shared" si="33"/>
        <v>L's</v>
      </c>
      <c r="AK46" s="48" t="str">
        <f t="shared" si="34"/>
        <v>L's</v>
      </c>
      <c r="AL46" s="48" t="str">
        <f t="shared" si="35"/>
        <v>L's</v>
      </c>
      <c r="AM46" s="84" t="str">
        <f t="shared" si="36"/>
        <v>L's</v>
      </c>
      <c r="AN46" s="82" t="str">
        <f t="shared" si="37"/>
        <v>L's</v>
      </c>
      <c r="AO46" s="48" t="str">
        <f t="shared" si="38"/>
        <v>L's</v>
      </c>
      <c r="AP46" s="48" t="str">
        <f t="shared" si="39"/>
        <v>L's</v>
      </c>
      <c r="AQ46" s="84" t="str">
        <f t="shared" si="40"/>
        <v>L's</v>
      </c>
      <c r="AR46" s="82" t="str">
        <f t="shared" si="41"/>
        <v>L's</v>
      </c>
      <c r="AS46" s="48" t="str">
        <f t="shared" si="42"/>
        <v>L's</v>
      </c>
      <c r="AT46" s="48" t="str">
        <f t="shared" si="43"/>
        <v>L's</v>
      </c>
      <c r="AU46" s="84" t="str">
        <f t="shared" si="44"/>
        <v>L's</v>
      </c>
      <c r="AV46" s="82" t="str">
        <f t="shared" si="45"/>
        <v>L's</v>
      </c>
      <c r="AW46" s="48" t="str">
        <f t="shared" si="46"/>
        <v>L's</v>
      </c>
      <c r="AX46" s="48" t="str">
        <f t="shared" si="47"/>
        <v>L's</v>
      </c>
      <c r="AY46" s="84" t="str">
        <f t="shared" si="48"/>
        <v>L's</v>
      </c>
      <c r="AZ46" s="82" t="str">
        <f t="shared" si="49"/>
        <v>L's</v>
      </c>
      <c r="BA46" s="48" t="str">
        <f t="shared" si="50"/>
        <v>L's</v>
      </c>
      <c r="BB46" s="48" t="str">
        <f t="shared" si="51"/>
        <v>L's</v>
      </c>
      <c r="BC46" s="84" t="str">
        <f t="shared" si="52"/>
        <v>L's</v>
      </c>
      <c r="BD46" s="82" t="str">
        <f t="shared" si="53"/>
        <v/>
      </c>
      <c r="BE46" s="48" t="str">
        <f t="shared" si="54"/>
        <v/>
      </c>
      <c r="BF46" s="48" t="str">
        <f t="shared" si="55"/>
        <v/>
      </c>
      <c r="BG46" s="84" t="str">
        <f t="shared" si="56"/>
        <v/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/>
    </row>
    <row r="47" spans="2:72">
      <c r="B47" s="81" t="str">
        <f>Weekly!B39</f>
        <v>01523</v>
      </c>
      <c r="C47" s="90" t="str">
        <f>Weekly!C39</f>
        <v>Lachlan</v>
      </c>
      <c r="D47" s="90" t="str">
        <f>Weekly!D40</f>
        <v>Huynh</v>
      </c>
      <c r="E47" s="91" t="str">
        <f>VLOOKUP(B47,Team!$B$4:$E$183,4,FALSE)</f>
        <v>L's</v>
      </c>
      <c r="F47" s="92" t="str">
        <f>Weekly!Y39</f>
        <v/>
      </c>
      <c r="G47" s="92" t="str">
        <f>Weekly!Z39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/>
    </row>
    <row r="48" spans="2:72">
      <c r="B48" s="81" t="str">
        <f>Weekly!B40</f>
        <v>614</v>
      </c>
      <c r="C48" s="90" t="str">
        <f>Weekly!C40</f>
        <v>Lauren</v>
      </c>
      <c r="D48" s="90" t="str">
        <f>Weekly!D41</f>
        <v>Simkhada</v>
      </c>
      <c r="E48" s="91" t="str">
        <f>VLOOKUP(B48,Team!$B$4:$E$183,4,FALSE)</f>
        <v>L's</v>
      </c>
      <c r="F48" s="92" t="str">
        <f>Weekly!Y40</f>
        <v/>
      </c>
      <c r="G48" s="92" t="str">
        <f>Weekly!Z40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/>
    </row>
    <row r="49" spans="2:72">
      <c r="B49" s="81" t="str">
        <f>Weekly!B41</f>
        <v>01517</v>
      </c>
      <c r="C49" s="90" t="str">
        <f>Weekly!C41</f>
        <v>Lona</v>
      </c>
      <c r="D49" s="90" t="str">
        <f>Weekly!D42</f>
        <v>Lee</v>
      </c>
      <c r="E49" s="91" t="str">
        <f>VLOOKUP(B49,Team!$B$4:$E$183,4,FALSE)</f>
        <v>M's</v>
      </c>
      <c r="F49" s="92">
        <f>Weekly!Y41</f>
        <v>0.375</v>
      </c>
      <c r="G49" s="92">
        <f>Weekly!Z41</f>
        <v>0.70833333333333304</v>
      </c>
      <c r="H49" s="48" t="str">
        <f t="shared" ref="H49:H80" si="69">IF(AND($H$12&gt;=$F49,$H$12&lt;$G49),$E49,"")</f>
        <v/>
      </c>
      <c r="I49" s="48" t="str">
        <f t="shared" ref="I49:I80" si="70">IF(AND($I$12&gt;=$F49,$I$12&lt;$G49),$E49,"")</f>
        <v/>
      </c>
      <c r="J49" s="48" t="str">
        <f t="shared" ref="J49:J80" si="71">IF(AND($J$12&gt;=$F49,$J$12&lt;$G49),$E49,"")</f>
        <v/>
      </c>
      <c r="K49" s="84" t="str">
        <f t="shared" ref="K49:K80" si="72">IF(AND($K$12&gt;=$F49,$K$12&lt;$G49),$E49,"")</f>
        <v/>
      </c>
      <c r="L49" s="82" t="str">
        <f t="shared" ref="L49:L80" si="73">IF(AND($L$12&gt;=$F49,$L$12&lt;$G49),$E49,"")</f>
        <v/>
      </c>
      <c r="M49" s="48" t="str">
        <f t="shared" ref="M49:M80" si="74">IF(AND($M$12&gt;=$F49,$M$12&lt;$G49),$E49,"")</f>
        <v/>
      </c>
      <c r="N49" s="48" t="str">
        <f t="shared" ref="N49:N80" si="75">IF(AND($N$12&gt;=$F49,$N$12&lt;$G49),$E49,"")</f>
        <v/>
      </c>
      <c r="O49" s="84" t="str">
        <f t="shared" ref="O49:O80" si="76">IF(AND($O$12&gt;=$F49,$O$12&lt;$G49),$E49,"")</f>
        <v/>
      </c>
      <c r="P49" s="82" t="str">
        <f t="shared" ref="P49:P80" si="77">IF(AND($P$12&gt;=$F49,$P$12&lt;$G49),$E49,"")</f>
        <v>M's</v>
      </c>
      <c r="Q49" s="48" t="str">
        <f t="shared" ref="Q49:Q80" si="78">IF(AND($Q$12&gt;=$F49,$Q$12&lt;$G49),$E49,"")</f>
        <v>M's</v>
      </c>
      <c r="R49" s="48" t="str">
        <f t="shared" ref="R49:R80" si="79">IF(AND($R$12&gt;=$F49,$R$12&lt;$G49),$E49,"")</f>
        <v>M's</v>
      </c>
      <c r="S49" s="84" t="str">
        <f t="shared" ref="S49:S80" si="80">IF(AND($S$12&gt;=$F49,$S$12&lt;$G49),$E49,"")</f>
        <v>M's</v>
      </c>
      <c r="T49" s="82" t="str">
        <f t="shared" ref="T49:T80" si="81">IF(AND($T$12&gt;=$F49,$T$12&lt;$G49),$E49,"")</f>
        <v>M's</v>
      </c>
      <c r="U49" s="48" t="str">
        <f t="shared" ref="U49:U80" si="82">IF(AND($U$12&gt;=$F49,$U$12&lt;$G49),$E49,"")</f>
        <v>M's</v>
      </c>
      <c r="V49" s="48" t="str">
        <f t="shared" ref="V49:V80" si="83">IF(AND($V$12&gt;=$F49,$V$12&lt;$G49),$E49,"")</f>
        <v>M's</v>
      </c>
      <c r="W49" s="84" t="str">
        <f t="shared" ref="W49:W80" si="84">IF(AND($W$12&gt;=$F49,$W$12&lt;$G49),$E49,"")</f>
        <v>M's</v>
      </c>
      <c r="X49" s="82" t="str">
        <f t="shared" ref="X49:X80" si="85">IF(AND($X$12&gt;=$F49,$X$12&lt;$G49),$E49,"")</f>
        <v>M's</v>
      </c>
      <c r="Y49" s="48" t="str">
        <f t="shared" ref="Y49:Y80" si="86">IF(AND($Y$12&gt;=$F49,$Y$12&lt;$G49),$E49,"")</f>
        <v>M's</v>
      </c>
      <c r="Z49" s="48" t="str">
        <f t="shared" ref="Z49:Z80" si="87">IF(AND($Z$12&gt;=$F49,$Z$12&lt;$G49),$E49,"")</f>
        <v>M's</v>
      </c>
      <c r="AA49" s="84" t="str">
        <f t="shared" ref="AA49:AA80" si="88">IF(AND($AA$12&gt;=$F49,$AA$12&lt;$G49),$E49,"")</f>
        <v>M's</v>
      </c>
      <c r="AB49" s="82" t="str">
        <f t="shared" ref="AB49:AB80" si="89">IF(AND($AB$12&gt;=$F49,$AB$12&lt;$G49),$E49,"")</f>
        <v>M's</v>
      </c>
      <c r="AC49" s="48" t="str">
        <f t="shared" ref="AC49:AC80" si="90">IF(AND($AC$12&gt;=$F49,$AC$12&lt;$G49),$E49,"")</f>
        <v>M's</v>
      </c>
      <c r="AD49" s="48" t="str">
        <f t="shared" ref="AD49:AD80" si="91">IF(AND($AD$12&gt;=$F49,$AD$12&lt;$G49),$E49,"")</f>
        <v>M's</v>
      </c>
      <c r="AE49" s="84" t="str">
        <f t="shared" ref="AE49:AE80" si="92">IF(AND($AE$12&gt;=$F49,$AE$12&lt;$G49),$E49,"")</f>
        <v>M's</v>
      </c>
      <c r="AF49" s="82" t="str">
        <f t="shared" ref="AF49:AF80" si="93">IF(AND($AF$12&gt;=$F49,$AF$12&lt;$G49),$E49,"")</f>
        <v>M's</v>
      </c>
      <c r="AG49" s="48" t="str">
        <f t="shared" ref="AG49:AG80" si="94">IF(AND($AG$12&gt;=$F49,$AG$12&lt;$G49),$E49,"")</f>
        <v>M's</v>
      </c>
      <c r="AH49" s="48" t="str">
        <f t="shared" ref="AH49:AH80" si="95">IF(AND($AH$12&gt;=$F49,$AH$12&lt;$G49),$E49,"")</f>
        <v>M's</v>
      </c>
      <c r="AI49" s="84" t="str">
        <f t="shared" ref="AI49:AI80" si="96">IF(AND($AI$12&gt;=$F49,$AI$12&lt;$G49),$E49,"")</f>
        <v>M's</v>
      </c>
      <c r="AJ49" s="82" t="str">
        <f t="shared" ref="AJ49:AJ80" si="97">IF(AND($AJ$12&gt;=$F49,$AJ$12&lt;$G49),$E49,"")</f>
        <v>M's</v>
      </c>
      <c r="AK49" s="48" t="str">
        <f t="shared" ref="AK49:AK80" si="98">IF(AND($AK$12&gt;=$F49,$AK$12&lt;$G49),$E49,"")</f>
        <v>M's</v>
      </c>
      <c r="AL49" s="48" t="str">
        <f t="shared" ref="AL49:AL80" si="99">IF(AND($AL$12&gt;=$F49,$AL$12&lt;$G49),$E49,"")</f>
        <v>M's</v>
      </c>
      <c r="AM49" s="84" t="str">
        <f t="shared" ref="AM49:AM80" si="100">IF(AND($AM$12&gt;=$F49,$AM$12&lt;$G49),$E49,"")</f>
        <v>M's</v>
      </c>
      <c r="AN49" s="82" t="str">
        <f t="shared" ref="AN49:AN80" si="101">IF(AND($AN$12&gt;=$F49,$AN$12&lt;$G49),$E49,"")</f>
        <v>M's</v>
      </c>
      <c r="AO49" s="48" t="str">
        <f t="shared" ref="AO49:AO80" si="102">IF(AND($AO$12&gt;=$F49,$AO$12&lt;$G49),$E49,"")</f>
        <v>M's</v>
      </c>
      <c r="AP49" s="48" t="str">
        <f t="shared" ref="AP49:AP80" si="103">IF(AND($AP$12&gt;=$F49,$AP$12&lt;$G49),$E49,"")</f>
        <v>M's</v>
      </c>
      <c r="AQ49" s="84" t="str">
        <f t="shared" ref="AQ49:AQ80" si="104">IF(AND($AQ$12&gt;=$F49,$AQ$12&lt;$G49),$E49,"")</f>
        <v>M's</v>
      </c>
      <c r="AR49" s="82" t="str">
        <f t="shared" ref="AR49:AR80" si="105">IF(AND($AR$12&gt;=$F49,$AR$12&lt;$G49),$E49,"")</f>
        <v>M's</v>
      </c>
      <c r="AS49" s="48" t="str">
        <f t="shared" ref="AS49:AS80" si="106">IF(AND($AS$12&gt;=$F49,$AS$12&lt;$G49),$E49,"")</f>
        <v>M's</v>
      </c>
      <c r="AT49" s="48" t="str">
        <f t="shared" ref="AT49:AT80" si="107">IF(AND($AT$12&gt;=$F49,$AT$12&lt;$G49),$E49,"")</f>
        <v>M's</v>
      </c>
      <c r="AU49" s="84" t="str">
        <f t="shared" ref="AU49:AU80" si="108">IF(AND($AU$12&gt;=$F49,$AU$12&lt;$G49),$E49,"")</f>
        <v>M's</v>
      </c>
      <c r="AV49" s="82" t="str">
        <f t="shared" ref="AV49:AV80" si="109">IF(AND($AV$12&gt;=$F49,$AV$12&lt;$G49),$E49,"")</f>
        <v/>
      </c>
      <c r="AW49" s="48" t="str">
        <f t="shared" ref="AW49:AW80" si="110">IF(AND($AW$12&gt;=$F49,$AW$12&lt;$G49),$E49,"")</f>
        <v/>
      </c>
      <c r="AX49" s="48" t="str">
        <f t="shared" ref="AX49:AX80" si="111">IF(AND($AX$12&gt;=$F49,$AX$12&lt;$G49),$E49,"")</f>
        <v/>
      </c>
      <c r="AY49" s="84" t="str">
        <f t="shared" ref="AY49:AY80" si="112">IF(AND($AY$12&gt;=$F49,$AY$12&lt;$G49),$E49,"")</f>
        <v/>
      </c>
      <c r="AZ49" s="82" t="str">
        <f t="shared" ref="AZ49:AZ80" si="113">IF(AND($AZ$12&gt;=$F49,$AZ$12&lt;$G49),$E49,"")</f>
        <v/>
      </c>
      <c r="BA49" s="48" t="str">
        <f t="shared" ref="BA49:BA80" si="114">IF(AND($BA$12&gt;=$F49,$BA$12&lt;$G49),$E49,"")</f>
        <v/>
      </c>
      <c r="BB49" s="48" t="str">
        <f t="shared" ref="BB49:BB80" si="115">IF(AND($BB$12&gt;=$F49,$BB$12&lt;$G49),$E49,"")</f>
        <v/>
      </c>
      <c r="BC49" s="84" t="str">
        <f t="shared" ref="BC49:BC80" si="116">IF(AND($BC$12&gt;=$F49,$BC$12&lt;$G49),$E49,"")</f>
        <v/>
      </c>
      <c r="BD49" s="82" t="str">
        <f t="shared" ref="BD49:BD80" si="117">IF(AND($BD$12&gt;=$F49,$BD$12&lt;$G49),$E49,"")</f>
        <v/>
      </c>
      <c r="BE49" s="48" t="str">
        <f t="shared" ref="BE49:BE80" si="118">IF(AND($BE$12&gt;=$F49,$BE$12&lt;$G49),$E49,"")</f>
        <v/>
      </c>
      <c r="BF49" s="48" t="str">
        <f t="shared" ref="BF49:BF80" si="119">IF(AND($BF$12&gt;=$F49,$BF$12&lt;$G49),$E49,"")</f>
        <v/>
      </c>
      <c r="BG49" s="84" t="str">
        <f t="shared" ref="BG49:BG80" si="120">IF(AND($BG$12&gt;=$F49,$BG$12&lt;$G49),$E49,"")</f>
        <v/>
      </c>
      <c r="BH49" s="87" t="str">
        <f t="shared" ref="BH49:BH80" si="121">IF(AND($BH$12&gt;=$F49,$BH$12&lt;$G49),$E49,"")</f>
        <v/>
      </c>
      <c r="BI49" s="49" t="str">
        <f t="shared" ref="BI49:BI80" si="122">IF(AND($BI$12&gt;=$F49,$BI$12&lt;$G49),$E49,"")</f>
        <v/>
      </c>
      <c r="BJ49" s="49" t="str">
        <f t="shared" ref="BJ49:BJ80" si="123">IF(AND($BJ$12&gt;=$F49,$BJ$12&lt;$G49),$E49,"")</f>
        <v/>
      </c>
      <c r="BK49" s="89" t="str">
        <f t="shared" ref="BK49:BK80" si="124">IF(AND($BK$12&gt;=$F49,$BK$12&lt;$G49),$E49,"")</f>
        <v/>
      </c>
      <c r="BL49" s="87" t="str">
        <f t="shared" ref="BL49:BL80" si="125">IF(AND($BL$12&gt;=$F49,$BL$12&lt;$G49),$E49,"")</f>
        <v/>
      </c>
      <c r="BM49" s="49" t="str">
        <f t="shared" ref="BM49:BM80" si="126">IF(AND($BM$12&gt;=$F49,$BM$12&lt;$G49),$E49,"")</f>
        <v/>
      </c>
      <c r="BN49" s="49" t="str">
        <f t="shared" ref="BN49:BN80" si="127">IF(AND($BN$12&gt;=$F49,$BN$12&lt;$G49),$E49,"")</f>
        <v/>
      </c>
      <c r="BO49" s="89" t="str">
        <f t="shared" ref="BO49:BO80" si="128">IF(AND($BO$12&gt;=$F49,$BO$12&lt;$G49),$E49,"")</f>
        <v/>
      </c>
      <c r="BP49" s="87" t="str">
        <f t="shared" ref="BP49:BP80" si="129">IF(AND($BP$12&gt;=$F49,$BP$12&lt;$G49),$E49,"")</f>
        <v/>
      </c>
      <c r="BQ49" s="49" t="str">
        <f t="shared" ref="BQ49:BQ80" si="130">IF(AND($BQ$12&gt;=$F49,$BQ$12&lt;$G49),$E49,"")</f>
        <v/>
      </c>
      <c r="BR49" s="49" t="str">
        <f t="shared" ref="BR49:BR80" si="131">IF(AND($BR$12&gt;=$F49,$BR$12&lt;$G49),$E49,"")</f>
        <v/>
      </c>
      <c r="BS49" s="89" t="str">
        <f t="shared" ref="BS49:BS80" si="132">IF(AND($BS$12&gt;=$F49,$BS$12&lt;$G49),$E49,"")</f>
        <v/>
      </c>
      <c r="BT49" s="87"/>
    </row>
    <row r="50" spans="2:72">
      <c r="B50" s="81" t="str">
        <f>Weekly!B42</f>
        <v>882</v>
      </c>
      <c r="C50" s="90" t="str">
        <f>Weekly!C42</f>
        <v>Masami</v>
      </c>
      <c r="D50" s="90" t="str">
        <f>Weekly!D43</f>
        <v>Banh</v>
      </c>
      <c r="E50" s="91" t="str">
        <f>VLOOKUP(B50,Team!$B$4:$E$183,4,FALSE)</f>
        <v>Acc.</v>
      </c>
      <c r="F50" s="92" t="str">
        <f>Weekly!Y42</f>
        <v/>
      </c>
      <c r="G50" s="92" t="str">
        <f>Weekly!Z42</f>
        <v/>
      </c>
      <c r="H50" s="48" t="str">
        <f t="shared" si="69"/>
        <v/>
      </c>
      <c r="I50" s="48" t="str">
        <f t="shared" si="70"/>
        <v/>
      </c>
      <c r="J50" s="48" t="str">
        <f t="shared" si="71"/>
        <v/>
      </c>
      <c r="K50" s="84" t="str">
        <f t="shared" si="72"/>
        <v/>
      </c>
      <c r="L50" s="82" t="str">
        <f t="shared" si="73"/>
        <v/>
      </c>
      <c r="M50" s="48" t="str">
        <f t="shared" si="74"/>
        <v/>
      </c>
      <c r="N50" s="48" t="str">
        <f t="shared" si="75"/>
        <v/>
      </c>
      <c r="O50" s="84" t="str">
        <f t="shared" si="76"/>
        <v/>
      </c>
      <c r="P50" s="82" t="str">
        <f t="shared" si="77"/>
        <v/>
      </c>
      <c r="Q50" s="48" t="str">
        <f t="shared" si="78"/>
        <v/>
      </c>
      <c r="R50" s="48" t="str">
        <f t="shared" si="79"/>
        <v/>
      </c>
      <c r="S50" s="84" t="str">
        <f t="shared" si="80"/>
        <v/>
      </c>
      <c r="T50" s="82" t="str">
        <f t="shared" si="81"/>
        <v/>
      </c>
      <c r="U50" s="48" t="str">
        <f t="shared" si="82"/>
        <v/>
      </c>
      <c r="V50" s="48" t="str">
        <f t="shared" si="83"/>
        <v/>
      </c>
      <c r="W50" s="84" t="str">
        <f t="shared" si="84"/>
        <v/>
      </c>
      <c r="X50" s="82" t="str">
        <f t="shared" si="85"/>
        <v/>
      </c>
      <c r="Y50" s="48" t="str">
        <f t="shared" si="86"/>
        <v/>
      </c>
      <c r="Z50" s="48" t="str">
        <f t="shared" si="87"/>
        <v/>
      </c>
      <c r="AA50" s="84" t="str">
        <f t="shared" si="88"/>
        <v/>
      </c>
      <c r="AB50" s="82" t="str">
        <f t="shared" si="89"/>
        <v/>
      </c>
      <c r="AC50" s="48" t="str">
        <f t="shared" si="90"/>
        <v/>
      </c>
      <c r="AD50" s="48" t="str">
        <f t="shared" si="91"/>
        <v/>
      </c>
      <c r="AE50" s="84" t="str">
        <f t="shared" si="92"/>
        <v/>
      </c>
      <c r="AF50" s="82" t="str">
        <f t="shared" si="93"/>
        <v/>
      </c>
      <c r="AG50" s="48" t="str">
        <f t="shared" si="94"/>
        <v/>
      </c>
      <c r="AH50" s="48" t="str">
        <f t="shared" si="95"/>
        <v/>
      </c>
      <c r="AI50" s="84" t="str">
        <f t="shared" si="96"/>
        <v/>
      </c>
      <c r="AJ50" s="82" t="str">
        <f t="shared" si="97"/>
        <v/>
      </c>
      <c r="AK50" s="48" t="str">
        <f t="shared" si="98"/>
        <v/>
      </c>
      <c r="AL50" s="48" t="str">
        <f t="shared" si="99"/>
        <v/>
      </c>
      <c r="AM50" s="84" t="str">
        <f t="shared" si="100"/>
        <v/>
      </c>
      <c r="AN50" s="82" t="str">
        <f t="shared" si="101"/>
        <v/>
      </c>
      <c r="AO50" s="48" t="str">
        <f t="shared" si="102"/>
        <v/>
      </c>
      <c r="AP50" s="48" t="str">
        <f t="shared" si="103"/>
        <v/>
      </c>
      <c r="AQ50" s="84" t="str">
        <f t="shared" si="104"/>
        <v/>
      </c>
      <c r="AR50" s="82" t="str">
        <f t="shared" si="105"/>
        <v/>
      </c>
      <c r="AS50" s="48" t="str">
        <f t="shared" si="106"/>
        <v/>
      </c>
      <c r="AT50" s="48" t="str">
        <f t="shared" si="107"/>
        <v/>
      </c>
      <c r="AU50" s="84" t="str">
        <f t="shared" si="108"/>
        <v/>
      </c>
      <c r="AV50" s="82" t="str">
        <f t="shared" si="109"/>
        <v/>
      </c>
      <c r="AW50" s="48" t="str">
        <f t="shared" si="110"/>
        <v/>
      </c>
      <c r="AX50" s="48" t="str">
        <f t="shared" si="111"/>
        <v/>
      </c>
      <c r="AY50" s="84" t="str">
        <f t="shared" si="112"/>
        <v/>
      </c>
      <c r="AZ50" s="82" t="str">
        <f t="shared" si="113"/>
        <v/>
      </c>
      <c r="BA50" s="48" t="str">
        <f t="shared" si="114"/>
        <v/>
      </c>
      <c r="BB50" s="48" t="str">
        <f t="shared" si="115"/>
        <v/>
      </c>
      <c r="BC50" s="84" t="str">
        <f t="shared" si="116"/>
        <v/>
      </c>
      <c r="BD50" s="82" t="str">
        <f t="shared" si="117"/>
        <v/>
      </c>
      <c r="BE50" s="48" t="str">
        <f t="shared" si="118"/>
        <v/>
      </c>
      <c r="BF50" s="48" t="str">
        <f t="shared" si="119"/>
        <v/>
      </c>
      <c r="BG50" s="84" t="str">
        <f t="shared" si="120"/>
        <v/>
      </c>
      <c r="BH50" s="87" t="str">
        <f t="shared" si="121"/>
        <v/>
      </c>
      <c r="BI50" s="49" t="str">
        <f t="shared" si="122"/>
        <v/>
      </c>
      <c r="BJ50" s="49" t="str">
        <f t="shared" si="123"/>
        <v/>
      </c>
      <c r="BK50" s="89" t="str">
        <f t="shared" si="124"/>
        <v/>
      </c>
      <c r="BL50" s="87" t="str">
        <f t="shared" si="125"/>
        <v/>
      </c>
      <c r="BM50" s="49" t="str">
        <f t="shared" si="126"/>
        <v/>
      </c>
      <c r="BN50" s="49" t="str">
        <f t="shared" si="127"/>
        <v/>
      </c>
      <c r="BO50" s="89" t="str">
        <f t="shared" si="128"/>
        <v/>
      </c>
      <c r="BP50" s="87" t="str">
        <f t="shared" si="129"/>
        <v/>
      </c>
      <c r="BQ50" s="49" t="str">
        <f t="shared" si="130"/>
        <v/>
      </c>
      <c r="BR50" s="49" t="str">
        <f t="shared" si="131"/>
        <v/>
      </c>
      <c r="BS50" s="89" t="str">
        <f t="shared" si="132"/>
        <v/>
      </c>
      <c r="BT50" s="87"/>
    </row>
    <row r="51" spans="2:72">
      <c r="B51" s="81" t="str">
        <f>Weekly!B43</f>
        <v>1132</v>
      </c>
      <c r="C51" s="90" t="str">
        <f>Weekly!C43</f>
        <v>Michelle B.</v>
      </c>
      <c r="D51" s="90" t="str">
        <f>Weekly!D44</f>
        <v>Tran Wo</v>
      </c>
      <c r="E51" s="91" t="str">
        <f>VLOOKUP(B51,Team!$B$4:$E$183,4,FALSE)</f>
        <v>Stat.</v>
      </c>
      <c r="F51" s="92" t="str">
        <f>Weekly!Y43</f>
        <v/>
      </c>
      <c r="G51" s="92" t="str">
        <f>Weekly!Z43</f>
        <v/>
      </c>
      <c r="H51" s="48" t="str">
        <f t="shared" si="69"/>
        <v/>
      </c>
      <c r="I51" s="48" t="str">
        <f t="shared" si="70"/>
        <v/>
      </c>
      <c r="J51" s="48" t="str">
        <f t="shared" si="71"/>
        <v/>
      </c>
      <c r="K51" s="84" t="str">
        <f t="shared" si="72"/>
        <v/>
      </c>
      <c r="L51" s="82" t="str">
        <f t="shared" si="73"/>
        <v/>
      </c>
      <c r="M51" s="48" t="str">
        <f t="shared" si="74"/>
        <v/>
      </c>
      <c r="N51" s="48" t="str">
        <f t="shared" si="75"/>
        <v/>
      </c>
      <c r="O51" s="84" t="str">
        <f t="shared" si="76"/>
        <v/>
      </c>
      <c r="P51" s="82" t="str">
        <f t="shared" si="77"/>
        <v/>
      </c>
      <c r="Q51" s="48" t="str">
        <f t="shared" si="78"/>
        <v/>
      </c>
      <c r="R51" s="48" t="str">
        <f t="shared" si="79"/>
        <v/>
      </c>
      <c r="S51" s="84" t="str">
        <f t="shared" si="80"/>
        <v/>
      </c>
      <c r="T51" s="82" t="str">
        <f t="shared" si="81"/>
        <v/>
      </c>
      <c r="U51" s="48" t="str">
        <f t="shared" si="82"/>
        <v/>
      </c>
      <c r="V51" s="48" t="str">
        <f t="shared" si="83"/>
        <v/>
      </c>
      <c r="W51" s="84" t="str">
        <f t="shared" si="84"/>
        <v/>
      </c>
      <c r="X51" s="82" t="str">
        <f t="shared" si="85"/>
        <v/>
      </c>
      <c r="Y51" s="48" t="str">
        <f t="shared" si="86"/>
        <v/>
      </c>
      <c r="Z51" s="48" t="str">
        <f t="shared" si="87"/>
        <v/>
      </c>
      <c r="AA51" s="84" t="str">
        <f t="shared" si="88"/>
        <v/>
      </c>
      <c r="AB51" s="82" t="str">
        <f t="shared" si="89"/>
        <v/>
      </c>
      <c r="AC51" s="48" t="str">
        <f t="shared" si="90"/>
        <v/>
      </c>
      <c r="AD51" s="48" t="str">
        <f t="shared" si="91"/>
        <v/>
      </c>
      <c r="AE51" s="84" t="str">
        <f t="shared" si="92"/>
        <v/>
      </c>
      <c r="AF51" s="82" t="str">
        <f t="shared" si="93"/>
        <v/>
      </c>
      <c r="AG51" s="48" t="str">
        <f t="shared" si="94"/>
        <v/>
      </c>
      <c r="AH51" s="48" t="str">
        <f t="shared" si="95"/>
        <v/>
      </c>
      <c r="AI51" s="84" t="str">
        <f t="shared" si="96"/>
        <v/>
      </c>
      <c r="AJ51" s="82" t="str">
        <f t="shared" si="97"/>
        <v/>
      </c>
      <c r="AK51" s="48" t="str">
        <f t="shared" si="98"/>
        <v/>
      </c>
      <c r="AL51" s="48" t="str">
        <f t="shared" si="99"/>
        <v/>
      </c>
      <c r="AM51" s="84" t="str">
        <f t="shared" si="100"/>
        <v/>
      </c>
      <c r="AN51" s="82" t="str">
        <f t="shared" si="101"/>
        <v/>
      </c>
      <c r="AO51" s="48" t="str">
        <f t="shared" si="102"/>
        <v/>
      </c>
      <c r="AP51" s="48" t="str">
        <f t="shared" si="103"/>
        <v/>
      </c>
      <c r="AQ51" s="84" t="str">
        <f t="shared" si="104"/>
        <v/>
      </c>
      <c r="AR51" s="82" t="str">
        <f t="shared" si="105"/>
        <v/>
      </c>
      <c r="AS51" s="48" t="str">
        <f t="shared" si="106"/>
        <v/>
      </c>
      <c r="AT51" s="48" t="str">
        <f t="shared" si="107"/>
        <v/>
      </c>
      <c r="AU51" s="84" t="str">
        <f t="shared" si="108"/>
        <v/>
      </c>
      <c r="AV51" s="82" t="str">
        <f t="shared" si="109"/>
        <v/>
      </c>
      <c r="AW51" s="48" t="str">
        <f t="shared" si="110"/>
        <v/>
      </c>
      <c r="AX51" s="48" t="str">
        <f t="shared" si="111"/>
        <v/>
      </c>
      <c r="AY51" s="84" t="str">
        <f t="shared" si="112"/>
        <v/>
      </c>
      <c r="AZ51" s="82" t="str">
        <f t="shared" si="113"/>
        <v/>
      </c>
      <c r="BA51" s="48" t="str">
        <f t="shared" si="114"/>
        <v/>
      </c>
      <c r="BB51" s="48" t="str">
        <f t="shared" si="115"/>
        <v/>
      </c>
      <c r="BC51" s="84" t="str">
        <f t="shared" si="116"/>
        <v/>
      </c>
      <c r="BD51" s="82" t="str">
        <f t="shared" si="117"/>
        <v/>
      </c>
      <c r="BE51" s="48" t="str">
        <f t="shared" si="118"/>
        <v/>
      </c>
      <c r="BF51" s="48" t="str">
        <f t="shared" si="119"/>
        <v/>
      </c>
      <c r="BG51" s="84" t="str">
        <f t="shared" si="120"/>
        <v/>
      </c>
      <c r="BH51" s="87" t="str">
        <f t="shared" si="121"/>
        <v/>
      </c>
      <c r="BI51" s="49" t="str">
        <f t="shared" si="122"/>
        <v/>
      </c>
      <c r="BJ51" s="49" t="str">
        <f t="shared" si="123"/>
        <v/>
      </c>
      <c r="BK51" s="89" t="str">
        <f t="shared" si="124"/>
        <v/>
      </c>
      <c r="BL51" s="87" t="str">
        <f t="shared" si="125"/>
        <v/>
      </c>
      <c r="BM51" s="49" t="str">
        <f t="shared" si="126"/>
        <v/>
      </c>
      <c r="BN51" s="49" t="str">
        <f t="shared" si="127"/>
        <v/>
      </c>
      <c r="BO51" s="89" t="str">
        <f t="shared" si="128"/>
        <v/>
      </c>
      <c r="BP51" s="87" t="str">
        <f t="shared" si="129"/>
        <v/>
      </c>
      <c r="BQ51" s="49" t="str">
        <f t="shared" si="130"/>
        <v/>
      </c>
      <c r="BR51" s="49" t="str">
        <f t="shared" si="131"/>
        <v/>
      </c>
      <c r="BS51" s="89" t="str">
        <f t="shared" si="132"/>
        <v/>
      </c>
      <c r="BT51" s="87"/>
    </row>
    <row r="52" spans="2:72">
      <c r="B52" s="81" t="str">
        <f>Weekly!B44</f>
        <v>01525</v>
      </c>
      <c r="C52" s="90" t="str">
        <f>Weekly!C44</f>
        <v>Michelle T.</v>
      </c>
      <c r="D52" s="90" t="str">
        <f>Weekly!D45</f>
        <v>Ishikawa</v>
      </c>
      <c r="E52" s="91" t="str">
        <f>VLOOKUP(B52,Team!$B$4:$E$183,4,FALSE)</f>
        <v>Acc.</v>
      </c>
      <c r="F52" s="92">
        <f>Weekly!Y44</f>
        <v>0.375</v>
      </c>
      <c r="G52" s="92">
        <f>Weekly!Z44</f>
        <v>0.70833333333333304</v>
      </c>
      <c r="H52" s="48" t="str">
        <f t="shared" si="69"/>
        <v/>
      </c>
      <c r="I52" s="48" t="str">
        <f t="shared" si="70"/>
        <v/>
      </c>
      <c r="J52" s="48" t="str">
        <f t="shared" si="71"/>
        <v/>
      </c>
      <c r="K52" s="84" t="str">
        <f t="shared" si="72"/>
        <v/>
      </c>
      <c r="L52" s="82" t="str">
        <f t="shared" si="73"/>
        <v/>
      </c>
      <c r="M52" s="48" t="str">
        <f t="shared" si="74"/>
        <v/>
      </c>
      <c r="N52" s="48" t="str">
        <f t="shared" si="75"/>
        <v/>
      </c>
      <c r="O52" s="84" t="str">
        <f t="shared" si="76"/>
        <v/>
      </c>
      <c r="P52" s="82" t="str">
        <f t="shared" si="77"/>
        <v>Acc.</v>
      </c>
      <c r="Q52" s="48" t="str">
        <f t="shared" si="78"/>
        <v>Acc.</v>
      </c>
      <c r="R52" s="48" t="str">
        <f t="shared" si="79"/>
        <v>Acc.</v>
      </c>
      <c r="S52" s="84" t="str">
        <f t="shared" si="80"/>
        <v>Acc.</v>
      </c>
      <c r="T52" s="82" t="str">
        <f t="shared" si="81"/>
        <v>Acc.</v>
      </c>
      <c r="U52" s="48" t="str">
        <f t="shared" si="82"/>
        <v>Acc.</v>
      </c>
      <c r="V52" s="48" t="str">
        <f t="shared" si="83"/>
        <v>Acc.</v>
      </c>
      <c r="W52" s="84" t="str">
        <f t="shared" si="84"/>
        <v>Acc.</v>
      </c>
      <c r="X52" s="82" t="str">
        <f t="shared" si="85"/>
        <v>Acc.</v>
      </c>
      <c r="Y52" s="48" t="str">
        <f t="shared" si="86"/>
        <v>Acc.</v>
      </c>
      <c r="Z52" s="48" t="str">
        <f t="shared" si="87"/>
        <v>Acc.</v>
      </c>
      <c r="AA52" s="84" t="str">
        <f t="shared" si="88"/>
        <v>Acc.</v>
      </c>
      <c r="AB52" s="82" t="str">
        <f t="shared" si="89"/>
        <v>Acc.</v>
      </c>
      <c r="AC52" s="48" t="str">
        <f t="shared" si="90"/>
        <v>Acc.</v>
      </c>
      <c r="AD52" s="48" t="str">
        <f t="shared" si="91"/>
        <v>Acc.</v>
      </c>
      <c r="AE52" s="84" t="str">
        <f t="shared" si="92"/>
        <v>Acc.</v>
      </c>
      <c r="AF52" s="82" t="str">
        <f t="shared" si="93"/>
        <v>Acc.</v>
      </c>
      <c r="AG52" s="48" t="str">
        <f t="shared" si="94"/>
        <v>Acc.</v>
      </c>
      <c r="AH52" s="48" t="str">
        <f t="shared" si="95"/>
        <v>Acc.</v>
      </c>
      <c r="AI52" s="84" t="str">
        <f t="shared" si="96"/>
        <v>Acc.</v>
      </c>
      <c r="AJ52" s="82" t="str">
        <f t="shared" si="97"/>
        <v>Acc.</v>
      </c>
      <c r="AK52" s="48" t="str">
        <f t="shared" si="98"/>
        <v>Acc.</v>
      </c>
      <c r="AL52" s="48" t="str">
        <f t="shared" si="99"/>
        <v>Acc.</v>
      </c>
      <c r="AM52" s="84" t="str">
        <f t="shared" si="100"/>
        <v>Acc.</v>
      </c>
      <c r="AN52" s="82" t="str">
        <f t="shared" si="101"/>
        <v>Acc.</v>
      </c>
      <c r="AO52" s="48" t="str">
        <f t="shared" si="102"/>
        <v>Acc.</v>
      </c>
      <c r="AP52" s="48" t="str">
        <f t="shared" si="103"/>
        <v>Acc.</v>
      </c>
      <c r="AQ52" s="84" t="str">
        <f t="shared" si="104"/>
        <v>Acc.</v>
      </c>
      <c r="AR52" s="82" t="str">
        <f t="shared" si="105"/>
        <v>Acc.</v>
      </c>
      <c r="AS52" s="48" t="str">
        <f t="shared" si="106"/>
        <v>Acc.</v>
      </c>
      <c r="AT52" s="48" t="str">
        <f t="shared" si="107"/>
        <v>Acc.</v>
      </c>
      <c r="AU52" s="84" t="str">
        <f t="shared" si="108"/>
        <v>Acc.</v>
      </c>
      <c r="AV52" s="82" t="str">
        <f t="shared" si="109"/>
        <v/>
      </c>
      <c r="AW52" s="48" t="str">
        <f t="shared" si="110"/>
        <v/>
      </c>
      <c r="AX52" s="48" t="str">
        <f t="shared" si="111"/>
        <v/>
      </c>
      <c r="AY52" s="84" t="str">
        <f t="shared" si="112"/>
        <v/>
      </c>
      <c r="AZ52" s="82" t="str">
        <f t="shared" si="113"/>
        <v/>
      </c>
      <c r="BA52" s="48" t="str">
        <f t="shared" si="114"/>
        <v/>
      </c>
      <c r="BB52" s="48" t="str">
        <f t="shared" si="115"/>
        <v/>
      </c>
      <c r="BC52" s="84" t="str">
        <f t="shared" si="116"/>
        <v/>
      </c>
      <c r="BD52" s="82" t="str">
        <f t="shared" si="117"/>
        <v/>
      </c>
      <c r="BE52" s="48" t="str">
        <f t="shared" si="118"/>
        <v/>
      </c>
      <c r="BF52" s="48" t="str">
        <f t="shared" si="119"/>
        <v/>
      </c>
      <c r="BG52" s="84" t="str">
        <f t="shared" si="120"/>
        <v/>
      </c>
      <c r="BH52" s="87" t="str">
        <f t="shared" si="121"/>
        <v/>
      </c>
      <c r="BI52" s="49" t="str">
        <f t="shared" si="122"/>
        <v/>
      </c>
      <c r="BJ52" s="49" t="str">
        <f t="shared" si="123"/>
        <v/>
      </c>
      <c r="BK52" s="89" t="str">
        <f t="shared" si="124"/>
        <v/>
      </c>
      <c r="BL52" s="87" t="str">
        <f t="shared" si="125"/>
        <v/>
      </c>
      <c r="BM52" s="49" t="str">
        <f t="shared" si="126"/>
        <v/>
      </c>
      <c r="BN52" s="49" t="str">
        <f t="shared" si="127"/>
        <v/>
      </c>
      <c r="BO52" s="89" t="str">
        <f t="shared" si="128"/>
        <v/>
      </c>
      <c r="BP52" s="87" t="str">
        <f t="shared" si="129"/>
        <v/>
      </c>
      <c r="BQ52" s="49" t="str">
        <f t="shared" si="130"/>
        <v/>
      </c>
      <c r="BR52" s="49" t="str">
        <f t="shared" si="131"/>
        <v/>
      </c>
      <c r="BS52" s="89" t="str">
        <f t="shared" si="132"/>
        <v/>
      </c>
      <c r="BT52" s="87"/>
    </row>
    <row r="53" spans="2:72">
      <c r="B53" s="81" t="str">
        <f>Weekly!B45</f>
        <v>1234</v>
      </c>
      <c r="C53" s="90" t="str">
        <f>Weekly!C45</f>
        <v>Misato</v>
      </c>
      <c r="D53" s="90" t="str">
        <f>Weekly!D46</f>
        <v>Choi</v>
      </c>
      <c r="E53" s="91" t="str">
        <f>VLOOKUP(B53,Team!$B$4:$E$183,4,FALSE)</f>
        <v>L's</v>
      </c>
      <c r="F53" s="92" t="str">
        <f>Weekly!Y45</f>
        <v/>
      </c>
      <c r="G53" s="92" t="str">
        <f>Weekly!Z45</f>
        <v/>
      </c>
      <c r="H53" s="48" t="str">
        <f t="shared" si="69"/>
        <v/>
      </c>
      <c r="I53" s="48" t="str">
        <f t="shared" si="70"/>
        <v/>
      </c>
      <c r="J53" s="48" t="str">
        <f t="shared" si="71"/>
        <v/>
      </c>
      <c r="K53" s="84" t="str">
        <f t="shared" si="72"/>
        <v/>
      </c>
      <c r="L53" s="82" t="str">
        <f t="shared" si="73"/>
        <v/>
      </c>
      <c r="M53" s="48" t="str">
        <f t="shared" si="74"/>
        <v/>
      </c>
      <c r="N53" s="48" t="str">
        <f t="shared" si="75"/>
        <v/>
      </c>
      <c r="O53" s="84" t="str">
        <f t="shared" si="76"/>
        <v/>
      </c>
      <c r="P53" s="82" t="str">
        <f t="shared" si="77"/>
        <v/>
      </c>
      <c r="Q53" s="48" t="str">
        <f t="shared" si="78"/>
        <v/>
      </c>
      <c r="R53" s="48" t="str">
        <f t="shared" si="79"/>
        <v/>
      </c>
      <c r="S53" s="84" t="str">
        <f t="shared" si="80"/>
        <v/>
      </c>
      <c r="T53" s="82" t="str">
        <f t="shared" si="81"/>
        <v/>
      </c>
      <c r="U53" s="48" t="str">
        <f t="shared" si="82"/>
        <v/>
      </c>
      <c r="V53" s="48" t="str">
        <f t="shared" si="83"/>
        <v/>
      </c>
      <c r="W53" s="84" t="str">
        <f t="shared" si="84"/>
        <v/>
      </c>
      <c r="X53" s="82" t="str">
        <f t="shared" si="85"/>
        <v/>
      </c>
      <c r="Y53" s="48" t="str">
        <f t="shared" si="86"/>
        <v/>
      </c>
      <c r="Z53" s="48" t="str">
        <f t="shared" si="87"/>
        <v/>
      </c>
      <c r="AA53" s="84" t="str">
        <f t="shared" si="88"/>
        <v/>
      </c>
      <c r="AB53" s="82" t="str">
        <f t="shared" si="89"/>
        <v/>
      </c>
      <c r="AC53" s="48" t="str">
        <f t="shared" si="90"/>
        <v/>
      </c>
      <c r="AD53" s="48" t="str">
        <f t="shared" si="91"/>
        <v/>
      </c>
      <c r="AE53" s="84" t="str">
        <f t="shared" si="92"/>
        <v/>
      </c>
      <c r="AF53" s="82" t="str">
        <f t="shared" si="93"/>
        <v/>
      </c>
      <c r="AG53" s="48" t="str">
        <f t="shared" si="94"/>
        <v/>
      </c>
      <c r="AH53" s="48" t="str">
        <f t="shared" si="95"/>
        <v/>
      </c>
      <c r="AI53" s="84" t="str">
        <f t="shared" si="96"/>
        <v/>
      </c>
      <c r="AJ53" s="82" t="str">
        <f t="shared" si="97"/>
        <v/>
      </c>
      <c r="AK53" s="48" t="str">
        <f t="shared" si="98"/>
        <v/>
      </c>
      <c r="AL53" s="48" t="str">
        <f t="shared" si="99"/>
        <v/>
      </c>
      <c r="AM53" s="84" t="str">
        <f t="shared" si="100"/>
        <v/>
      </c>
      <c r="AN53" s="82" t="str">
        <f t="shared" si="101"/>
        <v/>
      </c>
      <c r="AO53" s="48" t="str">
        <f t="shared" si="102"/>
        <v/>
      </c>
      <c r="AP53" s="48" t="str">
        <f t="shared" si="103"/>
        <v/>
      </c>
      <c r="AQ53" s="84" t="str">
        <f t="shared" si="104"/>
        <v/>
      </c>
      <c r="AR53" s="82" t="str">
        <f t="shared" si="105"/>
        <v/>
      </c>
      <c r="AS53" s="48" t="str">
        <f t="shared" si="106"/>
        <v/>
      </c>
      <c r="AT53" s="48" t="str">
        <f t="shared" si="107"/>
        <v/>
      </c>
      <c r="AU53" s="84" t="str">
        <f t="shared" si="108"/>
        <v/>
      </c>
      <c r="AV53" s="82" t="str">
        <f t="shared" si="109"/>
        <v/>
      </c>
      <c r="AW53" s="48" t="str">
        <f t="shared" si="110"/>
        <v/>
      </c>
      <c r="AX53" s="48" t="str">
        <f t="shared" si="111"/>
        <v/>
      </c>
      <c r="AY53" s="84" t="str">
        <f t="shared" si="112"/>
        <v/>
      </c>
      <c r="AZ53" s="82" t="str">
        <f t="shared" si="113"/>
        <v/>
      </c>
      <c r="BA53" s="48" t="str">
        <f t="shared" si="114"/>
        <v/>
      </c>
      <c r="BB53" s="48" t="str">
        <f t="shared" si="115"/>
        <v/>
      </c>
      <c r="BC53" s="84" t="str">
        <f t="shared" si="116"/>
        <v/>
      </c>
      <c r="BD53" s="82" t="str">
        <f t="shared" si="117"/>
        <v/>
      </c>
      <c r="BE53" s="48" t="str">
        <f t="shared" si="118"/>
        <v/>
      </c>
      <c r="BF53" s="48" t="str">
        <f t="shared" si="119"/>
        <v/>
      </c>
      <c r="BG53" s="84" t="str">
        <f t="shared" si="120"/>
        <v/>
      </c>
      <c r="BH53" s="87" t="str">
        <f t="shared" si="121"/>
        <v/>
      </c>
      <c r="BI53" s="49" t="str">
        <f t="shared" si="122"/>
        <v/>
      </c>
      <c r="BJ53" s="49" t="str">
        <f t="shared" si="123"/>
        <v/>
      </c>
      <c r="BK53" s="89" t="str">
        <f t="shared" si="124"/>
        <v/>
      </c>
      <c r="BL53" s="87" t="str">
        <f t="shared" si="125"/>
        <v/>
      </c>
      <c r="BM53" s="49" t="str">
        <f t="shared" si="126"/>
        <v/>
      </c>
      <c r="BN53" s="49" t="str">
        <f t="shared" si="127"/>
        <v/>
      </c>
      <c r="BO53" s="89" t="str">
        <f t="shared" si="128"/>
        <v/>
      </c>
      <c r="BP53" s="87" t="str">
        <f t="shared" si="129"/>
        <v/>
      </c>
      <c r="BQ53" s="49" t="str">
        <f t="shared" si="130"/>
        <v/>
      </c>
      <c r="BR53" s="49" t="str">
        <f t="shared" si="131"/>
        <v/>
      </c>
      <c r="BS53" s="89" t="str">
        <f t="shared" si="132"/>
        <v/>
      </c>
      <c r="BT53" s="87"/>
    </row>
    <row r="54" spans="2:72">
      <c r="B54" s="81" t="str">
        <f>Weekly!B46</f>
        <v>1015</v>
      </c>
      <c r="C54" s="90" t="str">
        <f>Weekly!C46</f>
        <v>Natalie C.</v>
      </c>
      <c r="D54" s="90" t="str">
        <f>Weekly!D47</f>
        <v>Nguyen</v>
      </c>
      <c r="E54" s="91" t="str">
        <f>VLOOKUP(B54,Team!$B$4:$E$183,4,FALSE)</f>
        <v>H&amp;B</v>
      </c>
      <c r="F54" s="92" t="str">
        <f>Weekly!Y46</f>
        <v/>
      </c>
      <c r="G54" s="92" t="str">
        <f>Weekly!Z46</f>
        <v/>
      </c>
      <c r="H54" s="48" t="str">
        <f t="shared" si="69"/>
        <v/>
      </c>
      <c r="I54" s="48" t="str">
        <f t="shared" si="70"/>
        <v/>
      </c>
      <c r="J54" s="48" t="str">
        <f t="shared" si="71"/>
        <v/>
      </c>
      <c r="K54" s="84" t="str">
        <f t="shared" si="72"/>
        <v/>
      </c>
      <c r="L54" s="82" t="str">
        <f t="shared" si="73"/>
        <v/>
      </c>
      <c r="M54" s="48" t="str">
        <f t="shared" si="74"/>
        <v/>
      </c>
      <c r="N54" s="48" t="str">
        <f t="shared" si="75"/>
        <v/>
      </c>
      <c r="O54" s="84" t="str">
        <f t="shared" si="76"/>
        <v/>
      </c>
      <c r="P54" s="82" t="str">
        <f t="shared" si="77"/>
        <v/>
      </c>
      <c r="Q54" s="48" t="str">
        <f t="shared" si="78"/>
        <v/>
      </c>
      <c r="R54" s="48" t="str">
        <f t="shared" si="79"/>
        <v/>
      </c>
      <c r="S54" s="84" t="str">
        <f t="shared" si="80"/>
        <v/>
      </c>
      <c r="T54" s="82" t="str">
        <f t="shared" si="81"/>
        <v/>
      </c>
      <c r="U54" s="48" t="str">
        <f t="shared" si="82"/>
        <v/>
      </c>
      <c r="V54" s="48" t="str">
        <f t="shared" si="83"/>
        <v/>
      </c>
      <c r="W54" s="84" t="str">
        <f t="shared" si="84"/>
        <v/>
      </c>
      <c r="X54" s="82" t="str">
        <f t="shared" si="85"/>
        <v/>
      </c>
      <c r="Y54" s="48" t="str">
        <f t="shared" si="86"/>
        <v/>
      </c>
      <c r="Z54" s="48" t="str">
        <f t="shared" si="87"/>
        <v/>
      </c>
      <c r="AA54" s="84" t="str">
        <f t="shared" si="88"/>
        <v/>
      </c>
      <c r="AB54" s="82" t="str">
        <f t="shared" si="89"/>
        <v/>
      </c>
      <c r="AC54" s="48" t="str">
        <f t="shared" si="90"/>
        <v/>
      </c>
      <c r="AD54" s="48" t="str">
        <f t="shared" si="91"/>
        <v/>
      </c>
      <c r="AE54" s="84" t="str">
        <f t="shared" si="92"/>
        <v/>
      </c>
      <c r="AF54" s="82" t="str">
        <f t="shared" si="93"/>
        <v/>
      </c>
      <c r="AG54" s="48" t="str">
        <f t="shared" si="94"/>
        <v/>
      </c>
      <c r="AH54" s="48" t="str">
        <f t="shared" si="95"/>
        <v/>
      </c>
      <c r="AI54" s="84" t="str">
        <f t="shared" si="96"/>
        <v/>
      </c>
      <c r="AJ54" s="82" t="str">
        <f t="shared" si="97"/>
        <v/>
      </c>
      <c r="AK54" s="48" t="str">
        <f t="shared" si="98"/>
        <v/>
      </c>
      <c r="AL54" s="48" t="str">
        <f t="shared" si="99"/>
        <v/>
      </c>
      <c r="AM54" s="84" t="str">
        <f t="shared" si="100"/>
        <v/>
      </c>
      <c r="AN54" s="82" t="str">
        <f t="shared" si="101"/>
        <v/>
      </c>
      <c r="AO54" s="48" t="str">
        <f t="shared" si="102"/>
        <v/>
      </c>
      <c r="AP54" s="48" t="str">
        <f t="shared" si="103"/>
        <v/>
      </c>
      <c r="AQ54" s="84" t="str">
        <f t="shared" si="104"/>
        <v/>
      </c>
      <c r="AR54" s="82" t="str">
        <f t="shared" si="105"/>
        <v/>
      </c>
      <c r="AS54" s="48" t="str">
        <f t="shared" si="106"/>
        <v/>
      </c>
      <c r="AT54" s="48" t="str">
        <f t="shared" si="107"/>
        <v/>
      </c>
      <c r="AU54" s="84" t="str">
        <f t="shared" si="108"/>
        <v/>
      </c>
      <c r="AV54" s="82" t="str">
        <f t="shared" si="109"/>
        <v/>
      </c>
      <c r="AW54" s="48" t="str">
        <f t="shared" si="110"/>
        <v/>
      </c>
      <c r="AX54" s="48" t="str">
        <f t="shared" si="111"/>
        <v/>
      </c>
      <c r="AY54" s="84" t="str">
        <f t="shared" si="112"/>
        <v/>
      </c>
      <c r="AZ54" s="82" t="str">
        <f t="shared" si="113"/>
        <v/>
      </c>
      <c r="BA54" s="48" t="str">
        <f t="shared" si="114"/>
        <v/>
      </c>
      <c r="BB54" s="48" t="str">
        <f t="shared" si="115"/>
        <v/>
      </c>
      <c r="BC54" s="84" t="str">
        <f t="shared" si="116"/>
        <v/>
      </c>
      <c r="BD54" s="82" t="str">
        <f t="shared" si="117"/>
        <v/>
      </c>
      <c r="BE54" s="48" t="str">
        <f t="shared" si="118"/>
        <v/>
      </c>
      <c r="BF54" s="48" t="str">
        <f t="shared" si="119"/>
        <v/>
      </c>
      <c r="BG54" s="84" t="str">
        <f t="shared" si="120"/>
        <v/>
      </c>
      <c r="BH54" s="87" t="str">
        <f t="shared" si="121"/>
        <v/>
      </c>
      <c r="BI54" s="49" t="str">
        <f t="shared" si="122"/>
        <v/>
      </c>
      <c r="BJ54" s="49" t="str">
        <f t="shared" si="123"/>
        <v/>
      </c>
      <c r="BK54" s="89" t="str">
        <f t="shared" si="124"/>
        <v/>
      </c>
      <c r="BL54" s="87" t="str">
        <f t="shared" si="125"/>
        <v/>
      </c>
      <c r="BM54" s="49" t="str">
        <f t="shared" si="126"/>
        <v/>
      </c>
      <c r="BN54" s="49" t="str">
        <f t="shared" si="127"/>
        <v/>
      </c>
      <c r="BO54" s="89" t="str">
        <f t="shared" si="128"/>
        <v/>
      </c>
      <c r="BP54" s="87" t="str">
        <f t="shared" si="129"/>
        <v/>
      </c>
      <c r="BQ54" s="49" t="str">
        <f t="shared" si="130"/>
        <v/>
      </c>
      <c r="BR54" s="49" t="str">
        <f t="shared" si="131"/>
        <v/>
      </c>
      <c r="BS54" s="89" t="str">
        <f t="shared" si="132"/>
        <v/>
      </c>
      <c r="BT54" s="87"/>
    </row>
    <row r="55" spans="2:72">
      <c r="B55" s="81" t="str">
        <f>Weekly!B47</f>
        <v>01529</v>
      </c>
      <c r="C55" s="90" t="str">
        <f>Weekly!C47</f>
        <v>Natalie N.</v>
      </c>
      <c r="D55" s="90" t="str">
        <f>Weekly!D48</f>
        <v>De Vera</v>
      </c>
      <c r="E55" s="91" t="str">
        <f>VLOOKUP(B55,Team!$B$4:$E$183,4,FALSE)</f>
        <v>L's</v>
      </c>
      <c r="F55" s="92" t="str">
        <f>Weekly!Y47</f>
        <v/>
      </c>
      <c r="G55" s="92" t="str">
        <f>Weekly!Z47</f>
        <v/>
      </c>
      <c r="H55" s="48" t="str">
        <f t="shared" si="69"/>
        <v/>
      </c>
      <c r="I55" s="48" t="str">
        <f t="shared" si="70"/>
        <v/>
      </c>
      <c r="J55" s="48" t="str">
        <f t="shared" si="71"/>
        <v/>
      </c>
      <c r="K55" s="84" t="str">
        <f t="shared" si="72"/>
        <v/>
      </c>
      <c r="L55" s="82" t="str">
        <f t="shared" si="73"/>
        <v/>
      </c>
      <c r="M55" s="48" t="str">
        <f t="shared" si="74"/>
        <v/>
      </c>
      <c r="N55" s="48" t="str">
        <f t="shared" si="75"/>
        <v/>
      </c>
      <c r="O55" s="84" t="str">
        <f t="shared" si="76"/>
        <v/>
      </c>
      <c r="P55" s="82" t="str">
        <f t="shared" si="77"/>
        <v/>
      </c>
      <c r="Q55" s="48" t="str">
        <f t="shared" si="78"/>
        <v/>
      </c>
      <c r="R55" s="48" t="str">
        <f t="shared" si="79"/>
        <v/>
      </c>
      <c r="S55" s="84" t="str">
        <f t="shared" si="80"/>
        <v/>
      </c>
      <c r="T55" s="82" t="str">
        <f t="shared" si="81"/>
        <v/>
      </c>
      <c r="U55" s="48" t="str">
        <f t="shared" si="82"/>
        <v/>
      </c>
      <c r="V55" s="48" t="str">
        <f t="shared" si="83"/>
        <v/>
      </c>
      <c r="W55" s="84" t="str">
        <f t="shared" si="84"/>
        <v/>
      </c>
      <c r="X55" s="82" t="str">
        <f t="shared" si="85"/>
        <v/>
      </c>
      <c r="Y55" s="48" t="str">
        <f t="shared" si="86"/>
        <v/>
      </c>
      <c r="Z55" s="48" t="str">
        <f t="shared" si="87"/>
        <v/>
      </c>
      <c r="AA55" s="84" t="str">
        <f t="shared" si="88"/>
        <v/>
      </c>
      <c r="AB55" s="82" t="str">
        <f t="shared" si="89"/>
        <v/>
      </c>
      <c r="AC55" s="48" t="str">
        <f t="shared" si="90"/>
        <v/>
      </c>
      <c r="AD55" s="48" t="str">
        <f t="shared" si="91"/>
        <v/>
      </c>
      <c r="AE55" s="84" t="str">
        <f t="shared" si="92"/>
        <v/>
      </c>
      <c r="AF55" s="82" t="str">
        <f t="shared" si="93"/>
        <v/>
      </c>
      <c r="AG55" s="48" t="str">
        <f t="shared" si="94"/>
        <v/>
      </c>
      <c r="AH55" s="48" t="str">
        <f t="shared" si="95"/>
        <v/>
      </c>
      <c r="AI55" s="84" t="str">
        <f t="shared" si="96"/>
        <v/>
      </c>
      <c r="AJ55" s="82" t="str">
        <f t="shared" si="97"/>
        <v/>
      </c>
      <c r="AK55" s="48" t="str">
        <f t="shared" si="98"/>
        <v/>
      </c>
      <c r="AL55" s="48" t="str">
        <f t="shared" si="99"/>
        <v/>
      </c>
      <c r="AM55" s="84" t="str">
        <f t="shared" si="100"/>
        <v/>
      </c>
      <c r="AN55" s="82" t="str">
        <f t="shared" si="101"/>
        <v/>
      </c>
      <c r="AO55" s="48" t="str">
        <f t="shared" si="102"/>
        <v/>
      </c>
      <c r="AP55" s="48" t="str">
        <f t="shared" si="103"/>
        <v/>
      </c>
      <c r="AQ55" s="84" t="str">
        <f t="shared" si="104"/>
        <v/>
      </c>
      <c r="AR55" s="82" t="str">
        <f t="shared" si="105"/>
        <v/>
      </c>
      <c r="AS55" s="48" t="str">
        <f t="shared" si="106"/>
        <v/>
      </c>
      <c r="AT55" s="48" t="str">
        <f t="shared" si="107"/>
        <v/>
      </c>
      <c r="AU55" s="84" t="str">
        <f t="shared" si="108"/>
        <v/>
      </c>
      <c r="AV55" s="82" t="str">
        <f t="shared" si="109"/>
        <v/>
      </c>
      <c r="AW55" s="48" t="str">
        <f t="shared" si="110"/>
        <v/>
      </c>
      <c r="AX55" s="48" t="str">
        <f t="shared" si="111"/>
        <v/>
      </c>
      <c r="AY55" s="84" t="str">
        <f t="shared" si="112"/>
        <v/>
      </c>
      <c r="AZ55" s="82" t="str">
        <f t="shared" si="113"/>
        <v/>
      </c>
      <c r="BA55" s="48" t="str">
        <f t="shared" si="114"/>
        <v/>
      </c>
      <c r="BB55" s="48" t="str">
        <f t="shared" si="115"/>
        <v/>
      </c>
      <c r="BC55" s="84" t="str">
        <f t="shared" si="116"/>
        <v/>
      </c>
      <c r="BD55" s="82" t="str">
        <f t="shared" si="117"/>
        <v/>
      </c>
      <c r="BE55" s="48" t="str">
        <f t="shared" si="118"/>
        <v/>
      </c>
      <c r="BF55" s="48" t="str">
        <f t="shared" si="119"/>
        <v/>
      </c>
      <c r="BG55" s="84" t="str">
        <f t="shared" si="120"/>
        <v/>
      </c>
      <c r="BH55" s="87" t="str">
        <f t="shared" si="121"/>
        <v/>
      </c>
      <c r="BI55" s="49" t="str">
        <f t="shared" si="122"/>
        <v/>
      </c>
      <c r="BJ55" s="49" t="str">
        <f t="shared" si="123"/>
        <v/>
      </c>
      <c r="BK55" s="89" t="str">
        <f t="shared" si="124"/>
        <v/>
      </c>
      <c r="BL55" s="87" t="str">
        <f t="shared" si="125"/>
        <v/>
      </c>
      <c r="BM55" s="49" t="str">
        <f t="shared" si="126"/>
        <v/>
      </c>
      <c r="BN55" s="49" t="str">
        <f t="shared" si="127"/>
        <v/>
      </c>
      <c r="BO55" s="89" t="str">
        <f t="shared" si="128"/>
        <v/>
      </c>
      <c r="BP55" s="87" t="str">
        <f t="shared" si="129"/>
        <v/>
      </c>
      <c r="BQ55" s="49" t="str">
        <f t="shared" si="130"/>
        <v/>
      </c>
      <c r="BR55" s="49" t="str">
        <f t="shared" si="131"/>
        <v/>
      </c>
      <c r="BS55" s="89" t="str">
        <f t="shared" si="132"/>
        <v/>
      </c>
      <c r="BT55" s="87"/>
    </row>
    <row r="56" spans="2:72">
      <c r="B56" s="81" t="str">
        <f>Weekly!B48</f>
        <v>1257</v>
      </c>
      <c r="C56" s="90" t="str">
        <f>Weekly!C48</f>
        <v>Noreen</v>
      </c>
      <c r="D56" s="90" t="str">
        <f>Weekly!D49</f>
        <v>Lin</v>
      </c>
      <c r="E56" s="91" t="str">
        <f>VLOOKUP(B56,Team!$B$4:$E$183,4,FALSE)</f>
        <v>L's</v>
      </c>
      <c r="F56" s="92" t="str">
        <f>Weekly!Y48</f>
        <v/>
      </c>
      <c r="G56" s="92" t="str">
        <f>Weekly!Z48</f>
        <v/>
      </c>
      <c r="H56" s="48" t="str">
        <f t="shared" si="69"/>
        <v/>
      </c>
      <c r="I56" s="48" t="str">
        <f t="shared" si="70"/>
        <v/>
      </c>
      <c r="J56" s="48" t="str">
        <f t="shared" si="71"/>
        <v/>
      </c>
      <c r="K56" s="84" t="str">
        <f t="shared" si="72"/>
        <v/>
      </c>
      <c r="L56" s="82" t="str">
        <f t="shared" si="73"/>
        <v/>
      </c>
      <c r="M56" s="48" t="str">
        <f t="shared" si="74"/>
        <v/>
      </c>
      <c r="N56" s="48" t="str">
        <f t="shared" si="75"/>
        <v/>
      </c>
      <c r="O56" s="84" t="str">
        <f t="shared" si="76"/>
        <v/>
      </c>
      <c r="P56" s="82" t="str">
        <f t="shared" si="77"/>
        <v/>
      </c>
      <c r="Q56" s="48" t="str">
        <f t="shared" si="78"/>
        <v/>
      </c>
      <c r="R56" s="48" t="str">
        <f t="shared" si="79"/>
        <v/>
      </c>
      <c r="S56" s="84" t="str">
        <f t="shared" si="80"/>
        <v/>
      </c>
      <c r="T56" s="82" t="str">
        <f t="shared" si="81"/>
        <v/>
      </c>
      <c r="U56" s="48" t="str">
        <f t="shared" si="82"/>
        <v/>
      </c>
      <c r="V56" s="48" t="str">
        <f t="shared" si="83"/>
        <v/>
      </c>
      <c r="W56" s="84" t="str">
        <f t="shared" si="84"/>
        <v/>
      </c>
      <c r="X56" s="82" t="str">
        <f t="shared" si="85"/>
        <v/>
      </c>
      <c r="Y56" s="48" t="str">
        <f t="shared" si="86"/>
        <v/>
      </c>
      <c r="Z56" s="48" t="str">
        <f t="shared" si="87"/>
        <v/>
      </c>
      <c r="AA56" s="84" t="str">
        <f t="shared" si="88"/>
        <v/>
      </c>
      <c r="AB56" s="82" t="str">
        <f t="shared" si="89"/>
        <v/>
      </c>
      <c r="AC56" s="48" t="str">
        <f t="shared" si="90"/>
        <v/>
      </c>
      <c r="AD56" s="48" t="str">
        <f t="shared" si="91"/>
        <v/>
      </c>
      <c r="AE56" s="84" t="str">
        <f t="shared" si="92"/>
        <v/>
      </c>
      <c r="AF56" s="82" t="str">
        <f t="shared" si="93"/>
        <v/>
      </c>
      <c r="AG56" s="48" t="str">
        <f t="shared" si="94"/>
        <v/>
      </c>
      <c r="AH56" s="48" t="str">
        <f t="shared" si="95"/>
        <v/>
      </c>
      <c r="AI56" s="84" t="str">
        <f t="shared" si="96"/>
        <v/>
      </c>
      <c r="AJ56" s="82" t="str">
        <f t="shared" si="97"/>
        <v/>
      </c>
      <c r="AK56" s="48" t="str">
        <f t="shared" si="98"/>
        <v/>
      </c>
      <c r="AL56" s="48" t="str">
        <f t="shared" si="99"/>
        <v/>
      </c>
      <c r="AM56" s="84" t="str">
        <f t="shared" si="100"/>
        <v/>
      </c>
      <c r="AN56" s="82" t="str">
        <f t="shared" si="101"/>
        <v/>
      </c>
      <c r="AO56" s="48" t="str">
        <f t="shared" si="102"/>
        <v/>
      </c>
      <c r="AP56" s="48" t="str">
        <f t="shared" si="103"/>
        <v/>
      </c>
      <c r="AQ56" s="84" t="str">
        <f t="shared" si="104"/>
        <v/>
      </c>
      <c r="AR56" s="82" t="str">
        <f t="shared" si="105"/>
        <v/>
      </c>
      <c r="AS56" s="48" t="str">
        <f t="shared" si="106"/>
        <v/>
      </c>
      <c r="AT56" s="48" t="str">
        <f t="shared" si="107"/>
        <v/>
      </c>
      <c r="AU56" s="84" t="str">
        <f t="shared" si="108"/>
        <v/>
      </c>
      <c r="AV56" s="82" t="str">
        <f t="shared" si="109"/>
        <v/>
      </c>
      <c r="AW56" s="48" t="str">
        <f t="shared" si="110"/>
        <v/>
      </c>
      <c r="AX56" s="48" t="str">
        <f t="shared" si="111"/>
        <v/>
      </c>
      <c r="AY56" s="84" t="str">
        <f t="shared" si="112"/>
        <v/>
      </c>
      <c r="AZ56" s="82" t="str">
        <f t="shared" si="113"/>
        <v/>
      </c>
      <c r="BA56" s="48" t="str">
        <f t="shared" si="114"/>
        <v/>
      </c>
      <c r="BB56" s="48" t="str">
        <f t="shared" si="115"/>
        <v/>
      </c>
      <c r="BC56" s="84" t="str">
        <f t="shared" si="116"/>
        <v/>
      </c>
      <c r="BD56" s="82" t="str">
        <f t="shared" si="117"/>
        <v/>
      </c>
      <c r="BE56" s="48" t="str">
        <f t="shared" si="118"/>
        <v/>
      </c>
      <c r="BF56" s="48" t="str">
        <f t="shared" si="119"/>
        <v/>
      </c>
      <c r="BG56" s="84" t="str">
        <f t="shared" si="120"/>
        <v/>
      </c>
      <c r="BH56" s="87" t="str">
        <f t="shared" si="121"/>
        <v/>
      </c>
      <c r="BI56" s="49" t="str">
        <f t="shared" si="122"/>
        <v/>
      </c>
      <c r="BJ56" s="49" t="str">
        <f t="shared" si="123"/>
        <v/>
      </c>
      <c r="BK56" s="89" t="str">
        <f t="shared" si="124"/>
        <v/>
      </c>
      <c r="BL56" s="87" t="str">
        <f t="shared" si="125"/>
        <v/>
      </c>
      <c r="BM56" s="49" t="str">
        <f t="shared" si="126"/>
        <v/>
      </c>
      <c r="BN56" s="49" t="str">
        <f t="shared" si="127"/>
        <v/>
      </c>
      <c r="BO56" s="89" t="str">
        <f t="shared" si="128"/>
        <v/>
      </c>
      <c r="BP56" s="87" t="str">
        <f t="shared" si="129"/>
        <v/>
      </c>
      <c r="BQ56" s="49" t="str">
        <f t="shared" si="130"/>
        <v/>
      </c>
      <c r="BR56" s="49" t="str">
        <f t="shared" si="131"/>
        <v/>
      </c>
      <c r="BS56" s="89" t="str">
        <f t="shared" si="132"/>
        <v/>
      </c>
      <c r="BT56" s="87"/>
    </row>
    <row r="57" spans="2:72">
      <c r="B57" s="81" t="str">
        <f>Weekly!B49</f>
        <v>1287</v>
      </c>
      <c r="C57" s="90" t="str">
        <f>Weekly!C49</f>
        <v>Pearl</v>
      </c>
      <c r="D57" s="90" t="str">
        <f>Weekly!D50</f>
        <v>Rabena</v>
      </c>
      <c r="E57" s="91" t="str">
        <f>VLOOKUP(B57,Team!$B$4:$E$183,4,FALSE)</f>
        <v>L's</v>
      </c>
      <c r="F57" s="92" t="str">
        <f>Weekly!Y49</f>
        <v/>
      </c>
      <c r="G57" s="92" t="str">
        <f>Weekly!Z49</f>
        <v/>
      </c>
      <c r="H57" s="48" t="str">
        <f t="shared" si="69"/>
        <v/>
      </c>
      <c r="I57" s="48" t="str">
        <f t="shared" si="70"/>
        <v/>
      </c>
      <c r="J57" s="48" t="str">
        <f t="shared" si="71"/>
        <v/>
      </c>
      <c r="K57" s="84" t="str">
        <f t="shared" si="72"/>
        <v/>
      </c>
      <c r="L57" s="82" t="str">
        <f t="shared" si="73"/>
        <v/>
      </c>
      <c r="M57" s="48" t="str">
        <f t="shared" si="74"/>
        <v/>
      </c>
      <c r="N57" s="48" t="str">
        <f t="shared" si="75"/>
        <v/>
      </c>
      <c r="O57" s="84" t="str">
        <f t="shared" si="76"/>
        <v/>
      </c>
      <c r="P57" s="82" t="str">
        <f t="shared" si="77"/>
        <v/>
      </c>
      <c r="Q57" s="48" t="str">
        <f t="shared" si="78"/>
        <v/>
      </c>
      <c r="R57" s="48" t="str">
        <f t="shared" si="79"/>
        <v/>
      </c>
      <c r="S57" s="84" t="str">
        <f t="shared" si="80"/>
        <v/>
      </c>
      <c r="T57" s="82" t="str">
        <f t="shared" si="81"/>
        <v/>
      </c>
      <c r="U57" s="48" t="str">
        <f t="shared" si="82"/>
        <v/>
      </c>
      <c r="V57" s="48" t="str">
        <f t="shared" si="83"/>
        <v/>
      </c>
      <c r="W57" s="84" t="str">
        <f t="shared" si="84"/>
        <v/>
      </c>
      <c r="X57" s="82" t="str">
        <f t="shared" si="85"/>
        <v/>
      </c>
      <c r="Y57" s="48" t="str">
        <f t="shared" si="86"/>
        <v/>
      </c>
      <c r="Z57" s="48" t="str">
        <f t="shared" si="87"/>
        <v/>
      </c>
      <c r="AA57" s="84" t="str">
        <f t="shared" si="88"/>
        <v/>
      </c>
      <c r="AB57" s="82" t="str">
        <f t="shared" si="89"/>
        <v/>
      </c>
      <c r="AC57" s="48" t="str">
        <f t="shared" si="90"/>
        <v/>
      </c>
      <c r="AD57" s="48" t="str">
        <f t="shared" si="91"/>
        <v/>
      </c>
      <c r="AE57" s="84" t="str">
        <f t="shared" si="92"/>
        <v/>
      </c>
      <c r="AF57" s="82" t="str">
        <f t="shared" si="93"/>
        <v/>
      </c>
      <c r="AG57" s="48" t="str">
        <f t="shared" si="94"/>
        <v/>
      </c>
      <c r="AH57" s="48" t="str">
        <f t="shared" si="95"/>
        <v/>
      </c>
      <c r="AI57" s="84" t="str">
        <f t="shared" si="96"/>
        <v/>
      </c>
      <c r="AJ57" s="82" t="str">
        <f t="shared" si="97"/>
        <v/>
      </c>
      <c r="AK57" s="48" t="str">
        <f t="shared" si="98"/>
        <v/>
      </c>
      <c r="AL57" s="48" t="str">
        <f t="shared" si="99"/>
        <v/>
      </c>
      <c r="AM57" s="84" t="str">
        <f t="shared" si="100"/>
        <v/>
      </c>
      <c r="AN57" s="82" t="str">
        <f t="shared" si="101"/>
        <v/>
      </c>
      <c r="AO57" s="48" t="str">
        <f t="shared" si="102"/>
        <v/>
      </c>
      <c r="AP57" s="48" t="str">
        <f t="shared" si="103"/>
        <v/>
      </c>
      <c r="AQ57" s="84" t="str">
        <f t="shared" si="104"/>
        <v/>
      </c>
      <c r="AR57" s="82" t="str">
        <f t="shared" si="105"/>
        <v/>
      </c>
      <c r="AS57" s="48" t="str">
        <f t="shared" si="106"/>
        <v/>
      </c>
      <c r="AT57" s="48" t="str">
        <f t="shared" si="107"/>
        <v/>
      </c>
      <c r="AU57" s="84" t="str">
        <f t="shared" si="108"/>
        <v/>
      </c>
      <c r="AV57" s="82" t="str">
        <f t="shared" si="109"/>
        <v/>
      </c>
      <c r="AW57" s="48" t="str">
        <f t="shared" si="110"/>
        <v/>
      </c>
      <c r="AX57" s="48" t="str">
        <f t="shared" si="111"/>
        <v/>
      </c>
      <c r="AY57" s="84" t="str">
        <f t="shared" si="112"/>
        <v/>
      </c>
      <c r="AZ57" s="82" t="str">
        <f t="shared" si="113"/>
        <v/>
      </c>
      <c r="BA57" s="48" t="str">
        <f t="shared" si="114"/>
        <v/>
      </c>
      <c r="BB57" s="48" t="str">
        <f t="shared" si="115"/>
        <v/>
      </c>
      <c r="BC57" s="84" t="str">
        <f t="shared" si="116"/>
        <v/>
      </c>
      <c r="BD57" s="82" t="str">
        <f t="shared" si="117"/>
        <v/>
      </c>
      <c r="BE57" s="48" t="str">
        <f t="shared" si="118"/>
        <v/>
      </c>
      <c r="BF57" s="48" t="str">
        <f t="shared" si="119"/>
        <v/>
      </c>
      <c r="BG57" s="84" t="str">
        <f t="shared" si="120"/>
        <v/>
      </c>
      <c r="BH57" s="87" t="str">
        <f t="shared" si="121"/>
        <v/>
      </c>
      <c r="BI57" s="49" t="str">
        <f t="shared" si="122"/>
        <v/>
      </c>
      <c r="BJ57" s="49" t="str">
        <f t="shared" si="123"/>
        <v/>
      </c>
      <c r="BK57" s="89" t="str">
        <f t="shared" si="124"/>
        <v/>
      </c>
      <c r="BL57" s="87" t="str">
        <f t="shared" si="125"/>
        <v/>
      </c>
      <c r="BM57" s="49" t="str">
        <f t="shared" si="126"/>
        <v/>
      </c>
      <c r="BN57" s="49" t="str">
        <f t="shared" si="127"/>
        <v/>
      </c>
      <c r="BO57" s="89" t="str">
        <f t="shared" si="128"/>
        <v/>
      </c>
      <c r="BP57" s="87" t="str">
        <f t="shared" si="129"/>
        <v/>
      </c>
      <c r="BQ57" s="49" t="str">
        <f t="shared" si="130"/>
        <v/>
      </c>
      <c r="BR57" s="49" t="str">
        <f t="shared" si="131"/>
        <v/>
      </c>
      <c r="BS57" s="89" t="str">
        <f t="shared" si="132"/>
        <v/>
      </c>
      <c r="BT57" s="87"/>
    </row>
    <row r="58" spans="2:72">
      <c r="B58" s="81" t="str">
        <f>Weekly!B50</f>
        <v>1232</v>
      </c>
      <c r="C58" s="90" t="str">
        <f>Weekly!C50</f>
        <v>Penny</v>
      </c>
      <c r="D58" s="90" t="str">
        <f>Weekly!D51</f>
        <v>Seeto</v>
      </c>
      <c r="E58" s="91" t="str">
        <f>VLOOKUP(B58,Team!$B$4:$E$183,4,FALSE)</f>
        <v>L's</v>
      </c>
      <c r="F58" s="92" t="str">
        <f>Weekly!Y50</f>
        <v/>
      </c>
      <c r="G58" s="92" t="str">
        <f>Weekly!Z50</f>
        <v/>
      </c>
      <c r="H58" s="48" t="str">
        <f t="shared" si="69"/>
        <v/>
      </c>
      <c r="I58" s="48" t="str">
        <f t="shared" si="70"/>
        <v/>
      </c>
      <c r="J58" s="48" t="str">
        <f t="shared" si="71"/>
        <v/>
      </c>
      <c r="K58" s="84" t="str">
        <f t="shared" si="72"/>
        <v/>
      </c>
      <c r="L58" s="82" t="str">
        <f t="shared" si="73"/>
        <v/>
      </c>
      <c r="M58" s="48" t="str">
        <f t="shared" si="74"/>
        <v/>
      </c>
      <c r="N58" s="48" t="str">
        <f t="shared" si="75"/>
        <v/>
      </c>
      <c r="O58" s="84" t="str">
        <f t="shared" si="76"/>
        <v/>
      </c>
      <c r="P58" s="82" t="str">
        <f t="shared" si="77"/>
        <v/>
      </c>
      <c r="Q58" s="48" t="str">
        <f t="shared" si="78"/>
        <v/>
      </c>
      <c r="R58" s="48" t="str">
        <f t="shared" si="79"/>
        <v/>
      </c>
      <c r="S58" s="84" t="str">
        <f t="shared" si="80"/>
        <v/>
      </c>
      <c r="T58" s="82" t="str">
        <f t="shared" si="81"/>
        <v/>
      </c>
      <c r="U58" s="48" t="str">
        <f t="shared" si="82"/>
        <v/>
      </c>
      <c r="V58" s="48" t="str">
        <f t="shared" si="83"/>
        <v/>
      </c>
      <c r="W58" s="84" t="str">
        <f t="shared" si="84"/>
        <v/>
      </c>
      <c r="X58" s="82" t="str">
        <f t="shared" si="85"/>
        <v/>
      </c>
      <c r="Y58" s="48" t="str">
        <f t="shared" si="86"/>
        <v/>
      </c>
      <c r="Z58" s="48" t="str">
        <f t="shared" si="87"/>
        <v/>
      </c>
      <c r="AA58" s="84" t="str">
        <f t="shared" si="88"/>
        <v/>
      </c>
      <c r="AB58" s="82" t="str">
        <f t="shared" si="89"/>
        <v/>
      </c>
      <c r="AC58" s="48" t="str">
        <f t="shared" si="90"/>
        <v/>
      </c>
      <c r="AD58" s="48" t="str">
        <f t="shared" si="91"/>
        <v/>
      </c>
      <c r="AE58" s="84" t="str">
        <f t="shared" si="92"/>
        <v/>
      </c>
      <c r="AF58" s="82" t="str">
        <f t="shared" si="93"/>
        <v/>
      </c>
      <c r="AG58" s="48" t="str">
        <f t="shared" si="94"/>
        <v/>
      </c>
      <c r="AH58" s="48" t="str">
        <f t="shared" si="95"/>
        <v/>
      </c>
      <c r="AI58" s="84" t="str">
        <f t="shared" si="96"/>
        <v/>
      </c>
      <c r="AJ58" s="82" t="str">
        <f t="shared" si="97"/>
        <v/>
      </c>
      <c r="AK58" s="48" t="str">
        <f t="shared" si="98"/>
        <v/>
      </c>
      <c r="AL58" s="48" t="str">
        <f t="shared" si="99"/>
        <v/>
      </c>
      <c r="AM58" s="84" t="str">
        <f t="shared" si="100"/>
        <v/>
      </c>
      <c r="AN58" s="82" t="str">
        <f t="shared" si="101"/>
        <v/>
      </c>
      <c r="AO58" s="48" t="str">
        <f t="shared" si="102"/>
        <v/>
      </c>
      <c r="AP58" s="48" t="str">
        <f t="shared" si="103"/>
        <v/>
      </c>
      <c r="AQ58" s="84" t="str">
        <f t="shared" si="104"/>
        <v/>
      </c>
      <c r="AR58" s="82" t="str">
        <f t="shared" si="105"/>
        <v/>
      </c>
      <c r="AS58" s="48" t="str">
        <f t="shared" si="106"/>
        <v/>
      </c>
      <c r="AT58" s="48" t="str">
        <f t="shared" si="107"/>
        <v/>
      </c>
      <c r="AU58" s="84" t="str">
        <f t="shared" si="108"/>
        <v/>
      </c>
      <c r="AV58" s="82" t="str">
        <f t="shared" si="109"/>
        <v/>
      </c>
      <c r="AW58" s="48" t="str">
        <f t="shared" si="110"/>
        <v/>
      </c>
      <c r="AX58" s="48" t="str">
        <f t="shared" si="111"/>
        <v/>
      </c>
      <c r="AY58" s="84" t="str">
        <f t="shared" si="112"/>
        <v/>
      </c>
      <c r="AZ58" s="82" t="str">
        <f t="shared" si="113"/>
        <v/>
      </c>
      <c r="BA58" s="48" t="str">
        <f t="shared" si="114"/>
        <v/>
      </c>
      <c r="BB58" s="48" t="str">
        <f t="shared" si="115"/>
        <v/>
      </c>
      <c r="BC58" s="84" t="str">
        <f t="shared" si="116"/>
        <v/>
      </c>
      <c r="BD58" s="82" t="str">
        <f t="shared" si="117"/>
        <v/>
      </c>
      <c r="BE58" s="48" t="str">
        <f t="shared" si="118"/>
        <v/>
      </c>
      <c r="BF58" s="48" t="str">
        <f t="shared" si="119"/>
        <v/>
      </c>
      <c r="BG58" s="84" t="str">
        <f t="shared" si="120"/>
        <v/>
      </c>
      <c r="BH58" s="87" t="str">
        <f t="shared" si="121"/>
        <v/>
      </c>
      <c r="BI58" s="49" t="str">
        <f t="shared" si="122"/>
        <v/>
      </c>
      <c r="BJ58" s="49" t="str">
        <f t="shared" si="123"/>
        <v/>
      </c>
      <c r="BK58" s="89" t="str">
        <f t="shared" si="124"/>
        <v/>
      </c>
      <c r="BL58" s="87" t="str">
        <f t="shared" si="125"/>
        <v/>
      </c>
      <c r="BM58" s="49" t="str">
        <f t="shared" si="126"/>
        <v/>
      </c>
      <c r="BN58" s="49" t="str">
        <f t="shared" si="127"/>
        <v/>
      </c>
      <c r="BO58" s="89" t="str">
        <f t="shared" si="128"/>
        <v/>
      </c>
      <c r="BP58" s="87" t="str">
        <f t="shared" si="129"/>
        <v/>
      </c>
      <c r="BQ58" s="49" t="str">
        <f t="shared" si="130"/>
        <v/>
      </c>
      <c r="BR58" s="49" t="str">
        <f t="shared" si="131"/>
        <v/>
      </c>
      <c r="BS58" s="89" t="str">
        <f t="shared" si="132"/>
        <v/>
      </c>
      <c r="BT58" s="87"/>
    </row>
    <row r="59" spans="2:72">
      <c r="B59" s="81" t="str">
        <f>Weekly!B51</f>
        <v>303</v>
      </c>
      <c r="C59" s="90" t="str">
        <f>Weekly!C51</f>
        <v>Rachel</v>
      </c>
      <c r="D59" s="90" t="str">
        <f>Weekly!D52</f>
        <v>Deoferio</v>
      </c>
      <c r="E59" s="91" t="str">
        <f>VLOOKUP(B59,Team!$B$4:$E$183,4,FALSE)</f>
        <v>ADM</v>
      </c>
      <c r="F59" s="92" t="str">
        <f>Weekly!Y51</f>
        <v/>
      </c>
      <c r="G59" s="92" t="str">
        <f>Weekly!Z51</f>
        <v/>
      </c>
      <c r="H59" s="48" t="str">
        <f t="shared" si="69"/>
        <v/>
      </c>
      <c r="I59" s="48" t="str">
        <f t="shared" si="70"/>
        <v/>
      </c>
      <c r="J59" s="48" t="str">
        <f t="shared" si="71"/>
        <v/>
      </c>
      <c r="K59" s="84" t="str">
        <f t="shared" si="72"/>
        <v/>
      </c>
      <c r="L59" s="82" t="str">
        <f t="shared" si="73"/>
        <v/>
      </c>
      <c r="M59" s="48" t="str">
        <f t="shared" si="74"/>
        <v/>
      </c>
      <c r="N59" s="48" t="str">
        <f t="shared" si="75"/>
        <v/>
      </c>
      <c r="O59" s="84" t="str">
        <f t="shared" si="76"/>
        <v/>
      </c>
      <c r="P59" s="82" t="str">
        <f t="shared" si="77"/>
        <v/>
      </c>
      <c r="Q59" s="48" t="str">
        <f t="shared" si="78"/>
        <v/>
      </c>
      <c r="R59" s="48" t="str">
        <f t="shared" si="79"/>
        <v/>
      </c>
      <c r="S59" s="84" t="str">
        <f t="shared" si="80"/>
        <v/>
      </c>
      <c r="T59" s="82" t="str">
        <f t="shared" si="81"/>
        <v/>
      </c>
      <c r="U59" s="48" t="str">
        <f t="shared" si="82"/>
        <v/>
      </c>
      <c r="V59" s="48" t="str">
        <f t="shared" si="83"/>
        <v/>
      </c>
      <c r="W59" s="84" t="str">
        <f t="shared" si="84"/>
        <v/>
      </c>
      <c r="X59" s="82" t="str">
        <f t="shared" si="85"/>
        <v/>
      </c>
      <c r="Y59" s="48" t="str">
        <f t="shared" si="86"/>
        <v/>
      </c>
      <c r="Z59" s="48" t="str">
        <f t="shared" si="87"/>
        <v/>
      </c>
      <c r="AA59" s="84" t="str">
        <f t="shared" si="88"/>
        <v/>
      </c>
      <c r="AB59" s="82" t="str">
        <f t="shared" si="89"/>
        <v/>
      </c>
      <c r="AC59" s="48" t="str">
        <f t="shared" si="90"/>
        <v/>
      </c>
      <c r="AD59" s="48" t="str">
        <f t="shared" si="91"/>
        <v/>
      </c>
      <c r="AE59" s="84" t="str">
        <f t="shared" si="92"/>
        <v/>
      </c>
      <c r="AF59" s="82" t="str">
        <f t="shared" si="93"/>
        <v/>
      </c>
      <c r="AG59" s="48" t="str">
        <f t="shared" si="94"/>
        <v/>
      </c>
      <c r="AH59" s="48" t="str">
        <f t="shared" si="95"/>
        <v/>
      </c>
      <c r="AI59" s="84" t="str">
        <f t="shared" si="96"/>
        <v/>
      </c>
      <c r="AJ59" s="82" t="str">
        <f t="shared" si="97"/>
        <v/>
      </c>
      <c r="AK59" s="48" t="str">
        <f t="shared" si="98"/>
        <v/>
      </c>
      <c r="AL59" s="48" t="str">
        <f t="shared" si="99"/>
        <v/>
      </c>
      <c r="AM59" s="84" t="str">
        <f t="shared" si="100"/>
        <v/>
      </c>
      <c r="AN59" s="82" t="str">
        <f t="shared" si="101"/>
        <v/>
      </c>
      <c r="AO59" s="48" t="str">
        <f t="shared" si="102"/>
        <v/>
      </c>
      <c r="AP59" s="48" t="str">
        <f t="shared" si="103"/>
        <v/>
      </c>
      <c r="AQ59" s="84" t="str">
        <f t="shared" si="104"/>
        <v/>
      </c>
      <c r="AR59" s="82" t="str">
        <f t="shared" si="105"/>
        <v/>
      </c>
      <c r="AS59" s="48" t="str">
        <f t="shared" si="106"/>
        <v/>
      </c>
      <c r="AT59" s="48" t="str">
        <f t="shared" si="107"/>
        <v/>
      </c>
      <c r="AU59" s="84" t="str">
        <f t="shared" si="108"/>
        <v/>
      </c>
      <c r="AV59" s="82" t="str">
        <f t="shared" si="109"/>
        <v/>
      </c>
      <c r="AW59" s="48" t="str">
        <f t="shared" si="110"/>
        <v/>
      </c>
      <c r="AX59" s="48" t="str">
        <f t="shared" si="111"/>
        <v/>
      </c>
      <c r="AY59" s="84" t="str">
        <f t="shared" si="112"/>
        <v/>
      </c>
      <c r="AZ59" s="82" t="str">
        <f t="shared" si="113"/>
        <v/>
      </c>
      <c r="BA59" s="48" t="str">
        <f t="shared" si="114"/>
        <v/>
      </c>
      <c r="BB59" s="48" t="str">
        <f t="shared" si="115"/>
        <v/>
      </c>
      <c r="BC59" s="84" t="str">
        <f t="shared" si="116"/>
        <v/>
      </c>
      <c r="BD59" s="82" t="str">
        <f t="shared" si="117"/>
        <v/>
      </c>
      <c r="BE59" s="48" t="str">
        <f t="shared" si="118"/>
        <v/>
      </c>
      <c r="BF59" s="48" t="str">
        <f t="shared" si="119"/>
        <v/>
      </c>
      <c r="BG59" s="84" t="str">
        <f t="shared" si="120"/>
        <v/>
      </c>
      <c r="BH59" s="87" t="str">
        <f t="shared" si="121"/>
        <v/>
      </c>
      <c r="BI59" s="49" t="str">
        <f t="shared" si="122"/>
        <v/>
      </c>
      <c r="BJ59" s="49" t="str">
        <f t="shared" si="123"/>
        <v/>
      </c>
      <c r="BK59" s="89" t="str">
        <f t="shared" si="124"/>
        <v/>
      </c>
      <c r="BL59" s="87" t="str">
        <f t="shared" si="125"/>
        <v/>
      </c>
      <c r="BM59" s="49" t="str">
        <f t="shared" si="126"/>
        <v/>
      </c>
      <c r="BN59" s="49" t="str">
        <f t="shared" si="127"/>
        <v/>
      </c>
      <c r="BO59" s="89" t="str">
        <f t="shared" si="128"/>
        <v/>
      </c>
      <c r="BP59" s="87" t="str">
        <f t="shared" si="129"/>
        <v/>
      </c>
      <c r="BQ59" s="49" t="str">
        <f t="shared" si="130"/>
        <v/>
      </c>
      <c r="BR59" s="49" t="str">
        <f t="shared" si="131"/>
        <v/>
      </c>
      <c r="BS59" s="89" t="str">
        <f t="shared" si="132"/>
        <v/>
      </c>
      <c r="BT59" s="87"/>
    </row>
    <row r="60" spans="2:72">
      <c r="B60" s="81" t="str">
        <f>Weekly!B52</f>
        <v>1142</v>
      </c>
      <c r="C60" s="90" t="str">
        <f>Weekly!C52</f>
        <v>Ralph</v>
      </c>
      <c r="D60" s="90" t="str">
        <f>Weekly!D53</f>
        <v>Chen</v>
      </c>
      <c r="E60" s="91" t="str">
        <f>VLOOKUP(B60,Team!$B$4:$E$183,4,FALSE)</f>
        <v>L's</v>
      </c>
      <c r="F60" s="92" t="str">
        <f>Weekly!Y52</f>
        <v/>
      </c>
      <c r="G60" s="92" t="str">
        <f>Weekly!Z52</f>
        <v/>
      </c>
      <c r="H60" s="48" t="str">
        <f t="shared" si="69"/>
        <v/>
      </c>
      <c r="I60" s="48" t="str">
        <f t="shared" si="70"/>
        <v/>
      </c>
      <c r="J60" s="48" t="str">
        <f t="shared" si="71"/>
        <v/>
      </c>
      <c r="K60" s="84" t="str">
        <f t="shared" si="72"/>
        <v/>
      </c>
      <c r="L60" s="82" t="str">
        <f t="shared" si="73"/>
        <v/>
      </c>
      <c r="M60" s="48" t="str">
        <f t="shared" si="74"/>
        <v/>
      </c>
      <c r="N60" s="48" t="str">
        <f t="shared" si="75"/>
        <v/>
      </c>
      <c r="O60" s="84" t="str">
        <f t="shared" si="76"/>
        <v/>
      </c>
      <c r="P60" s="82" t="str">
        <f t="shared" si="77"/>
        <v/>
      </c>
      <c r="Q60" s="48" t="str">
        <f t="shared" si="78"/>
        <v/>
      </c>
      <c r="R60" s="48" t="str">
        <f t="shared" si="79"/>
        <v/>
      </c>
      <c r="S60" s="84" t="str">
        <f t="shared" si="80"/>
        <v/>
      </c>
      <c r="T60" s="82" t="str">
        <f t="shared" si="81"/>
        <v/>
      </c>
      <c r="U60" s="48" t="str">
        <f t="shared" si="82"/>
        <v/>
      </c>
      <c r="V60" s="48" t="str">
        <f t="shared" si="83"/>
        <v/>
      </c>
      <c r="W60" s="84" t="str">
        <f t="shared" si="84"/>
        <v/>
      </c>
      <c r="X60" s="82" t="str">
        <f t="shared" si="85"/>
        <v/>
      </c>
      <c r="Y60" s="48" t="str">
        <f t="shared" si="86"/>
        <v/>
      </c>
      <c r="Z60" s="48" t="str">
        <f t="shared" si="87"/>
        <v/>
      </c>
      <c r="AA60" s="84" t="str">
        <f t="shared" si="88"/>
        <v/>
      </c>
      <c r="AB60" s="82" t="str">
        <f t="shared" si="89"/>
        <v/>
      </c>
      <c r="AC60" s="48" t="str">
        <f t="shared" si="90"/>
        <v/>
      </c>
      <c r="AD60" s="48" t="str">
        <f t="shared" si="91"/>
        <v/>
      </c>
      <c r="AE60" s="84" t="str">
        <f t="shared" si="92"/>
        <v/>
      </c>
      <c r="AF60" s="82" t="str">
        <f t="shared" si="93"/>
        <v/>
      </c>
      <c r="AG60" s="48" t="str">
        <f t="shared" si="94"/>
        <v/>
      </c>
      <c r="AH60" s="48" t="str">
        <f t="shared" si="95"/>
        <v/>
      </c>
      <c r="AI60" s="84" t="str">
        <f t="shared" si="96"/>
        <v/>
      </c>
      <c r="AJ60" s="82" t="str">
        <f t="shared" si="97"/>
        <v/>
      </c>
      <c r="AK60" s="48" t="str">
        <f t="shared" si="98"/>
        <v/>
      </c>
      <c r="AL60" s="48" t="str">
        <f t="shared" si="99"/>
        <v/>
      </c>
      <c r="AM60" s="84" t="str">
        <f t="shared" si="100"/>
        <v/>
      </c>
      <c r="AN60" s="82" t="str">
        <f t="shared" si="101"/>
        <v/>
      </c>
      <c r="AO60" s="48" t="str">
        <f t="shared" si="102"/>
        <v/>
      </c>
      <c r="AP60" s="48" t="str">
        <f t="shared" si="103"/>
        <v/>
      </c>
      <c r="AQ60" s="84" t="str">
        <f t="shared" si="104"/>
        <v/>
      </c>
      <c r="AR60" s="82" t="str">
        <f t="shared" si="105"/>
        <v/>
      </c>
      <c r="AS60" s="48" t="str">
        <f t="shared" si="106"/>
        <v/>
      </c>
      <c r="AT60" s="48" t="str">
        <f t="shared" si="107"/>
        <v/>
      </c>
      <c r="AU60" s="84" t="str">
        <f t="shared" si="108"/>
        <v/>
      </c>
      <c r="AV60" s="82" t="str">
        <f t="shared" si="109"/>
        <v/>
      </c>
      <c r="AW60" s="48" t="str">
        <f t="shared" si="110"/>
        <v/>
      </c>
      <c r="AX60" s="48" t="str">
        <f t="shared" si="111"/>
        <v/>
      </c>
      <c r="AY60" s="84" t="str">
        <f t="shared" si="112"/>
        <v/>
      </c>
      <c r="AZ60" s="82" t="str">
        <f t="shared" si="113"/>
        <v/>
      </c>
      <c r="BA60" s="48" t="str">
        <f t="shared" si="114"/>
        <v/>
      </c>
      <c r="BB60" s="48" t="str">
        <f t="shared" si="115"/>
        <v/>
      </c>
      <c r="BC60" s="84" t="str">
        <f t="shared" si="116"/>
        <v/>
      </c>
      <c r="BD60" s="82" t="str">
        <f t="shared" si="117"/>
        <v/>
      </c>
      <c r="BE60" s="48" t="str">
        <f t="shared" si="118"/>
        <v/>
      </c>
      <c r="BF60" s="48" t="str">
        <f t="shared" si="119"/>
        <v/>
      </c>
      <c r="BG60" s="84" t="str">
        <f t="shared" si="120"/>
        <v/>
      </c>
      <c r="BH60" s="87" t="str">
        <f t="shared" si="121"/>
        <v/>
      </c>
      <c r="BI60" s="49" t="str">
        <f t="shared" si="122"/>
        <v/>
      </c>
      <c r="BJ60" s="49" t="str">
        <f t="shared" si="123"/>
        <v/>
      </c>
      <c r="BK60" s="89" t="str">
        <f t="shared" si="124"/>
        <v/>
      </c>
      <c r="BL60" s="87" t="str">
        <f t="shared" si="125"/>
        <v/>
      </c>
      <c r="BM60" s="49" t="str">
        <f t="shared" si="126"/>
        <v/>
      </c>
      <c r="BN60" s="49" t="str">
        <f t="shared" si="127"/>
        <v/>
      </c>
      <c r="BO60" s="89" t="str">
        <f t="shared" si="128"/>
        <v/>
      </c>
      <c r="BP60" s="87" t="str">
        <f t="shared" si="129"/>
        <v/>
      </c>
      <c r="BQ60" s="49" t="str">
        <f t="shared" si="130"/>
        <v/>
      </c>
      <c r="BR60" s="49" t="str">
        <f t="shared" si="131"/>
        <v/>
      </c>
      <c r="BS60" s="89" t="str">
        <f t="shared" si="132"/>
        <v/>
      </c>
      <c r="BT60" s="87"/>
    </row>
    <row r="61" spans="2:72">
      <c r="B61" s="81" t="str">
        <f>Weekly!B53</f>
        <v>01528</v>
      </c>
      <c r="C61" s="90" t="str">
        <f>Weekly!C53</f>
        <v>Rena</v>
      </c>
      <c r="D61" s="90" t="str">
        <f>Weekly!D54</f>
        <v>Ma</v>
      </c>
      <c r="E61" s="91" t="str">
        <f>VLOOKUP(B61,Team!$B$4:$E$183,4,FALSE)</f>
        <v>L's</v>
      </c>
      <c r="F61" s="92" t="str">
        <f>Weekly!Y53</f>
        <v/>
      </c>
      <c r="G61" s="92" t="str">
        <f>Weekly!Z53</f>
        <v/>
      </c>
      <c r="H61" s="48" t="str">
        <f t="shared" si="69"/>
        <v/>
      </c>
      <c r="I61" s="48" t="str">
        <f t="shared" si="70"/>
        <v/>
      </c>
      <c r="J61" s="48" t="str">
        <f t="shared" si="71"/>
        <v/>
      </c>
      <c r="K61" s="84" t="str">
        <f t="shared" si="72"/>
        <v/>
      </c>
      <c r="L61" s="82" t="str">
        <f t="shared" si="73"/>
        <v/>
      </c>
      <c r="M61" s="48" t="str">
        <f t="shared" si="74"/>
        <v/>
      </c>
      <c r="N61" s="48" t="str">
        <f t="shared" si="75"/>
        <v/>
      </c>
      <c r="O61" s="84" t="str">
        <f t="shared" si="76"/>
        <v/>
      </c>
      <c r="P61" s="82" t="str">
        <f t="shared" si="77"/>
        <v/>
      </c>
      <c r="Q61" s="48" t="str">
        <f t="shared" si="78"/>
        <v/>
      </c>
      <c r="R61" s="48" t="str">
        <f t="shared" si="79"/>
        <v/>
      </c>
      <c r="S61" s="84" t="str">
        <f t="shared" si="80"/>
        <v/>
      </c>
      <c r="T61" s="82" t="str">
        <f t="shared" si="81"/>
        <v/>
      </c>
      <c r="U61" s="48" t="str">
        <f t="shared" si="82"/>
        <v/>
      </c>
      <c r="V61" s="48" t="str">
        <f t="shared" si="83"/>
        <v/>
      </c>
      <c r="W61" s="84" t="str">
        <f t="shared" si="84"/>
        <v/>
      </c>
      <c r="X61" s="82" t="str">
        <f t="shared" si="85"/>
        <v/>
      </c>
      <c r="Y61" s="48" t="str">
        <f t="shared" si="86"/>
        <v/>
      </c>
      <c r="Z61" s="48" t="str">
        <f t="shared" si="87"/>
        <v/>
      </c>
      <c r="AA61" s="84" t="str">
        <f t="shared" si="88"/>
        <v/>
      </c>
      <c r="AB61" s="82" t="str">
        <f t="shared" si="89"/>
        <v/>
      </c>
      <c r="AC61" s="48" t="str">
        <f t="shared" si="90"/>
        <v/>
      </c>
      <c r="AD61" s="48" t="str">
        <f t="shared" si="91"/>
        <v/>
      </c>
      <c r="AE61" s="84" t="str">
        <f t="shared" si="92"/>
        <v/>
      </c>
      <c r="AF61" s="82" t="str">
        <f t="shared" si="93"/>
        <v/>
      </c>
      <c r="AG61" s="48" t="str">
        <f t="shared" si="94"/>
        <v/>
      </c>
      <c r="AH61" s="48" t="str">
        <f t="shared" si="95"/>
        <v/>
      </c>
      <c r="AI61" s="84" t="str">
        <f t="shared" si="96"/>
        <v/>
      </c>
      <c r="AJ61" s="82" t="str">
        <f t="shared" si="97"/>
        <v/>
      </c>
      <c r="AK61" s="48" t="str">
        <f t="shared" si="98"/>
        <v/>
      </c>
      <c r="AL61" s="48" t="str">
        <f t="shared" si="99"/>
        <v/>
      </c>
      <c r="AM61" s="84" t="str">
        <f t="shared" si="100"/>
        <v/>
      </c>
      <c r="AN61" s="82" t="str">
        <f t="shared" si="101"/>
        <v/>
      </c>
      <c r="AO61" s="48" t="str">
        <f t="shared" si="102"/>
        <v/>
      </c>
      <c r="AP61" s="48" t="str">
        <f t="shared" si="103"/>
        <v/>
      </c>
      <c r="AQ61" s="84" t="str">
        <f t="shared" si="104"/>
        <v/>
      </c>
      <c r="AR61" s="82" t="str">
        <f t="shared" si="105"/>
        <v/>
      </c>
      <c r="AS61" s="48" t="str">
        <f t="shared" si="106"/>
        <v/>
      </c>
      <c r="AT61" s="48" t="str">
        <f t="shared" si="107"/>
        <v/>
      </c>
      <c r="AU61" s="84" t="str">
        <f t="shared" si="108"/>
        <v/>
      </c>
      <c r="AV61" s="82" t="str">
        <f t="shared" si="109"/>
        <v/>
      </c>
      <c r="AW61" s="48" t="str">
        <f t="shared" si="110"/>
        <v/>
      </c>
      <c r="AX61" s="48" t="str">
        <f t="shared" si="111"/>
        <v/>
      </c>
      <c r="AY61" s="84" t="str">
        <f t="shared" si="112"/>
        <v/>
      </c>
      <c r="AZ61" s="82" t="str">
        <f t="shared" si="113"/>
        <v/>
      </c>
      <c r="BA61" s="48" t="str">
        <f t="shared" si="114"/>
        <v/>
      </c>
      <c r="BB61" s="48" t="str">
        <f t="shared" si="115"/>
        <v/>
      </c>
      <c r="BC61" s="84" t="str">
        <f t="shared" si="116"/>
        <v/>
      </c>
      <c r="BD61" s="82" t="str">
        <f t="shared" si="117"/>
        <v/>
      </c>
      <c r="BE61" s="48" t="str">
        <f t="shared" si="118"/>
        <v/>
      </c>
      <c r="BF61" s="48" t="str">
        <f t="shared" si="119"/>
        <v/>
      </c>
      <c r="BG61" s="84" t="str">
        <f t="shared" si="120"/>
        <v/>
      </c>
      <c r="BH61" s="87" t="str">
        <f t="shared" si="121"/>
        <v/>
      </c>
      <c r="BI61" s="49" t="str">
        <f t="shared" si="122"/>
        <v/>
      </c>
      <c r="BJ61" s="49" t="str">
        <f t="shared" si="123"/>
        <v/>
      </c>
      <c r="BK61" s="89" t="str">
        <f t="shared" si="124"/>
        <v/>
      </c>
      <c r="BL61" s="87" t="str">
        <f t="shared" si="125"/>
        <v/>
      </c>
      <c r="BM61" s="49" t="str">
        <f t="shared" si="126"/>
        <v/>
      </c>
      <c r="BN61" s="49" t="str">
        <f t="shared" si="127"/>
        <v/>
      </c>
      <c r="BO61" s="89" t="str">
        <f t="shared" si="128"/>
        <v/>
      </c>
      <c r="BP61" s="87" t="str">
        <f t="shared" si="129"/>
        <v/>
      </c>
      <c r="BQ61" s="49" t="str">
        <f t="shared" si="130"/>
        <v/>
      </c>
      <c r="BR61" s="49" t="str">
        <f t="shared" si="131"/>
        <v/>
      </c>
      <c r="BS61" s="89" t="str">
        <f t="shared" si="132"/>
        <v/>
      </c>
      <c r="BT61" s="87"/>
    </row>
    <row r="62" spans="2:72">
      <c r="B62" s="81" t="str">
        <f>Weekly!B54</f>
        <v>1237</v>
      </c>
      <c r="C62" s="90" t="str">
        <f>Weekly!C54</f>
        <v>Rich</v>
      </c>
      <c r="D62" s="90" t="str">
        <f>Weekly!D55</f>
        <v>Lee</v>
      </c>
      <c r="E62" s="91" t="str">
        <f>VLOOKUP(B62,Team!$B$4:$E$183,4,FALSE)</f>
        <v>F</v>
      </c>
      <c r="F62" s="92" t="str">
        <f>Weekly!Y54</f>
        <v/>
      </c>
      <c r="G62" s="92" t="str">
        <f>Weekly!Z54</f>
        <v/>
      </c>
      <c r="H62" s="48" t="str">
        <f t="shared" si="69"/>
        <v/>
      </c>
      <c r="I62" s="48" t="str">
        <f t="shared" si="70"/>
        <v/>
      </c>
      <c r="J62" s="48" t="str">
        <f t="shared" si="71"/>
        <v/>
      </c>
      <c r="K62" s="84" t="str">
        <f t="shared" si="72"/>
        <v/>
      </c>
      <c r="L62" s="82" t="str">
        <f t="shared" si="73"/>
        <v/>
      </c>
      <c r="M62" s="48" t="str">
        <f t="shared" si="74"/>
        <v/>
      </c>
      <c r="N62" s="48" t="str">
        <f t="shared" si="75"/>
        <v/>
      </c>
      <c r="O62" s="84" t="str">
        <f t="shared" si="76"/>
        <v/>
      </c>
      <c r="P62" s="82" t="str">
        <f t="shared" si="77"/>
        <v/>
      </c>
      <c r="Q62" s="48" t="str">
        <f t="shared" si="78"/>
        <v/>
      </c>
      <c r="R62" s="48" t="str">
        <f t="shared" si="79"/>
        <v/>
      </c>
      <c r="S62" s="84" t="str">
        <f t="shared" si="80"/>
        <v/>
      </c>
      <c r="T62" s="82" t="str">
        <f t="shared" si="81"/>
        <v/>
      </c>
      <c r="U62" s="48" t="str">
        <f t="shared" si="82"/>
        <v/>
      </c>
      <c r="V62" s="48" t="str">
        <f t="shared" si="83"/>
        <v/>
      </c>
      <c r="W62" s="84" t="str">
        <f t="shared" si="84"/>
        <v/>
      </c>
      <c r="X62" s="82" t="str">
        <f t="shared" si="85"/>
        <v/>
      </c>
      <c r="Y62" s="48" t="str">
        <f t="shared" si="86"/>
        <v/>
      </c>
      <c r="Z62" s="48" t="str">
        <f t="shared" si="87"/>
        <v/>
      </c>
      <c r="AA62" s="84" t="str">
        <f t="shared" si="88"/>
        <v/>
      </c>
      <c r="AB62" s="82" t="str">
        <f t="shared" si="89"/>
        <v/>
      </c>
      <c r="AC62" s="48" t="str">
        <f t="shared" si="90"/>
        <v/>
      </c>
      <c r="AD62" s="48" t="str">
        <f t="shared" si="91"/>
        <v/>
      </c>
      <c r="AE62" s="84" t="str">
        <f t="shared" si="92"/>
        <v/>
      </c>
      <c r="AF62" s="82" t="str">
        <f t="shared" si="93"/>
        <v/>
      </c>
      <c r="AG62" s="48" t="str">
        <f t="shared" si="94"/>
        <v/>
      </c>
      <c r="AH62" s="48" t="str">
        <f t="shared" si="95"/>
        <v/>
      </c>
      <c r="AI62" s="84" t="str">
        <f t="shared" si="96"/>
        <v/>
      </c>
      <c r="AJ62" s="82" t="str">
        <f t="shared" si="97"/>
        <v/>
      </c>
      <c r="AK62" s="48" t="str">
        <f t="shared" si="98"/>
        <v/>
      </c>
      <c r="AL62" s="48" t="str">
        <f t="shared" si="99"/>
        <v/>
      </c>
      <c r="AM62" s="84" t="str">
        <f t="shared" si="100"/>
        <v/>
      </c>
      <c r="AN62" s="82" t="str">
        <f t="shared" si="101"/>
        <v/>
      </c>
      <c r="AO62" s="48" t="str">
        <f t="shared" si="102"/>
        <v/>
      </c>
      <c r="AP62" s="48" t="str">
        <f t="shared" si="103"/>
        <v/>
      </c>
      <c r="AQ62" s="84" t="str">
        <f t="shared" si="104"/>
        <v/>
      </c>
      <c r="AR62" s="82" t="str">
        <f t="shared" si="105"/>
        <v/>
      </c>
      <c r="AS62" s="48" t="str">
        <f t="shared" si="106"/>
        <v/>
      </c>
      <c r="AT62" s="48" t="str">
        <f t="shared" si="107"/>
        <v/>
      </c>
      <c r="AU62" s="84" t="str">
        <f t="shared" si="108"/>
        <v/>
      </c>
      <c r="AV62" s="82" t="str">
        <f t="shared" si="109"/>
        <v/>
      </c>
      <c r="AW62" s="48" t="str">
        <f t="shared" si="110"/>
        <v/>
      </c>
      <c r="AX62" s="48" t="str">
        <f t="shared" si="111"/>
        <v/>
      </c>
      <c r="AY62" s="84" t="str">
        <f t="shared" si="112"/>
        <v/>
      </c>
      <c r="AZ62" s="82" t="str">
        <f t="shared" si="113"/>
        <v/>
      </c>
      <c r="BA62" s="48" t="str">
        <f t="shared" si="114"/>
        <v/>
      </c>
      <c r="BB62" s="48" t="str">
        <f t="shared" si="115"/>
        <v/>
      </c>
      <c r="BC62" s="84" t="str">
        <f t="shared" si="116"/>
        <v/>
      </c>
      <c r="BD62" s="82" t="str">
        <f t="shared" si="117"/>
        <v/>
      </c>
      <c r="BE62" s="48" t="str">
        <f t="shared" si="118"/>
        <v/>
      </c>
      <c r="BF62" s="48" t="str">
        <f t="shared" si="119"/>
        <v/>
      </c>
      <c r="BG62" s="84" t="str">
        <f t="shared" si="120"/>
        <v/>
      </c>
      <c r="BH62" s="87" t="str">
        <f t="shared" si="121"/>
        <v/>
      </c>
      <c r="BI62" s="49" t="str">
        <f t="shared" si="122"/>
        <v/>
      </c>
      <c r="BJ62" s="49" t="str">
        <f t="shared" si="123"/>
        <v/>
      </c>
      <c r="BK62" s="89" t="str">
        <f t="shared" si="124"/>
        <v/>
      </c>
      <c r="BL62" s="87" t="str">
        <f t="shared" si="125"/>
        <v/>
      </c>
      <c r="BM62" s="49" t="str">
        <f t="shared" si="126"/>
        <v/>
      </c>
      <c r="BN62" s="49" t="str">
        <f t="shared" si="127"/>
        <v/>
      </c>
      <c r="BO62" s="89" t="str">
        <f t="shared" si="128"/>
        <v/>
      </c>
      <c r="BP62" s="87" t="str">
        <f t="shared" si="129"/>
        <v/>
      </c>
      <c r="BQ62" s="49" t="str">
        <f t="shared" si="130"/>
        <v/>
      </c>
      <c r="BR62" s="49" t="str">
        <f t="shared" si="131"/>
        <v/>
      </c>
      <c r="BS62" s="89" t="str">
        <f t="shared" si="132"/>
        <v/>
      </c>
      <c r="BT62" s="87"/>
    </row>
    <row r="63" spans="2:72">
      <c r="B63" s="81" t="str">
        <f>Weekly!B55</f>
        <v>1133</v>
      </c>
      <c r="C63" s="90" t="str">
        <f>Weekly!C55</f>
        <v>Sarah</v>
      </c>
      <c r="D63" s="90" t="str">
        <f>Weekly!D56</f>
        <v>Lim</v>
      </c>
      <c r="E63" s="91" t="str">
        <f>VLOOKUP(B63,Team!$B$4:$E$183,4,FALSE)</f>
        <v>L's</v>
      </c>
      <c r="F63" s="92" t="str">
        <f>Weekly!Y55</f>
        <v/>
      </c>
      <c r="G63" s="92" t="str">
        <f>Weekly!Z55</f>
        <v/>
      </c>
      <c r="H63" s="48" t="str">
        <f t="shared" si="69"/>
        <v/>
      </c>
      <c r="I63" s="48" t="str">
        <f t="shared" si="70"/>
        <v/>
      </c>
      <c r="J63" s="48" t="str">
        <f t="shared" si="71"/>
        <v/>
      </c>
      <c r="K63" s="84" t="str">
        <f t="shared" si="72"/>
        <v/>
      </c>
      <c r="L63" s="82" t="str">
        <f t="shared" si="73"/>
        <v/>
      </c>
      <c r="M63" s="48" t="str">
        <f t="shared" si="74"/>
        <v/>
      </c>
      <c r="N63" s="48" t="str">
        <f t="shared" si="75"/>
        <v/>
      </c>
      <c r="O63" s="84" t="str">
        <f t="shared" si="76"/>
        <v/>
      </c>
      <c r="P63" s="82" t="str">
        <f t="shared" si="77"/>
        <v/>
      </c>
      <c r="Q63" s="48" t="str">
        <f t="shared" si="78"/>
        <v/>
      </c>
      <c r="R63" s="48" t="str">
        <f t="shared" si="79"/>
        <v/>
      </c>
      <c r="S63" s="84" t="str">
        <f t="shared" si="80"/>
        <v/>
      </c>
      <c r="T63" s="82" t="str">
        <f t="shared" si="81"/>
        <v/>
      </c>
      <c r="U63" s="48" t="str">
        <f t="shared" si="82"/>
        <v/>
      </c>
      <c r="V63" s="48" t="str">
        <f t="shared" si="83"/>
        <v/>
      </c>
      <c r="W63" s="84" t="str">
        <f t="shared" si="84"/>
        <v/>
      </c>
      <c r="X63" s="82" t="str">
        <f t="shared" si="85"/>
        <v/>
      </c>
      <c r="Y63" s="48" t="str">
        <f t="shared" si="86"/>
        <v/>
      </c>
      <c r="Z63" s="48" t="str">
        <f t="shared" si="87"/>
        <v/>
      </c>
      <c r="AA63" s="84" t="str">
        <f t="shared" si="88"/>
        <v/>
      </c>
      <c r="AB63" s="82" t="str">
        <f t="shared" si="89"/>
        <v/>
      </c>
      <c r="AC63" s="48" t="str">
        <f t="shared" si="90"/>
        <v/>
      </c>
      <c r="AD63" s="48" t="str">
        <f t="shared" si="91"/>
        <v/>
      </c>
      <c r="AE63" s="84" t="str">
        <f t="shared" si="92"/>
        <v/>
      </c>
      <c r="AF63" s="82" t="str">
        <f t="shared" si="93"/>
        <v/>
      </c>
      <c r="AG63" s="48" t="str">
        <f t="shared" si="94"/>
        <v/>
      </c>
      <c r="AH63" s="48" t="str">
        <f t="shared" si="95"/>
        <v/>
      </c>
      <c r="AI63" s="84" t="str">
        <f t="shared" si="96"/>
        <v/>
      </c>
      <c r="AJ63" s="82" t="str">
        <f t="shared" si="97"/>
        <v/>
      </c>
      <c r="AK63" s="48" t="str">
        <f t="shared" si="98"/>
        <v/>
      </c>
      <c r="AL63" s="48" t="str">
        <f t="shared" si="99"/>
        <v/>
      </c>
      <c r="AM63" s="84" t="str">
        <f t="shared" si="100"/>
        <v/>
      </c>
      <c r="AN63" s="82" t="str">
        <f t="shared" si="101"/>
        <v/>
      </c>
      <c r="AO63" s="48" t="str">
        <f t="shared" si="102"/>
        <v/>
      </c>
      <c r="AP63" s="48" t="str">
        <f t="shared" si="103"/>
        <v/>
      </c>
      <c r="AQ63" s="84" t="str">
        <f t="shared" si="104"/>
        <v/>
      </c>
      <c r="AR63" s="82" t="str">
        <f t="shared" si="105"/>
        <v/>
      </c>
      <c r="AS63" s="48" t="str">
        <f t="shared" si="106"/>
        <v/>
      </c>
      <c r="AT63" s="48" t="str">
        <f t="shared" si="107"/>
        <v/>
      </c>
      <c r="AU63" s="84" t="str">
        <f t="shared" si="108"/>
        <v/>
      </c>
      <c r="AV63" s="82" t="str">
        <f t="shared" si="109"/>
        <v/>
      </c>
      <c r="AW63" s="48" t="str">
        <f t="shared" si="110"/>
        <v/>
      </c>
      <c r="AX63" s="48" t="str">
        <f t="shared" si="111"/>
        <v/>
      </c>
      <c r="AY63" s="84" t="str">
        <f t="shared" si="112"/>
        <v/>
      </c>
      <c r="AZ63" s="82" t="str">
        <f t="shared" si="113"/>
        <v/>
      </c>
      <c r="BA63" s="48" t="str">
        <f t="shared" si="114"/>
        <v/>
      </c>
      <c r="BB63" s="48" t="str">
        <f t="shared" si="115"/>
        <v/>
      </c>
      <c r="BC63" s="84" t="str">
        <f t="shared" si="116"/>
        <v/>
      </c>
      <c r="BD63" s="82" t="str">
        <f t="shared" si="117"/>
        <v/>
      </c>
      <c r="BE63" s="48" t="str">
        <f t="shared" si="118"/>
        <v/>
      </c>
      <c r="BF63" s="48" t="str">
        <f t="shared" si="119"/>
        <v/>
      </c>
      <c r="BG63" s="84" t="str">
        <f t="shared" si="120"/>
        <v/>
      </c>
      <c r="BH63" s="87" t="str">
        <f t="shared" si="121"/>
        <v/>
      </c>
      <c r="BI63" s="49" t="str">
        <f t="shared" si="122"/>
        <v/>
      </c>
      <c r="BJ63" s="49" t="str">
        <f t="shared" si="123"/>
        <v/>
      </c>
      <c r="BK63" s="89" t="str">
        <f t="shared" si="124"/>
        <v/>
      </c>
      <c r="BL63" s="87" t="str">
        <f t="shared" si="125"/>
        <v/>
      </c>
      <c r="BM63" s="49" t="str">
        <f t="shared" si="126"/>
        <v/>
      </c>
      <c r="BN63" s="49" t="str">
        <f t="shared" si="127"/>
        <v/>
      </c>
      <c r="BO63" s="89" t="str">
        <f t="shared" si="128"/>
        <v/>
      </c>
      <c r="BP63" s="87" t="str">
        <f t="shared" si="129"/>
        <v/>
      </c>
      <c r="BQ63" s="49" t="str">
        <f t="shared" si="130"/>
        <v/>
      </c>
      <c r="BR63" s="49" t="str">
        <f t="shared" si="131"/>
        <v/>
      </c>
      <c r="BS63" s="89" t="str">
        <f t="shared" si="132"/>
        <v/>
      </c>
      <c r="BT63" s="87"/>
    </row>
    <row r="64" spans="2:72">
      <c r="B64" s="81" t="str">
        <f>Weekly!B56</f>
        <v>891</v>
      </c>
      <c r="C64" s="90" t="str">
        <f>Weekly!C56</f>
        <v>Sienna</v>
      </c>
      <c r="D64" s="90" t="str">
        <f>Weekly!D57</f>
        <v>Turner</v>
      </c>
      <c r="E64" s="91" t="str">
        <f>VLOOKUP(B64,Team!$B$4:$E$183,4,FALSE)</f>
        <v>Stat.</v>
      </c>
      <c r="F64" s="92">
        <f>Weekly!Y56</f>
        <v>0.375</v>
      </c>
      <c r="G64" s="92">
        <f>Weekly!Z56</f>
        <v>0.70833333333333304</v>
      </c>
      <c r="H64" s="48" t="str">
        <f t="shared" si="69"/>
        <v/>
      </c>
      <c r="I64" s="48" t="str">
        <f t="shared" si="70"/>
        <v/>
      </c>
      <c r="J64" s="48" t="str">
        <f t="shared" si="71"/>
        <v/>
      </c>
      <c r="K64" s="84" t="str">
        <f t="shared" si="72"/>
        <v/>
      </c>
      <c r="L64" s="82" t="str">
        <f t="shared" si="73"/>
        <v/>
      </c>
      <c r="M64" s="48" t="str">
        <f t="shared" si="74"/>
        <v/>
      </c>
      <c r="N64" s="48" t="str">
        <f t="shared" si="75"/>
        <v/>
      </c>
      <c r="O64" s="84" t="str">
        <f t="shared" si="76"/>
        <v/>
      </c>
      <c r="P64" s="82" t="str">
        <f t="shared" si="77"/>
        <v>Stat.</v>
      </c>
      <c r="Q64" s="48" t="str">
        <f t="shared" si="78"/>
        <v>Stat.</v>
      </c>
      <c r="R64" s="48" t="str">
        <f t="shared" si="79"/>
        <v>Stat.</v>
      </c>
      <c r="S64" s="84" t="str">
        <f t="shared" si="80"/>
        <v>Stat.</v>
      </c>
      <c r="T64" s="82" t="str">
        <f t="shared" si="81"/>
        <v>Stat.</v>
      </c>
      <c r="U64" s="48" t="str">
        <f t="shared" si="82"/>
        <v>Stat.</v>
      </c>
      <c r="V64" s="48" t="str">
        <f t="shared" si="83"/>
        <v>Stat.</v>
      </c>
      <c r="W64" s="84" t="str">
        <f t="shared" si="84"/>
        <v>Stat.</v>
      </c>
      <c r="X64" s="82" t="str">
        <f t="shared" si="85"/>
        <v>Stat.</v>
      </c>
      <c r="Y64" s="48" t="str">
        <f t="shared" si="86"/>
        <v>Stat.</v>
      </c>
      <c r="Z64" s="48" t="str">
        <f t="shared" si="87"/>
        <v>Stat.</v>
      </c>
      <c r="AA64" s="84" t="str">
        <f t="shared" si="88"/>
        <v>Stat.</v>
      </c>
      <c r="AB64" s="82" t="str">
        <f t="shared" si="89"/>
        <v>Stat.</v>
      </c>
      <c r="AC64" s="48" t="str">
        <f t="shared" si="90"/>
        <v>Stat.</v>
      </c>
      <c r="AD64" s="48" t="str">
        <f t="shared" si="91"/>
        <v>Stat.</v>
      </c>
      <c r="AE64" s="84" t="str">
        <f t="shared" si="92"/>
        <v>Stat.</v>
      </c>
      <c r="AF64" s="82" t="str">
        <f t="shared" si="93"/>
        <v>Stat.</v>
      </c>
      <c r="AG64" s="48" t="str">
        <f t="shared" si="94"/>
        <v>Stat.</v>
      </c>
      <c r="AH64" s="48" t="str">
        <f t="shared" si="95"/>
        <v>Stat.</v>
      </c>
      <c r="AI64" s="84" t="str">
        <f t="shared" si="96"/>
        <v>Stat.</v>
      </c>
      <c r="AJ64" s="82" t="str">
        <f t="shared" si="97"/>
        <v>Stat.</v>
      </c>
      <c r="AK64" s="48" t="str">
        <f t="shared" si="98"/>
        <v>Stat.</v>
      </c>
      <c r="AL64" s="48" t="str">
        <f t="shared" si="99"/>
        <v>Stat.</v>
      </c>
      <c r="AM64" s="84" t="str">
        <f t="shared" si="100"/>
        <v>Stat.</v>
      </c>
      <c r="AN64" s="82" t="str">
        <f t="shared" si="101"/>
        <v>Stat.</v>
      </c>
      <c r="AO64" s="48" t="str">
        <f t="shared" si="102"/>
        <v>Stat.</v>
      </c>
      <c r="AP64" s="48" t="str">
        <f t="shared" si="103"/>
        <v>Stat.</v>
      </c>
      <c r="AQ64" s="84" t="str">
        <f t="shared" si="104"/>
        <v>Stat.</v>
      </c>
      <c r="AR64" s="82" t="str">
        <f t="shared" si="105"/>
        <v>Stat.</v>
      </c>
      <c r="AS64" s="48" t="str">
        <f t="shared" si="106"/>
        <v>Stat.</v>
      </c>
      <c r="AT64" s="48" t="str">
        <f t="shared" si="107"/>
        <v>Stat.</v>
      </c>
      <c r="AU64" s="84" t="str">
        <f t="shared" si="108"/>
        <v>Stat.</v>
      </c>
      <c r="AV64" s="82" t="str">
        <f t="shared" si="109"/>
        <v/>
      </c>
      <c r="AW64" s="48" t="str">
        <f t="shared" si="110"/>
        <v/>
      </c>
      <c r="AX64" s="48" t="str">
        <f t="shared" si="111"/>
        <v/>
      </c>
      <c r="AY64" s="84" t="str">
        <f t="shared" si="112"/>
        <v/>
      </c>
      <c r="AZ64" s="82" t="str">
        <f t="shared" si="113"/>
        <v/>
      </c>
      <c r="BA64" s="48" t="str">
        <f t="shared" si="114"/>
        <v/>
      </c>
      <c r="BB64" s="48" t="str">
        <f t="shared" si="115"/>
        <v/>
      </c>
      <c r="BC64" s="84" t="str">
        <f t="shared" si="116"/>
        <v/>
      </c>
      <c r="BD64" s="82" t="str">
        <f t="shared" si="117"/>
        <v/>
      </c>
      <c r="BE64" s="48" t="str">
        <f t="shared" si="118"/>
        <v/>
      </c>
      <c r="BF64" s="48" t="str">
        <f t="shared" si="119"/>
        <v/>
      </c>
      <c r="BG64" s="84" t="str">
        <f t="shared" si="120"/>
        <v/>
      </c>
      <c r="BH64" s="87" t="str">
        <f t="shared" si="121"/>
        <v/>
      </c>
      <c r="BI64" s="49" t="str">
        <f t="shared" si="122"/>
        <v/>
      </c>
      <c r="BJ64" s="49" t="str">
        <f t="shared" si="123"/>
        <v/>
      </c>
      <c r="BK64" s="89" t="str">
        <f t="shared" si="124"/>
        <v/>
      </c>
      <c r="BL64" s="87" t="str">
        <f t="shared" si="125"/>
        <v/>
      </c>
      <c r="BM64" s="49" t="str">
        <f t="shared" si="126"/>
        <v/>
      </c>
      <c r="BN64" s="49" t="str">
        <f t="shared" si="127"/>
        <v/>
      </c>
      <c r="BO64" s="89" t="str">
        <f t="shared" si="128"/>
        <v/>
      </c>
      <c r="BP64" s="87" t="str">
        <f t="shared" si="129"/>
        <v/>
      </c>
      <c r="BQ64" s="49" t="str">
        <f t="shared" si="130"/>
        <v/>
      </c>
      <c r="BR64" s="49" t="str">
        <f t="shared" si="131"/>
        <v/>
      </c>
      <c r="BS64" s="89" t="str">
        <f t="shared" si="132"/>
        <v/>
      </c>
      <c r="BT64" s="87"/>
    </row>
    <row r="65" spans="2:72">
      <c r="B65" s="81" t="str">
        <f>Weekly!B57</f>
        <v>1108</v>
      </c>
      <c r="C65" s="90" t="str">
        <f>Weekly!C57</f>
        <v>Tara</v>
      </c>
      <c r="D65" s="90" t="str">
        <f>Weekly!D58</f>
        <v>Wu</v>
      </c>
      <c r="E65" s="91" t="str">
        <f>VLOOKUP(B65,Team!$B$4:$E$183,4,FALSE)</f>
        <v>ASM</v>
      </c>
      <c r="F65" s="92" t="str">
        <f>Weekly!Y57</f>
        <v/>
      </c>
      <c r="G65" s="92" t="str">
        <f>Weekly!Z57</f>
        <v/>
      </c>
      <c r="H65" s="48" t="str">
        <f t="shared" si="69"/>
        <v/>
      </c>
      <c r="I65" s="48" t="str">
        <f t="shared" si="70"/>
        <v/>
      </c>
      <c r="J65" s="48" t="str">
        <f t="shared" si="71"/>
        <v/>
      </c>
      <c r="K65" s="84" t="str">
        <f t="shared" si="72"/>
        <v/>
      </c>
      <c r="L65" s="82" t="str">
        <f t="shared" si="73"/>
        <v/>
      </c>
      <c r="M65" s="48" t="str">
        <f t="shared" si="74"/>
        <v/>
      </c>
      <c r="N65" s="48" t="str">
        <f t="shared" si="75"/>
        <v/>
      </c>
      <c r="O65" s="84" t="str">
        <f t="shared" si="76"/>
        <v/>
      </c>
      <c r="P65" s="82" t="str">
        <f t="shared" si="77"/>
        <v/>
      </c>
      <c r="Q65" s="48" t="str">
        <f t="shared" si="78"/>
        <v/>
      </c>
      <c r="R65" s="48" t="str">
        <f t="shared" si="79"/>
        <v/>
      </c>
      <c r="S65" s="84" t="str">
        <f t="shared" si="80"/>
        <v/>
      </c>
      <c r="T65" s="82" t="str">
        <f t="shared" si="81"/>
        <v/>
      </c>
      <c r="U65" s="48" t="str">
        <f t="shared" si="82"/>
        <v/>
      </c>
      <c r="V65" s="48" t="str">
        <f t="shared" si="83"/>
        <v/>
      </c>
      <c r="W65" s="84" t="str">
        <f t="shared" si="84"/>
        <v/>
      </c>
      <c r="X65" s="82" t="str">
        <f t="shared" si="85"/>
        <v/>
      </c>
      <c r="Y65" s="48" t="str">
        <f t="shared" si="86"/>
        <v/>
      </c>
      <c r="Z65" s="48" t="str">
        <f t="shared" si="87"/>
        <v/>
      </c>
      <c r="AA65" s="84" t="str">
        <f t="shared" si="88"/>
        <v/>
      </c>
      <c r="AB65" s="82" t="str">
        <f t="shared" si="89"/>
        <v/>
      </c>
      <c r="AC65" s="48" t="str">
        <f t="shared" si="90"/>
        <v/>
      </c>
      <c r="AD65" s="48" t="str">
        <f t="shared" si="91"/>
        <v/>
      </c>
      <c r="AE65" s="84" t="str">
        <f t="shared" si="92"/>
        <v/>
      </c>
      <c r="AF65" s="82" t="str">
        <f t="shared" si="93"/>
        <v/>
      </c>
      <c r="AG65" s="48" t="str">
        <f t="shared" si="94"/>
        <v/>
      </c>
      <c r="AH65" s="48" t="str">
        <f t="shared" si="95"/>
        <v/>
      </c>
      <c r="AI65" s="84" t="str">
        <f t="shared" si="96"/>
        <v/>
      </c>
      <c r="AJ65" s="82" t="str">
        <f t="shared" si="97"/>
        <v/>
      </c>
      <c r="AK65" s="48" t="str">
        <f t="shared" si="98"/>
        <v/>
      </c>
      <c r="AL65" s="48" t="str">
        <f t="shared" si="99"/>
        <v/>
      </c>
      <c r="AM65" s="84" t="str">
        <f t="shared" si="100"/>
        <v/>
      </c>
      <c r="AN65" s="82" t="str">
        <f t="shared" si="101"/>
        <v/>
      </c>
      <c r="AO65" s="48" t="str">
        <f t="shared" si="102"/>
        <v/>
      </c>
      <c r="AP65" s="48" t="str">
        <f t="shared" si="103"/>
        <v/>
      </c>
      <c r="AQ65" s="84" t="str">
        <f t="shared" si="104"/>
        <v/>
      </c>
      <c r="AR65" s="82" t="str">
        <f t="shared" si="105"/>
        <v/>
      </c>
      <c r="AS65" s="48" t="str">
        <f t="shared" si="106"/>
        <v/>
      </c>
      <c r="AT65" s="48" t="str">
        <f t="shared" si="107"/>
        <v/>
      </c>
      <c r="AU65" s="84" t="str">
        <f t="shared" si="108"/>
        <v/>
      </c>
      <c r="AV65" s="82" t="str">
        <f t="shared" si="109"/>
        <v/>
      </c>
      <c r="AW65" s="48" t="str">
        <f t="shared" si="110"/>
        <v/>
      </c>
      <c r="AX65" s="48" t="str">
        <f t="shared" si="111"/>
        <v/>
      </c>
      <c r="AY65" s="84" t="str">
        <f t="shared" si="112"/>
        <v/>
      </c>
      <c r="AZ65" s="82" t="str">
        <f t="shared" si="113"/>
        <v/>
      </c>
      <c r="BA65" s="48" t="str">
        <f t="shared" si="114"/>
        <v/>
      </c>
      <c r="BB65" s="48" t="str">
        <f t="shared" si="115"/>
        <v/>
      </c>
      <c r="BC65" s="84" t="str">
        <f t="shared" si="116"/>
        <v/>
      </c>
      <c r="BD65" s="82" t="str">
        <f t="shared" si="117"/>
        <v/>
      </c>
      <c r="BE65" s="48" t="str">
        <f t="shared" si="118"/>
        <v/>
      </c>
      <c r="BF65" s="48" t="str">
        <f t="shared" si="119"/>
        <v/>
      </c>
      <c r="BG65" s="84" t="str">
        <f t="shared" si="120"/>
        <v/>
      </c>
      <c r="BH65" s="87" t="str">
        <f t="shared" si="121"/>
        <v/>
      </c>
      <c r="BI65" s="49" t="str">
        <f t="shared" si="122"/>
        <v/>
      </c>
      <c r="BJ65" s="49" t="str">
        <f t="shared" si="123"/>
        <v/>
      </c>
      <c r="BK65" s="89" t="str">
        <f t="shared" si="124"/>
        <v/>
      </c>
      <c r="BL65" s="87" t="str">
        <f t="shared" si="125"/>
        <v/>
      </c>
      <c r="BM65" s="49" t="str">
        <f t="shared" si="126"/>
        <v/>
      </c>
      <c r="BN65" s="49" t="str">
        <f t="shared" si="127"/>
        <v/>
      </c>
      <c r="BO65" s="89" t="str">
        <f t="shared" si="128"/>
        <v/>
      </c>
      <c r="BP65" s="87" t="str">
        <f t="shared" si="129"/>
        <v/>
      </c>
      <c r="BQ65" s="49" t="str">
        <f t="shared" si="130"/>
        <v/>
      </c>
      <c r="BR65" s="49" t="str">
        <f t="shared" si="131"/>
        <v/>
      </c>
      <c r="BS65" s="89" t="str">
        <f t="shared" si="132"/>
        <v/>
      </c>
      <c r="BT65" s="87"/>
    </row>
    <row r="66" spans="2:72">
      <c r="B66" s="81" t="str">
        <f>Weekly!B58</f>
        <v>01521</v>
      </c>
      <c r="C66" s="90" t="str">
        <f>Weekly!C58</f>
        <v>Tom</v>
      </c>
      <c r="D66" s="90" t="str">
        <f>Weekly!D59</f>
        <v>Shimada</v>
      </c>
      <c r="E66" s="91" t="str">
        <f>VLOOKUP(B66,Team!$B$4:$E$183,4,FALSE)</f>
        <v>M's</v>
      </c>
      <c r="F66" s="92" t="str">
        <f>Weekly!Y58</f>
        <v/>
      </c>
      <c r="G66" s="92" t="str">
        <f>Weekly!Z58</f>
        <v/>
      </c>
      <c r="H66" s="48" t="str">
        <f t="shared" si="69"/>
        <v/>
      </c>
      <c r="I66" s="48" t="str">
        <f t="shared" si="70"/>
        <v/>
      </c>
      <c r="J66" s="48" t="str">
        <f t="shared" si="71"/>
        <v/>
      </c>
      <c r="K66" s="84" t="str">
        <f t="shared" si="72"/>
        <v/>
      </c>
      <c r="L66" s="82" t="str">
        <f t="shared" si="73"/>
        <v/>
      </c>
      <c r="M66" s="48" t="str">
        <f t="shared" si="74"/>
        <v/>
      </c>
      <c r="N66" s="48" t="str">
        <f t="shared" si="75"/>
        <v/>
      </c>
      <c r="O66" s="84" t="str">
        <f t="shared" si="76"/>
        <v/>
      </c>
      <c r="P66" s="82" t="str">
        <f t="shared" si="77"/>
        <v/>
      </c>
      <c r="Q66" s="48" t="str">
        <f t="shared" si="78"/>
        <v/>
      </c>
      <c r="R66" s="48" t="str">
        <f t="shared" si="79"/>
        <v/>
      </c>
      <c r="S66" s="84" t="str">
        <f t="shared" si="80"/>
        <v/>
      </c>
      <c r="T66" s="82" t="str">
        <f t="shared" si="81"/>
        <v/>
      </c>
      <c r="U66" s="48" t="str">
        <f t="shared" si="82"/>
        <v/>
      </c>
      <c r="V66" s="48" t="str">
        <f t="shared" si="83"/>
        <v/>
      </c>
      <c r="W66" s="84" t="str">
        <f t="shared" si="84"/>
        <v/>
      </c>
      <c r="X66" s="82" t="str">
        <f t="shared" si="85"/>
        <v/>
      </c>
      <c r="Y66" s="48" t="str">
        <f t="shared" si="86"/>
        <v/>
      </c>
      <c r="Z66" s="48" t="str">
        <f t="shared" si="87"/>
        <v/>
      </c>
      <c r="AA66" s="84" t="str">
        <f t="shared" si="88"/>
        <v/>
      </c>
      <c r="AB66" s="82" t="str">
        <f t="shared" si="89"/>
        <v/>
      </c>
      <c r="AC66" s="48" t="str">
        <f t="shared" si="90"/>
        <v/>
      </c>
      <c r="AD66" s="48" t="str">
        <f t="shared" si="91"/>
        <v/>
      </c>
      <c r="AE66" s="84" t="str">
        <f t="shared" si="92"/>
        <v/>
      </c>
      <c r="AF66" s="82" t="str">
        <f t="shared" si="93"/>
        <v/>
      </c>
      <c r="AG66" s="48" t="str">
        <f t="shared" si="94"/>
        <v/>
      </c>
      <c r="AH66" s="48" t="str">
        <f t="shared" si="95"/>
        <v/>
      </c>
      <c r="AI66" s="84" t="str">
        <f t="shared" si="96"/>
        <v/>
      </c>
      <c r="AJ66" s="82" t="str">
        <f t="shared" si="97"/>
        <v/>
      </c>
      <c r="AK66" s="48" t="str">
        <f t="shared" si="98"/>
        <v/>
      </c>
      <c r="AL66" s="48" t="str">
        <f t="shared" si="99"/>
        <v/>
      </c>
      <c r="AM66" s="84" t="str">
        <f t="shared" si="100"/>
        <v/>
      </c>
      <c r="AN66" s="82" t="str">
        <f t="shared" si="101"/>
        <v/>
      </c>
      <c r="AO66" s="48" t="str">
        <f t="shared" si="102"/>
        <v/>
      </c>
      <c r="AP66" s="48" t="str">
        <f t="shared" si="103"/>
        <v/>
      </c>
      <c r="AQ66" s="84" t="str">
        <f t="shared" si="104"/>
        <v/>
      </c>
      <c r="AR66" s="82" t="str">
        <f t="shared" si="105"/>
        <v/>
      </c>
      <c r="AS66" s="48" t="str">
        <f t="shared" si="106"/>
        <v/>
      </c>
      <c r="AT66" s="48" t="str">
        <f t="shared" si="107"/>
        <v/>
      </c>
      <c r="AU66" s="84" t="str">
        <f t="shared" si="108"/>
        <v/>
      </c>
      <c r="AV66" s="82" t="str">
        <f t="shared" si="109"/>
        <v/>
      </c>
      <c r="AW66" s="48" t="str">
        <f t="shared" si="110"/>
        <v/>
      </c>
      <c r="AX66" s="48" t="str">
        <f t="shared" si="111"/>
        <v/>
      </c>
      <c r="AY66" s="84" t="str">
        <f t="shared" si="112"/>
        <v/>
      </c>
      <c r="AZ66" s="82" t="str">
        <f t="shared" si="113"/>
        <v/>
      </c>
      <c r="BA66" s="48" t="str">
        <f t="shared" si="114"/>
        <v/>
      </c>
      <c r="BB66" s="48" t="str">
        <f t="shared" si="115"/>
        <v/>
      </c>
      <c r="BC66" s="84" t="str">
        <f t="shared" si="116"/>
        <v/>
      </c>
      <c r="BD66" s="82" t="str">
        <f t="shared" si="117"/>
        <v/>
      </c>
      <c r="BE66" s="48" t="str">
        <f t="shared" si="118"/>
        <v/>
      </c>
      <c r="BF66" s="48" t="str">
        <f t="shared" si="119"/>
        <v/>
      </c>
      <c r="BG66" s="84" t="str">
        <f t="shared" si="120"/>
        <v/>
      </c>
      <c r="BH66" s="87" t="str">
        <f t="shared" si="121"/>
        <v/>
      </c>
      <c r="BI66" s="49" t="str">
        <f t="shared" si="122"/>
        <v/>
      </c>
      <c r="BJ66" s="49" t="str">
        <f t="shared" si="123"/>
        <v/>
      </c>
      <c r="BK66" s="89" t="str">
        <f t="shared" si="124"/>
        <v/>
      </c>
      <c r="BL66" s="87" t="str">
        <f t="shared" si="125"/>
        <v/>
      </c>
      <c r="BM66" s="49" t="str">
        <f t="shared" si="126"/>
        <v/>
      </c>
      <c r="BN66" s="49" t="str">
        <f t="shared" si="127"/>
        <v/>
      </c>
      <c r="BO66" s="89" t="str">
        <f t="shared" si="128"/>
        <v/>
      </c>
      <c r="BP66" s="87" t="str">
        <f t="shared" si="129"/>
        <v/>
      </c>
      <c r="BQ66" s="49" t="str">
        <f t="shared" si="130"/>
        <v/>
      </c>
      <c r="BR66" s="49" t="str">
        <f t="shared" si="131"/>
        <v/>
      </c>
      <c r="BS66" s="89" t="str">
        <f t="shared" si="132"/>
        <v/>
      </c>
      <c r="BT66" s="87"/>
    </row>
    <row r="67" spans="2:72">
      <c r="B67" s="81" t="str">
        <f>Weekly!B59</f>
        <v>1062</v>
      </c>
      <c r="C67" s="90" t="str">
        <f>Weekly!C59</f>
        <v>Tomoko</v>
      </c>
      <c r="D67" s="90" t="str">
        <f>Weekly!D60</f>
        <v>Kim</v>
      </c>
      <c r="E67" s="91" t="str">
        <f>VLOOKUP(B67,Team!$B$4:$E$183,4,FALSE)</f>
        <v>L's</v>
      </c>
      <c r="F67" s="92" t="str">
        <f>Weekly!Y59</f>
        <v/>
      </c>
      <c r="G67" s="92" t="str">
        <f>Weekly!Z59</f>
        <v/>
      </c>
      <c r="H67" s="48" t="str">
        <f t="shared" si="69"/>
        <v/>
      </c>
      <c r="I67" s="48" t="str">
        <f t="shared" si="70"/>
        <v/>
      </c>
      <c r="J67" s="48" t="str">
        <f t="shared" si="71"/>
        <v/>
      </c>
      <c r="K67" s="84" t="str">
        <f t="shared" si="72"/>
        <v/>
      </c>
      <c r="L67" s="82" t="str">
        <f t="shared" si="73"/>
        <v/>
      </c>
      <c r="M67" s="48" t="str">
        <f t="shared" si="74"/>
        <v/>
      </c>
      <c r="N67" s="48" t="str">
        <f t="shared" si="75"/>
        <v/>
      </c>
      <c r="O67" s="84" t="str">
        <f t="shared" si="76"/>
        <v/>
      </c>
      <c r="P67" s="82" t="str">
        <f t="shared" si="77"/>
        <v/>
      </c>
      <c r="Q67" s="48" t="str">
        <f t="shared" si="78"/>
        <v/>
      </c>
      <c r="R67" s="48" t="str">
        <f t="shared" si="79"/>
        <v/>
      </c>
      <c r="S67" s="84" t="str">
        <f t="shared" si="80"/>
        <v/>
      </c>
      <c r="T67" s="82" t="str">
        <f t="shared" si="81"/>
        <v/>
      </c>
      <c r="U67" s="48" t="str">
        <f t="shared" si="82"/>
        <v/>
      </c>
      <c r="V67" s="48" t="str">
        <f t="shared" si="83"/>
        <v/>
      </c>
      <c r="W67" s="84" t="str">
        <f t="shared" si="84"/>
        <v/>
      </c>
      <c r="X67" s="82" t="str">
        <f t="shared" si="85"/>
        <v/>
      </c>
      <c r="Y67" s="48" t="str">
        <f t="shared" si="86"/>
        <v/>
      </c>
      <c r="Z67" s="48" t="str">
        <f t="shared" si="87"/>
        <v/>
      </c>
      <c r="AA67" s="84" t="str">
        <f t="shared" si="88"/>
        <v/>
      </c>
      <c r="AB67" s="82" t="str">
        <f t="shared" si="89"/>
        <v/>
      </c>
      <c r="AC67" s="48" t="str">
        <f t="shared" si="90"/>
        <v/>
      </c>
      <c r="AD67" s="48" t="str">
        <f t="shared" si="91"/>
        <v/>
      </c>
      <c r="AE67" s="84" t="str">
        <f t="shared" si="92"/>
        <v/>
      </c>
      <c r="AF67" s="82" t="str">
        <f t="shared" si="93"/>
        <v/>
      </c>
      <c r="AG67" s="48" t="str">
        <f t="shared" si="94"/>
        <v/>
      </c>
      <c r="AH67" s="48" t="str">
        <f t="shared" si="95"/>
        <v/>
      </c>
      <c r="AI67" s="84" t="str">
        <f t="shared" si="96"/>
        <v/>
      </c>
      <c r="AJ67" s="82" t="str">
        <f t="shared" si="97"/>
        <v/>
      </c>
      <c r="AK67" s="48" t="str">
        <f t="shared" si="98"/>
        <v/>
      </c>
      <c r="AL67" s="48" t="str">
        <f t="shared" si="99"/>
        <v/>
      </c>
      <c r="AM67" s="84" t="str">
        <f t="shared" si="100"/>
        <v/>
      </c>
      <c r="AN67" s="82" t="str">
        <f t="shared" si="101"/>
        <v/>
      </c>
      <c r="AO67" s="48" t="str">
        <f t="shared" si="102"/>
        <v/>
      </c>
      <c r="AP67" s="48" t="str">
        <f t="shared" si="103"/>
        <v/>
      </c>
      <c r="AQ67" s="84" t="str">
        <f t="shared" si="104"/>
        <v/>
      </c>
      <c r="AR67" s="82" t="str">
        <f t="shared" si="105"/>
        <v/>
      </c>
      <c r="AS67" s="48" t="str">
        <f t="shared" si="106"/>
        <v/>
      </c>
      <c r="AT67" s="48" t="str">
        <f t="shared" si="107"/>
        <v/>
      </c>
      <c r="AU67" s="84" t="str">
        <f t="shared" si="108"/>
        <v/>
      </c>
      <c r="AV67" s="82" t="str">
        <f t="shared" si="109"/>
        <v/>
      </c>
      <c r="AW67" s="48" t="str">
        <f t="shared" si="110"/>
        <v/>
      </c>
      <c r="AX67" s="48" t="str">
        <f t="shared" si="111"/>
        <v/>
      </c>
      <c r="AY67" s="84" t="str">
        <f t="shared" si="112"/>
        <v/>
      </c>
      <c r="AZ67" s="82" t="str">
        <f t="shared" si="113"/>
        <v/>
      </c>
      <c r="BA67" s="48" t="str">
        <f t="shared" si="114"/>
        <v/>
      </c>
      <c r="BB67" s="48" t="str">
        <f t="shared" si="115"/>
        <v/>
      </c>
      <c r="BC67" s="84" t="str">
        <f t="shared" si="116"/>
        <v/>
      </c>
      <c r="BD67" s="82" t="str">
        <f t="shared" si="117"/>
        <v/>
      </c>
      <c r="BE67" s="48" t="str">
        <f t="shared" si="118"/>
        <v/>
      </c>
      <c r="BF67" s="48" t="str">
        <f t="shared" si="119"/>
        <v/>
      </c>
      <c r="BG67" s="84" t="str">
        <f t="shared" si="120"/>
        <v/>
      </c>
      <c r="BH67" s="87" t="str">
        <f t="shared" si="121"/>
        <v/>
      </c>
      <c r="BI67" s="49" t="str">
        <f t="shared" si="122"/>
        <v/>
      </c>
      <c r="BJ67" s="49" t="str">
        <f t="shared" si="123"/>
        <v/>
      </c>
      <c r="BK67" s="89" t="str">
        <f t="shared" si="124"/>
        <v/>
      </c>
      <c r="BL67" s="87" t="str">
        <f t="shared" si="125"/>
        <v/>
      </c>
      <c r="BM67" s="49" t="str">
        <f t="shared" si="126"/>
        <v/>
      </c>
      <c r="BN67" s="49" t="str">
        <f t="shared" si="127"/>
        <v/>
      </c>
      <c r="BO67" s="89" t="str">
        <f t="shared" si="128"/>
        <v/>
      </c>
      <c r="BP67" s="87" t="str">
        <f t="shared" si="129"/>
        <v/>
      </c>
      <c r="BQ67" s="49" t="str">
        <f t="shared" si="130"/>
        <v/>
      </c>
      <c r="BR67" s="49" t="str">
        <f t="shared" si="131"/>
        <v/>
      </c>
      <c r="BS67" s="89" t="str">
        <f t="shared" si="132"/>
        <v/>
      </c>
      <c r="BT67" s="87"/>
    </row>
    <row r="68" spans="2:72">
      <c r="B68" s="81" t="str">
        <f>Weekly!B60</f>
        <v>1149</v>
      </c>
      <c r="C68" s="90" t="str">
        <f>Weekly!C60</f>
        <v>Vera</v>
      </c>
      <c r="D68" s="90" t="str">
        <f>Weekly!D61</f>
        <v>Sin</v>
      </c>
      <c r="E68" s="91" t="str">
        <f>VLOOKUP(B68,Team!$B$4:$E$183,4,FALSE)</f>
        <v>L's</v>
      </c>
      <c r="F68" s="92" t="str">
        <f>Weekly!Y60</f>
        <v/>
      </c>
      <c r="G68" s="92" t="str">
        <f>Weekly!Z60</f>
        <v/>
      </c>
      <c r="H68" s="48" t="str">
        <f t="shared" si="69"/>
        <v/>
      </c>
      <c r="I68" s="48" t="str">
        <f t="shared" si="70"/>
        <v/>
      </c>
      <c r="J68" s="48" t="str">
        <f t="shared" si="71"/>
        <v/>
      </c>
      <c r="K68" s="84" t="str">
        <f t="shared" si="72"/>
        <v/>
      </c>
      <c r="L68" s="82" t="str">
        <f t="shared" si="73"/>
        <v/>
      </c>
      <c r="M68" s="48" t="str">
        <f t="shared" si="74"/>
        <v/>
      </c>
      <c r="N68" s="48" t="str">
        <f t="shared" si="75"/>
        <v/>
      </c>
      <c r="O68" s="84" t="str">
        <f t="shared" si="76"/>
        <v/>
      </c>
      <c r="P68" s="82" t="str">
        <f t="shared" si="77"/>
        <v/>
      </c>
      <c r="Q68" s="48" t="str">
        <f t="shared" si="78"/>
        <v/>
      </c>
      <c r="R68" s="48" t="str">
        <f t="shared" si="79"/>
        <v/>
      </c>
      <c r="S68" s="84" t="str">
        <f t="shared" si="80"/>
        <v/>
      </c>
      <c r="T68" s="82" t="str">
        <f t="shared" si="81"/>
        <v/>
      </c>
      <c r="U68" s="48" t="str">
        <f t="shared" si="82"/>
        <v/>
      </c>
      <c r="V68" s="48" t="str">
        <f t="shared" si="83"/>
        <v/>
      </c>
      <c r="W68" s="84" t="str">
        <f t="shared" si="84"/>
        <v/>
      </c>
      <c r="X68" s="82" t="str">
        <f t="shared" si="85"/>
        <v/>
      </c>
      <c r="Y68" s="48" t="str">
        <f t="shared" si="86"/>
        <v/>
      </c>
      <c r="Z68" s="48" t="str">
        <f t="shared" si="87"/>
        <v/>
      </c>
      <c r="AA68" s="84" t="str">
        <f t="shared" si="88"/>
        <v/>
      </c>
      <c r="AB68" s="82" t="str">
        <f t="shared" si="89"/>
        <v/>
      </c>
      <c r="AC68" s="48" t="str">
        <f t="shared" si="90"/>
        <v/>
      </c>
      <c r="AD68" s="48" t="str">
        <f t="shared" si="91"/>
        <v/>
      </c>
      <c r="AE68" s="84" t="str">
        <f t="shared" si="92"/>
        <v/>
      </c>
      <c r="AF68" s="82" t="str">
        <f t="shared" si="93"/>
        <v/>
      </c>
      <c r="AG68" s="48" t="str">
        <f t="shared" si="94"/>
        <v/>
      </c>
      <c r="AH68" s="48" t="str">
        <f t="shared" si="95"/>
        <v/>
      </c>
      <c r="AI68" s="84" t="str">
        <f t="shared" si="96"/>
        <v/>
      </c>
      <c r="AJ68" s="82" t="str">
        <f t="shared" si="97"/>
        <v/>
      </c>
      <c r="AK68" s="48" t="str">
        <f t="shared" si="98"/>
        <v/>
      </c>
      <c r="AL68" s="48" t="str">
        <f t="shared" si="99"/>
        <v/>
      </c>
      <c r="AM68" s="84" t="str">
        <f t="shared" si="100"/>
        <v/>
      </c>
      <c r="AN68" s="82" t="str">
        <f t="shared" si="101"/>
        <v/>
      </c>
      <c r="AO68" s="48" t="str">
        <f t="shared" si="102"/>
        <v/>
      </c>
      <c r="AP68" s="48" t="str">
        <f t="shared" si="103"/>
        <v/>
      </c>
      <c r="AQ68" s="84" t="str">
        <f t="shared" si="104"/>
        <v/>
      </c>
      <c r="AR68" s="82" t="str">
        <f t="shared" si="105"/>
        <v/>
      </c>
      <c r="AS68" s="48" t="str">
        <f t="shared" si="106"/>
        <v/>
      </c>
      <c r="AT68" s="48" t="str">
        <f t="shared" si="107"/>
        <v/>
      </c>
      <c r="AU68" s="84" t="str">
        <f t="shared" si="108"/>
        <v/>
      </c>
      <c r="AV68" s="82" t="str">
        <f t="shared" si="109"/>
        <v/>
      </c>
      <c r="AW68" s="48" t="str">
        <f t="shared" si="110"/>
        <v/>
      </c>
      <c r="AX68" s="48" t="str">
        <f t="shared" si="111"/>
        <v/>
      </c>
      <c r="AY68" s="84" t="str">
        <f t="shared" si="112"/>
        <v/>
      </c>
      <c r="AZ68" s="82" t="str">
        <f t="shared" si="113"/>
        <v/>
      </c>
      <c r="BA68" s="48" t="str">
        <f t="shared" si="114"/>
        <v/>
      </c>
      <c r="BB68" s="48" t="str">
        <f t="shared" si="115"/>
        <v/>
      </c>
      <c r="BC68" s="84" t="str">
        <f t="shared" si="116"/>
        <v/>
      </c>
      <c r="BD68" s="82" t="str">
        <f t="shared" si="117"/>
        <v/>
      </c>
      <c r="BE68" s="48" t="str">
        <f t="shared" si="118"/>
        <v/>
      </c>
      <c r="BF68" s="48" t="str">
        <f t="shared" si="119"/>
        <v/>
      </c>
      <c r="BG68" s="84" t="str">
        <f t="shared" si="120"/>
        <v/>
      </c>
      <c r="BH68" s="87" t="str">
        <f t="shared" si="121"/>
        <v/>
      </c>
      <c r="BI68" s="49" t="str">
        <f t="shared" si="122"/>
        <v/>
      </c>
      <c r="BJ68" s="49" t="str">
        <f t="shared" si="123"/>
        <v/>
      </c>
      <c r="BK68" s="89" t="str">
        <f t="shared" si="124"/>
        <v/>
      </c>
      <c r="BL68" s="87" t="str">
        <f t="shared" si="125"/>
        <v/>
      </c>
      <c r="BM68" s="49" t="str">
        <f t="shared" si="126"/>
        <v/>
      </c>
      <c r="BN68" s="49" t="str">
        <f t="shared" si="127"/>
        <v/>
      </c>
      <c r="BO68" s="89" t="str">
        <f t="shared" si="128"/>
        <v/>
      </c>
      <c r="BP68" s="87" t="str">
        <f t="shared" si="129"/>
        <v/>
      </c>
      <c r="BQ68" s="49" t="str">
        <f t="shared" si="130"/>
        <v/>
      </c>
      <c r="BR68" s="49" t="str">
        <f t="shared" si="131"/>
        <v/>
      </c>
      <c r="BS68" s="89" t="str">
        <f t="shared" si="132"/>
        <v/>
      </c>
      <c r="BT68" s="87"/>
    </row>
    <row r="69" spans="2:72">
      <c r="B69" s="81" t="str">
        <f>Weekly!B61</f>
        <v>1160</v>
      </c>
      <c r="C69" s="90" t="str">
        <f>Weekly!C61</f>
        <v>Yura</v>
      </c>
      <c r="D69" s="90">
        <f>Weekly!D62</f>
        <v>0</v>
      </c>
      <c r="E69" s="91" t="str">
        <f>VLOOKUP(B69,Team!$B$4:$E$183,4,FALSE)</f>
        <v>SPV</v>
      </c>
      <c r="F69" s="92" t="str">
        <f>Weekly!Y61</f>
        <v/>
      </c>
      <c r="G69" s="92" t="str">
        <f>Weekly!Z61</f>
        <v/>
      </c>
      <c r="H69" s="48" t="str">
        <f t="shared" si="69"/>
        <v/>
      </c>
      <c r="I69" s="48" t="str">
        <f t="shared" si="70"/>
        <v/>
      </c>
      <c r="J69" s="48" t="str">
        <f t="shared" si="71"/>
        <v/>
      </c>
      <c r="K69" s="84" t="str">
        <f t="shared" si="72"/>
        <v/>
      </c>
      <c r="L69" s="82" t="str">
        <f t="shared" si="73"/>
        <v/>
      </c>
      <c r="M69" s="48" t="str">
        <f t="shared" si="74"/>
        <v/>
      </c>
      <c r="N69" s="48" t="str">
        <f t="shared" si="75"/>
        <v/>
      </c>
      <c r="O69" s="84" t="str">
        <f t="shared" si="76"/>
        <v/>
      </c>
      <c r="P69" s="82" t="str">
        <f t="shared" si="77"/>
        <v/>
      </c>
      <c r="Q69" s="48" t="str">
        <f t="shared" si="78"/>
        <v/>
      </c>
      <c r="R69" s="48" t="str">
        <f t="shared" si="79"/>
        <v/>
      </c>
      <c r="S69" s="84" t="str">
        <f t="shared" si="80"/>
        <v/>
      </c>
      <c r="T69" s="82" t="str">
        <f t="shared" si="81"/>
        <v/>
      </c>
      <c r="U69" s="48" t="str">
        <f t="shared" si="82"/>
        <v/>
      </c>
      <c r="V69" s="48" t="str">
        <f t="shared" si="83"/>
        <v/>
      </c>
      <c r="W69" s="84" t="str">
        <f t="shared" si="84"/>
        <v/>
      </c>
      <c r="X69" s="82" t="str">
        <f t="shared" si="85"/>
        <v/>
      </c>
      <c r="Y69" s="48" t="str">
        <f t="shared" si="86"/>
        <v/>
      </c>
      <c r="Z69" s="48" t="str">
        <f t="shared" si="87"/>
        <v/>
      </c>
      <c r="AA69" s="84" t="str">
        <f t="shared" si="88"/>
        <v/>
      </c>
      <c r="AB69" s="82" t="str">
        <f t="shared" si="89"/>
        <v/>
      </c>
      <c r="AC69" s="48" t="str">
        <f t="shared" si="90"/>
        <v/>
      </c>
      <c r="AD69" s="48" t="str">
        <f t="shared" si="91"/>
        <v/>
      </c>
      <c r="AE69" s="84" t="str">
        <f t="shared" si="92"/>
        <v/>
      </c>
      <c r="AF69" s="82" t="str">
        <f t="shared" si="93"/>
        <v/>
      </c>
      <c r="AG69" s="48" t="str">
        <f t="shared" si="94"/>
        <v/>
      </c>
      <c r="AH69" s="48" t="str">
        <f t="shared" si="95"/>
        <v/>
      </c>
      <c r="AI69" s="84" t="str">
        <f t="shared" si="96"/>
        <v/>
      </c>
      <c r="AJ69" s="82" t="str">
        <f t="shared" si="97"/>
        <v/>
      </c>
      <c r="AK69" s="48" t="str">
        <f t="shared" si="98"/>
        <v/>
      </c>
      <c r="AL69" s="48" t="str">
        <f t="shared" si="99"/>
        <v/>
      </c>
      <c r="AM69" s="84" t="str">
        <f t="shared" si="100"/>
        <v/>
      </c>
      <c r="AN69" s="82" t="str">
        <f t="shared" si="101"/>
        <v/>
      </c>
      <c r="AO69" s="48" t="str">
        <f t="shared" si="102"/>
        <v/>
      </c>
      <c r="AP69" s="48" t="str">
        <f t="shared" si="103"/>
        <v/>
      </c>
      <c r="AQ69" s="84" t="str">
        <f t="shared" si="104"/>
        <v/>
      </c>
      <c r="AR69" s="82" t="str">
        <f t="shared" si="105"/>
        <v/>
      </c>
      <c r="AS69" s="48" t="str">
        <f t="shared" si="106"/>
        <v/>
      </c>
      <c r="AT69" s="48" t="str">
        <f t="shared" si="107"/>
        <v/>
      </c>
      <c r="AU69" s="84" t="str">
        <f t="shared" si="108"/>
        <v/>
      </c>
      <c r="AV69" s="82" t="str">
        <f t="shared" si="109"/>
        <v/>
      </c>
      <c r="AW69" s="48" t="str">
        <f t="shared" si="110"/>
        <v/>
      </c>
      <c r="AX69" s="48" t="str">
        <f t="shared" si="111"/>
        <v/>
      </c>
      <c r="AY69" s="84" t="str">
        <f t="shared" si="112"/>
        <v/>
      </c>
      <c r="AZ69" s="82" t="str">
        <f t="shared" si="113"/>
        <v/>
      </c>
      <c r="BA69" s="48" t="str">
        <f t="shared" si="114"/>
        <v/>
      </c>
      <c r="BB69" s="48" t="str">
        <f t="shared" si="115"/>
        <v/>
      </c>
      <c r="BC69" s="84" t="str">
        <f t="shared" si="116"/>
        <v/>
      </c>
      <c r="BD69" s="82" t="str">
        <f t="shared" si="117"/>
        <v/>
      </c>
      <c r="BE69" s="48" t="str">
        <f t="shared" si="118"/>
        <v/>
      </c>
      <c r="BF69" s="48" t="str">
        <f t="shared" si="119"/>
        <v/>
      </c>
      <c r="BG69" s="84" t="str">
        <f t="shared" si="120"/>
        <v/>
      </c>
      <c r="BH69" s="87" t="str">
        <f t="shared" si="121"/>
        <v/>
      </c>
      <c r="BI69" s="49" t="str">
        <f t="shared" si="122"/>
        <v/>
      </c>
      <c r="BJ69" s="49" t="str">
        <f t="shared" si="123"/>
        <v/>
      </c>
      <c r="BK69" s="89" t="str">
        <f t="shared" si="124"/>
        <v/>
      </c>
      <c r="BL69" s="87" t="str">
        <f t="shared" si="125"/>
        <v/>
      </c>
      <c r="BM69" s="49" t="str">
        <f t="shared" si="126"/>
        <v/>
      </c>
      <c r="BN69" s="49" t="str">
        <f t="shared" si="127"/>
        <v/>
      </c>
      <c r="BO69" s="89" t="str">
        <f t="shared" si="128"/>
        <v/>
      </c>
      <c r="BP69" s="87" t="str">
        <f t="shared" si="129"/>
        <v/>
      </c>
      <c r="BQ69" s="49" t="str">
        <f t="shared" si="130"/>
        <v/>
      </c>
      <c r="BR69" s="49" t="str">
        <f t="shared" si="131"/>
        <v/>
      </c>
      <c r="BS69" s="89" t="str">
        <f t="shared" si="132"/>
        <v/>
      </c>
      <c r="BT69" s="87"/>
    </row>
    <row r="70" spans="2:72">
      <c r="B70" s="81">
        <f>Weekly!B62</f>
        <v>0</v>
      </c>
      <c r="C70" s="90">
        <f>Weekly!C62</f>
        <v>0</v>
      </c>
      <c r="D70" s="90">
        <f>Weekly!D63</f>
        <v>0</v>
      </c>
      <c r="E70" s="91" t="e">
        <f>VLOOKUP(B70,Team!$B$4:$E$183,4,FALSE)</f>
        <v>#N/A</v>
      </c>
      <c r="F70" s="92" t="str">
        <f>Weekly!Y62</f>
        <v/>
      </c>
      <c r="G70" s="92" t="str">
        <f>Weekly!Z62</f>
        <v/>
      </c>
      <c r="H70" s="48" t="str">
        <f t="shared" si="69"/>
        <v/>
      </c>
      <c r="I70" s="48" t="str">
        <f t="shared" si="70"/>
        <v/>
      </c>
      <c r="J70" s="48" t="str">
        <f t="shared" si="71"/>
        <v/>
      </c>
      <c r="K70" s="84" t="str">
        <f t="shared" si="72"/>
        <v/>
      </c>
      <c r="L70" s="82" t="str">
        <f t="shared" si="73"/>
        <v/>
      </c>
      <c r="M70" s="48" t="str">
        <f t="shared" si="74"/>
        <v/>
      </c>
      <c r="N70" s="48" t="str">
        <f t="shared" si="75"/>
        <v/>
      </c>
      <c r="O70" s="84" t="str">
        <f t="shared" si="76"/>
        <v/>
      </c>
      <c r="P70" s="82" t="str">
        <f t="shared" si="77"/>
        <v/>
      </c>
      <c r="Q70" s="48" t="str">
        <f t="shared" si="78"/>
        <v/>
      </c>
      <c r="R70" s="48" t="str">
        <f t="shared" si="79"/>
        <v/>
      </c>
      <c r="S70" s="84" t="str">
        <f t="shared" si="80"/>
        <v/>
      </c>
      <c r="T70" s="82" t="str">
        <f t="shared" si="81"/>
        <v/>
      </c>
      <c r="U70" s="48" t="str">
        <f t="shared" si="82"/>
        <v/>
      </c>
      <c r="V70" s="48" t="str">
        <f t="shared" si="83"/>
        <v/>
      </c>
      <c r="W70" s="84" t="str">
        <f t="shared" si="84"/>
        <v/>
      </c>
      <c r="X70" s="82" t="str">
        <f t="shared" si="85"/>
        <v/>
      </c>
      <c r="Y70" s="48" t="str">
        <f t="shared" si="86"/>
        <v/>
      </c>
      <c r="Z70" s="48" t="str">
        <f t="shared" si="87"/>
        <v/>
      </c>
      <c r="AA70" s="84" t="str">
        <f t="shared" si="88"/>
        <v/>
      </c>
      <c r="AB70" s="82" t="str">
        <f t="shared" si="89"/>
        <v/>
      </c>
      <c r="AC70" s="48" t="str">
        <f t="shared" si="90"/>
        <v/>
      </c>
      <c r="AD70" s="48" t="str">
        <f t="shared" si="91"/>
        <v/>
      </c>
      <c r="AE70" s="84" t="str">
        <f t="shared" si="92"/>
        <v/>
      </c>
      <c r="AF70" s="82" t="str">
        <f t="shared" si="93"/>
        <v/>
      </c>
      <c r="AG70" s="48" t="str">
        <f t="shared" si="94"/>
        <v/>
      </c>
      <c r="AH70" s="48" t="str">
        <f t="shared" si="95"/>
        <v/>
      </c>
      <c r="AI70" s="84" t="str">
        <f t="shared" si="96"/>
        <v/>
      </c>
      <c r="AJ70" s="82" t="str">
        <f t="shared" si="97"/>
        <v/>
      </c>
      <c r="AK70" s="48" t="str">
        <f t="shared" si="98"/>
        <v/>
      </c>
      <c r="AL70" s="48" t="str">
        <f t="shared" si="99"/>
        <v/>
      </c>
      <c r="AM70" s="84" t="str">
        <f t="shared" si="100"/>
        <v/>
      </c>
      <c r="AN70" s="82" t="str">
        <f t="shared" si="101"/>
        <v/>
      </c>
      <c r="AO70" s="48" t="str">
        <f t="shared" si="102"/>
        <v/>
      </c>
      <c r="AP70" s="48" t="str">
        <f t="shared" si="103"/>
        <v/>
      </c>
      <c r="AQ70" s="84" t="str">
        <f t="shared" si="104"/>
        <v/>
      </c>
      <c r="AR70" s="82" t="str">
        <f t="shared" si="105"/>
        <v/>
      </c>
      <c r="AS70" s="48" t="str">
        <f t="shared" si="106"/>
        <v/>
      </c>
      <c r="AT70" s="48" t="str">
        <f t="shared" si="107"/>
        <v/>
      </c>
      <c r="AU70" s="84" t="str">
        <f t="shared" si="108"/>
        <v/>
      </c>
      <c r="AV70" s="82" t="str">
        <f t="shared" si="109"/>
        <v/>
      </c>
      <c r="AW70" s="48" t="str">
        <f t="shared" si="110"/>
        <v/>
      </c>
      <c r="AX70" s="48" t="str">
        <f t="shared" si="111"/>
        <v/>
      </c>
      <c r="AY70" s="84" t="str">
        <f t="shared" si="112"/>
        <v/>
      </c>
      <c r="AZ70" s="82" t="str">
        <f t="shared" si="113"/>
        <v/>
      </c>
      <c r="BA70" s="48" t="str">
        <f t="shared" si="114"/>
        <v/>
      </c>
      <c r="BB70" s="48" t="str">
        <f t="shared" si="115"/>
        <v/>
      </c>
      <c r="BC70" s="84" t="str">
        <f t="shared" si="116"/>
        <v/>
      </c>
      <c r="BD70" s="82" t="str">
        <f t="shared" si="117"/>
        <v/>
      </c>
      <c r="BE70" s="48" t="str">
        <f t="shared" si="118"/>
        <v/>
      </c>
      <c r="BF70" s="48" t="str">
        <f t="shared" si="119"/>
        <v/>
      </c>
      <c r="BG70" s="84" t="str">
        <f t="shared" si="120"/>
        <v/>
      </c>
      <c r="BH70" s="87" t="str">
        <f t="shared" si="121"/>
        <v/>
      </c>
      <c r="BI70" s="49" t="str">
        <f t="shared" si="122"/>
        <v/>
      </c>
      <c r="BJ70" s="49" t="str">
        <f t="shared" si="123"/>
        <v/>
      </c>
      <c r="BK70" s="89" t="str">
        <f t="shared" si="124"/>
        <v/>
      </c>
      <c r="BL70" s="87" t="str">
        <f t="shared" si="125"/>
        <v/>
      </c>
      <c r="BM70" s="49" t="str">
        <f t="shared" si="126"/>
        <v/>
      </c>
      <c r="BN70" s="49" t="str">
        <f t="shared" si="127"/>
        <v/>
      </c>
      <c r="BO70" s="89" t="str">
        <f t="shared" si="128"/>
        <v/>
      </c>
      <c r="BP70" s="87" t="str">
        <f t="shared" si="129"/>
        <v/>
      </c>
      <c r="BQ70" s="49" t="str">
        <f t="shared" si="130"/>
        <v/>
      </c>
      <c r="BR70" s="49" t="str">
        <f t="shared" si="131"/>
        <v/>
      </c>
      <c r="BS70" s="89" t="str">
        <f t="shared" si="132"/>
        <v/>
      </c>
      <c r="BT70" s="87"/>
    </row>
    <row r="71" spans="2:72">
      <c r="B71" s="81">
        <f>Weekly!B63</f>
        <v>0</v>
      </c>
      <c r="C71" s="90">
        <f>Weekly!C63</f>
        <v>0</v>
      </c>
      <c r="D71" s="90">
        <f>Weekly!D64</f>
        <v>0</v>
      </c>
      <c r="E71" s="91" t="e">
        <f>VLOOKUP(B71,Team!$B$4:$E$183,4,FALSE)</f>
        <v>#N/A</v>
      </c>
      <c r="F71" s="92" t="str">
        <f>Weekly!Y63</f>
        <v/>
      </c>
      <c r="G71" s="92" t="str">
        <f>Weekly!Z63</f>
        <v/>
      </c>
      <c r="H71" s="48" t="str">
        <f t="shared" si="69"/>
        <v/>
      </c>
      <c r="I71" s="48" t="str">
        <f t="shared" si="70"/>
        <v/>
      </c>
      <c r="J71" s="48" t="str">
        <f t="shared" si="71"/>
        <v/>
      </c>
      <c r="K71" s="84" t="str">
        <f t="shared" si="72"/>
        <v/>
      </c>
      <c r="L71" s="82" t="str">
        <f t="shared" si="73"/>
        <v/>
      </c>
      <c r="M71" s="48" t="str">
        <f t="shared" si="74"/>
        <v/>
      </c>
      <c r="N71" s="48" t="str">
        <f t="shared" si="75"/>
        <v/>
      </c>
      <c r="O71" s="84" t="str">
        <f t="shared" si="76"/>
        <v/>
      </c>
      <c r="P71" s="82" t="str">
        <f t="shared" si="77"/>
        <v/>
      </c>
      <c r="Q71" s="48" t="str">
        <f t="shared" si="78"/>
        <v/>
      </c>
      <c r="R71" s="48" t="str">
        <f t="shared" si="79"/>
        <v/>
      </c>
      <c r="S71" s="84" t="str">
        <f t="shared" si="80"/>
        <v/>
      </c>
      <c r="T71" s="82" t="str">
        <f t="shared" si="81"/>
        <v/>
      </c>
      <c r="U71" s="48" t="str">
        <f t="shared" si="82"/>
        <v/>
      </c>
      <c r="V71" s="48" t="str">
        <f t="shared" si="83"/>
        <v/>
      </c>
      <c r="W71" s="84" t="str">
        <f t="shared" si="84"/>
        <v/>
      </c>
      <c r="X71" s="82" t="str">
        <f t="shared" si="85"/>
        <v/>
      </c>
      <c r="Y71" s="48" t="str">
        <f t="shared" si="86"/>
        <v/>
      </c>
      <c r="Z71" s="48" t="str">
        <f t="shared" si="87"/>
        <v/>
      </c>
      <c r="AA71" s="84" t="str">
        <f t="shared" si="88"/>
        <v/>
      </c>
      <c r="AB71" s="82" t="str">
        <f t="shared" si="89"/>
        <v/>
      </c>
      <c r="AC71" s="48" t="str">
        <f t="shared" si="90"/>
        <v/>
      </c>
      <c r="AD71" s="48" t="str">
        <f t="shared" si="91"/>
        <v/>
      </c>
      <c r="AE71" s="84" t="str">
        <f t="shared" si="92"/>
        <v/>
      </c>
      <c r="AF71" s="82" t="str">
        <f t="shared" si="93"/>
        <v/>
      </c>
      <c r="AG71" s="48" t="str">
        <f t="shared" si="94"/>
        <v/>
      </c>
      <c r="AH71" s="48" t="str">
        <f t="shared" si="95"/>
        <v/>
      </c>
      <c r="AI71" s="84" t="str">
        <f t="shared" si="96"/>
        <v/>
      </c>
      <c r="AJ71" s="82" t="str">
        <f t="shared" si="97"/>
        <v/>
      </c>
      <c r="AK71" s="48" t="str">
        <f t="shared" si="98"/>
        <v/>
      </c>
      <c r="AL71" s="48" t="str">
        <f t="shared" si="99"/>
        <v/>
      </c>
      <c r="AM71" s="84" t="str">
        <f t="shared" si="100"/>
        <v/>
      </c>
      <c r="AN71" s="82" t="str">
        <f t="shared" si="101"/>
        <v/>
      </c>
      <c r="AO71" s="48" t="str">
        <f t="shared" si="102"/>
        <v/>
      </c>
      <c r="AP71" s="48" t="str">
        <f t="shared" si="103"/>
        <v/>
      </c>
      <c r="AQ71" s="84" t="str">
        <f t="shared" si="104"/>
        <v/>
      </c>
      <c r="AR71" s="82" t="str">
        <f t="shared" si="105"/>
        <v/>
      </c>
      <c r="AS71" s="48" t="str">
        <f t="shared" si="106"/>
        <v/>
      </c>
      <c r="AT71" s="48" t="str">
        <f t="shared" si="107"/>
        <v/>
      </c>
      <c r="AU71" s="84" t="str">
        <f t="shared" si="108"/>
        <v/>
      </c>
      <c r="AV71" s="82" t="str">
        <f t="shared" si="109"/>
        <v/>
      </c>
      <c r="AW71" s="48" t="str">
        <f t="shared" si="110"/>
        <v/>
      </c>
      <c r="AX71" s="48" t="str">
        <f t="shared" si="111"/>
        <v/>
      </c>
      <c r="AY71" s="84" t="str">
        <f t="shared" si="112"/>
        <v/>
      </c>
      <c r="AZ71" s="82" t="str">
        <f t="shared" si="113"/>
        <v/>
      </c>
      <c r="BA71" s="48" t="str">
        <f t="shared" si="114"/>
        <v/>
      </c>
      <c r="BB71" s="48" t="str">
        <f t="shared" si="115"/>
        <v/>
      </c>
      <c r="BC71" s="84" t="str">
        <f t="shared" si="116"/>
        <v/>
      </c>
      <c r="BD71" s="82" t="str">
        <f t="shared" si="117"/>
        <v/>
      </c>
      <c r="BE71" s="48" t="str">
        <f t="shared" si="118"/>
        <v/>
      </c>
      <c r="BF71" s="48" t="str">
        <f t="shared" si="119"/>
        <v/>
      </c>
      <c r="BG71" s="84" t="str">
        <f t="shared" si="120"/>
        <v/>
      </c>
      <c r="BH71" s="87" t="str">
        <f t="shared" si="121"/>
        <v/>
      </c>
      <c r="BI71" s="49" t="str">
        <f t="shared" si="122"/>
        <v/>
      </c>
      <c r="BJ71" s="49" t="str">
        <f t="shared" si="123"/>
        <v/>
      </c>
      <c r="BK71" s="89" t="str">
        <f t="shared" si="124"/>
        <v/>
      </c>
      <c r="BL71" s="87" t="str">
        <f t="shared" si="125"/>
        <v/>
      </c>
      <c r="BM71" s="49" t="str">
        <f t="shared" si="126"/>
        <v/>
      </c>
      <c r="BN71" s="49" t="str">
        <f t="shared" si="127"/>
        <v/>
      </c>
      <c r="BO71" s="89" t="str">
        <f t="shared" si="128"/>
        <v/>
      </c>
      <c r="BP71" s="87" t="str">
        <f t="shared" si="129"/>
        <v/>
      </c>
      <c r="BQ71" s="49" t="str">
        <f t="shared" si="130"/>
        <v/>
      </c>
      <c r="BR71" s="49" t="str">
        <f t="shared" si="131"/>
        <v/>
      </c>
      <c r="BS71" s="89" t="str">
        <f t="shared" si="132"/>
        <v/>
      </c>
      <c r="BT71" s="87"/>
    </row>
    <row r="72" spans="2:72">
      <c r="B72" s="81">
        <f>Weekly!B64</f>
        <v>0</v>
      </c>
      <c r="C72" s="90">
        <f>Weekly!C64</f>
        <v>0</v>
      </c>
      <c r="D72" s="90">
        <f>Weekly!D65</f>
        <v>0</v>
      </c>
      <c r="E72" s="91" t="e">
        <f>VLOOKUP(B72,Team!$B$4:$E$183,4,FALSE)</f>
        <v>#N/A</v>
      </c>
      <c r="F72" s="92" t="str">
        <f>Weekly!Y64</f>
        <v/>
      </c>
      <c r="G72" s="92" t="str">
        <f>Weekly!Z64</f>
        <v/>
      </c>
      <c r="H72" s="48" t="str">
        <f t="shared" si="69"/>
        <v/>
      </c>
      <c r="I72" s="48" t="str">
        <f t="shared" si="70"/>
        <v/>
      </c>
      <c r="J72" s="48" t="str">
        <f t="shared" si="71"/>
        <v/>
      </c>
      <c r="K72" s="84" t="str">
        <f t="shared" si="72"/>
        <v/>
      </c>
      <c r="L72" s="82" t="str">
        <f t="shared" si="73"/>
        <v/>
      </c>
      <c r="M72" s="48" t="str">
        <f t="shared" si="74"/>
        <v/>
      </c>
      <c r="N72" s="48" t="str">
        <f t="shared" si="75"/>
        <v/>
      </c>
      <c r="O72" s="84" t="str">
        <f t="shared" si="76"/>
        <v/>
      </c>
      <c r="P72" s="82" t="str">
        <f t="shared" si="77"/>
        <v/>
      </c>
      <c r="Q72" s="48" t="str">
        <f t="shared" si="78"/>
        <v/>
      </c>
      <c r="R72" s="48" t="str">
        <f t="shared" si="79"/>
        <v/>
      </c>
      <c r="S72" s="84" t="str">
        <f t="shared" si="80"/>
        <v/>
      </c>
      <c r="T72" s="82" t="str">
        <f t="shared" si="81"/>
        <v/>
      </c>
      <c r="U72" s="48" t="str">
        <f t="shared" si="82"/>
        <v/>
      </c>
      <c r="V72" s="48" t="str">
        <f t="shared" si="83"/>
        <v/>
      </c>
      <c r="W72" s="84" t="str">
        <f t="shared" si="84"/>
        <v/>
      </c>
      <c r="X72" s="82" t="str">
        <f t="shared" si="85"/>
        <v/>
      </c>
      <c r="Y72" s="48" t="str">
        <f t="shared" si="86"/>
        <v/>
      </c>
      <c r="Z72" s="48" t="str">
        <f t="shared" si="87"/>
        <v/>
      </c>
      <c r="AA72" s="84" t="str">
        <f t="shared" si="88"/>
        <v/>
      </c>
      <c r="AB72" s="82" t="str">
        <f t="shared" si="89"/>
        <v/>
      </c>
      <c r="AC72" s="48" t="str">
        <f t="shared" si="90"/>
        <v/>
      </c>
      <c r="AD72" s="48" t="str">
        <f t="shared" si="91"/>
        <v/>
      </c>
      <c r="AE72" s="84" t="str">
        <f t="shared" si="92"/>
        <v/>
      </c>
      <c r="AF72" s="82" t="str">
        <f t="shared" si="93"/>
        <v/>
      </c>
      <c r="AG72" s="48" t="str">
        <f t="shared" si="94"/>
        <v/>
      </c>
      <c r="AH72" s="48" t="str">
        <f t="shared" si="95"/>
        <v/>
      </c>
      <c r="AI72" s="84" t="str">
        <f t="shared" si="96"/>
        <v/>
      </c>
      <c r="AJ72" s="82" t="str">
        <f t="shared" si="97"/>
        <v/>
      </c>
      <c r="AK72" s="48" t="str">
        <f t="shared" si="98"/>
        <v/>
      </c>
      <c r="AL72" s="48" t="str">
        <f t="shared" si="99"/>
        <v/>
      </c>
      <c r="AM72" s="84" t="str">
        <f t="shared" si="100"/>
        <v/>
      </c>
      <c r="AN72" s="82" t="str">
        <f t="shared" si="101"/>
        <v/>
      </c>
      <c r="AO72" s="48" t="str">
        <f t="shared" si="102"/>
        <v/>
      </c>
      <c r="AP72" s="48" t="str">
        <f t="shared" si="103"/>
        <v/>
      </c>
      <c r="AQ72" s="84" t="str">
        <f t="shared" si="104"/>
        <v/>
      </c>
      <c r="AR72" s="82" t="str">
        <f t="shared" si="105"/>
        <v/>
      </c>
      <c r="AS72" s="48" t="str">
        <f t="shared" si="106"/>
        <v/>
      </c>
      <c r="AT72" s="48" t="str">
        <f t="shared" si="107"/>
        <v/>
      </c>
      <c r="AU72" s="84" t="str">
        <f t="shared" si="108"/>
        <v/>
      </c>
      <c r="AV72" s="82" t="str">
        <f t="shared" si="109"/>
        <v/>
      </c>
      <c r="AW72" s="48" t="str">
        <f t="shared" si="110"/>
        <v/>
      </c>
      <c r="AX72" s="48" t="str">
        <f t="shared" si="111"/>
        <v/>
      </c>
      <c r="AY72" s="84" t="str">
        <f t="shared" si="112"/>
        <v/>
      </c>
      <c r="AZ72" s="82" t="str">
        <f t="shared" si="113"/>
        <v/>
      </c>
      <c r="BA72" s="48" t="str">
        <f t="shared" si="114"/>
        <v/>
      </c>
      <c r="BB72" s="48" t="str">
        <f t="shared" si="115"/>
        <v/>
      </c>
      <c r="BC72" s="84" t="str">
        <f t="shared" si="116"/>
        <v/>
      </c>
      <c r="BD72" s="82" t="str">
        <f t="shared" si="117"/>
        <v/>
      </c>
      <c r="BE72" s="48" t="str">
        <f t="shared" si="118"/>
        <v/>
      </c>
      <c r="BF72" s="48" t="str">
        <f t="shared" si="119"/>
        <v/>
      </c>
      <c r="BG72" s="84" t="str">
        <f t="shared" si="120"/>
        <v/>
      </c>
      <c r="BH72" s="87" t="str">
        <f t="shared" si="121"/>
        <v/>
      </c>
      <c r="BI72" s="49" t="str">
        <f t="shared" si="122"/>
        <v/>
      </c>
      <c r="BJ72" s="49" t="str">
        <f t="shared" si="123"/>
        <v/>
      </c>
      <c r="BK72" s="89" t="str">
        <f t="shared" si="124"/>
        <v/>
      </c>
      <c r="BL72" s="87" t="str">
        <f t="shared" si="125"/>
        <v/>
      </c>
      <c r="BM72" s="49" t="str">
        <f t="shared" si="126"/>
        <v/>
      </c>
      <c r="BN72" s="49" t="str">
        <f t="shared" si="127"/>
        <v/>
      </c>
      <c r="BO72" s="89" t="str">
        <f t="shared" si="128"/>
        <v/>
      </c>
      <c r="BP72" s="87" t="str">
        <f t="shared" si="129"/>
        <v/>
      </c>
      <c r="BQ72" s="49" t="str">
        <f t="shared" si="130"/>
        <v/>
      </c>
      <c r="BR72" s="49" t="str">
        <f t="shared" si="131"/>
        <v/>
      </c>
      <c r="BS72" s="89" t="str">
        <f t="shared" si="132"/>
        <v/>
      </c>
      <c r="BT72" s="87"/>
    </row>
    <row r="73" spans="2:72">
      <c r="B73" s="81">
        <f>Weekly!B65</f>
        <v>0</v>
      </c>
      <c r="C73" s="90">
        <f>Weekly!C65</f>
        <v>0</v>
      </c>
      <c r="D73" s="90">
        <f>Weekly!D66</f>
        <v>0</v>
      </c>
      <c r="E73" s="91" t="e">
        <f>VLOOKUP(B73,Team!$B$4:$E$183,4,FALSE)</f>
        <v>#N/A</v>
      </c>
      <c r="F73" s="92" t="str">
        <f>Weekly!Y65</f>
        <v/>
      </c>
      <c r="G73" s="92" t="str">
        <f>Weekly!Z65</f>
        <v/>
      </c>
      <c r="H73" s="48" t="str">
        <f t="shared" si="69"/>
        <v/>
      </c>
      <c r="I73" s="48" t="str">
        <f t="shared" si="70"/>
        <v/>
      </c>
      <c r="J73" s="48" t="str">
        <f t="shared" si="71"/>
        <v/>
      </c>
      <c r="K73" s="84" t="str">
        <f t="shared" si="72"/>
        <v/>
      </c>
      <c r="L73" s="82" t="str">
        <f t="shared" si="73"/>
        <v/>
      </c>
      <c r="M73" s="48" t="str">
        <f t="shared" si="74"/>
        <v/>
      </c>
      <c r="N73" s="48" t="str">
        <f t="shared" si="75"/>
        <v/>
      </c>
      <c r="O73" s="84" t="str">
        <f t="shared" si="76"/>
        <v/>
      </c>
      <c r="P73" s="82" t="str">
        <f t="shared" si="77"/>
        <v/>
      </c>
      <c r="Q73" s="48" t="str">
        <f t="shared" si="78"/>
        <v/>
      </c>
      <c r="R73" s="48" t="str">
        <f t="shared" si="79"/>
        <v/>
      </c>
      <c r="S73" s="84" t="str">
        <f t="shared" si="80"/>
        <v/>
      </c>
      <c r="T73" s="82" t="str">
        <f t="shared" si="81"/>
        <v/>
      </c>
      <c r="U73" s="48" t="str">
        <f t="shared" si="82"/>
        <v/>
      </c>
      <c r="V73" s="48" t="str">
        <f t="shared" si="83"/>
        <v/>
      </c>
      <c r="W73" s="84" t="str">
        <f t="shared" si="84"/>
        <v/>
      </c>
      <c r="X73" s="82" t="str">
        <f t="shared" si="85"/>
        <v/>
      </c>
      <c r="Y73" s="48" t="str">
        <f t="shared" si="86"/>
        <v/>
      </c>
      <c r="Z73" s="48" t="str">
        <f t="shared" si="87"/>
        <v/>
      </c>
      <c r="AA73" s="84" t="str">
        <f t="shared" si="88"/>
        <v/>
      </c>
      <c r="AB73" s="82" t="str">
        <f t="shared" si="89"/>
        <v/>
      </c>
      <c r="AC73" s="48" t="str">
        <f t="shared" si="90"/>
        <v/>
      </c>
      <c r="AD73" s="48" t="str">
        <f t="shared" si="91"/>
        <v/>
      </c>
      <c r="AE73" s="84" t="str">
        <f t="shared" si="92"/>
        <v/>
      </c>
      <c r="AF73" s="82" t="str">
        <f t="shared" si="93"/>
        <v/>
      </c>
      <c r="AG73" s="48" t="str">
        <f t="shared" si="94"/>
        <v/>
      </c>
      <c r="AH73" s="48" t="str">
        <f t="shared" si="95"/>
        <v/>
      </c>
      <c r="AI73" s="84" t="str">
        <f t="shared" si="96"/>
        <v/>
      </c>
      <c r="AJ73" s="82" t="str">
        <f t="shared" si="97"/>
        <v/>
      </c>
      <c r="AK73" s="48" t="str">
        <f t="shared" si="98"/>
        <v/>
      </c>
      <c r="AL73" s="48" t="str">
        <f t="shared" si="99"/>
        <v/>
      </c>
      <c r="AM73" s="84" t="str">
        <f t="shared" si="100"/>
        <v/>
      </c>
      <c r="AN73" s="82" t="str">
        <f t="shared" si="101"/>
        <v/>
      </c>
      <c r="AO73" s="48" t="str">
        <f t="shared" si="102"/>
        <v/>
      </c>
      <c r="AP73" s="48" t="str">
        <f t="shared" si="103"/>
        <v/>
      </c>
      <c r="AQ73" s="84" t="str">
        <f t="shared" si="104"/>
        <v/>
      </c>
      <c r="AR73" s="82" t="str">
        <f t="shared" si="105"/>
        <v/>
      </c>
      <c r="AS73" s="48" t="str">
        <f t="shared" si="106"/>
        <v/>
      </c>
      <c r="AT73" s="48" t="str">
        <f t="shared" si="107"/>
        <v/>
      </c>
      <c r="AU73" s="84" t="str">
        <f t="shared" si="108"/>
        <v/>
      </c>
      <c r="AV73" s="82" t="str">
        <f t="shared" si="109"/>
        <v/>
      </c>
      <c r="AW73" s="48" t="str">
        <f t="shared" si="110"/>
        <v/>
      </c>
      <c r="AX73" s="48" t="str">
        <f t="shared" si="111"/>
        <v/>
      </c>
      <c r="AY73" s="84" t="str">
        <f t="shared" si="112"/>
        <v/>
      </c>
      <c r="AZ73" s="82" t="str">
        <f t="shared" si="113"/>
        <v/>
      </c>
      <c r="BA73" s="48" t="str">
        <f t="shared" si="114"/>
        <v/>
      </c>
      <c r="BB73" s="48" t="str">
        <f t="shared" si="115"/>
        <v/>
      </c>
      <c r="BC73" s="84" t="str">
        <f t="shared" si="116"/>
        <v/>
      </c>
      <c r="BD73" s="82" t="str">
        <f t="shared" si="117"/>
        <v/>
      </c>
      <c r="BE73" s="48" t="str">
        <f t="shared" si="118"/>
        <v/>
      </c>
      <c r="BF73" s="48" t="str">
        <f t="shared" si="119"/>
        <v/>
      </c>
      <c r="BG73" s="84" t="str">
        <f t="shared" si="120"/>
        <v/>
      </c>
      <c r="BH73" s="87" t="str">
        <f t="shared" si="121"/>
        <v/>
      </c>
      <c r="BI73" s="49" t="str">
        <f t="shared" si="122"/>
        <v/>
      </c>
      <c r="BJ73" s="49" t="str">
        <f t="shared" si="123"/>
        <v/>
      </c>
      <c r="BK73" s="89" t="str">
        <f t="shared" si="124"/>
        <v/>
      </c>
      <c r="BL73" s="87" t="str">
        <f t="shared" si="125"/>
        <v/>
      </c>
      <c r="BM73" s="49" t="str">
        <f t="shared" si="126"/>
        <v/>
      </c>
      <c r="BN73" s="49" t="str">
        <f t="shared" si="127"/>
        <v/>
      </c>
      <c r="BO73" s="89" t="str">
        <f t="shared" si="128"/>
        <v/>
      </c>
      <c r="BP73" s="87" t="str">
        <f t="shared" si="129"/>
        <v/>
      </c>
      <c r="BQ73" s="49" t="str">
        <f t="shared" si="130"/>
        <v/>
      </c>
      <c r="BR73" s="49" t="str">
        <f t="shared" si="131"/>
        <v/>
      </c>
      <c r="BS73" s="89" t="str">
        <f t="shared" si="132"/>
        <v/>
      </c>
      <c r="BT73" s="87"/>
    </row>
    <row r="74" spans="2:72">
      <c r="B74" s="81">
        <f>Weekly!B66</f>
        <v>0</v>
      </c>
      <c r="C74" s="90">
        <f>Weekly!C66</f>
        <v>0</v>
      </c>
      <c r="D74" s="90">
        <f>Weekly!D67</f>
        <v>0</v>
      </c>
      <c r="E74" s="91" t="e">
        <f>VLOOKUP(B74,Team!$B$4:$E$183,4,FALSE)</f>
        <v>#N/A</v>
      </c>
      <c r="F74" s="92" t="str">
        <f>Weekly!Y66</f>
        <v/>
      </c>
      <c r="G74" s="92" t="str">
        <f>Weekly!Z66</f>
        <v/>
      </c>
      <c r="H74" s="48" t="str">
        <f t="shared" si="69"/>
        <v/>
      </c>
      <c r="I74" s="48" t="str">
        <f t="shared" si="70"/>
        <v/>
      </c>
      <c r="J74" s="48" t="str">
        <f t="shared" si="71"/>
        <v/>
      </c>
      <c r="K74" s="84" t="str">
        <f t="shared" si="72"/>
        <v/>
      </c>
      <c r="L74" s="82" t="str">
        <f t="shared" si="73"/>
        <v/>
      </c>
      <c r="M74" s="48" t="str">
        <f t="shared" si="74"/>
        <v/>
      </c>
      <c r="N74" s="48" t="str">
        <f t="shared" si="75"/>
        <v/>
      </c>
      <c r="O74" s="84" t="str">
        <f t="shared" si="76"/>
        <v/>
      </c>
      <c r="P74" s="82" t="str">
        <f t="shared" si="77"/>
        <v/>
      </c>
      <c r="Q74" s="48" t="str">
        <f t="shared" si="78"/>
        <v/>
      </c>
      <c r="R74" s="48" t="str">
        <f t="shared" si="79"/>
        <v/>
      </c>
      <c r="S74" s="84" t="str">
        <f t="shared" si="80"/>
        <v/>
      </c>
      <c r="T74" s="82" t="str">
        <f t="shared" si="81"/>
        <v/>
      </c>
      <c r="U74" s="48" t="str">
        <f t="shared" si="82"/>
        <v/>
      </c>
      <c r="V74" s="48" t="str">
        <f t="shared" si="83"/>
        <v/>
      </c>
      <c r="W74" s="84" t="str">
        <f t="shared" si="84"/>
        <v/>
      </c>
      <c r="X74" s="82" t="str">
        <f t="shared" si="85"/>
        <v/>
      </c>
      <c r="Y74" s="48" t="str">
        <f t="shared" si="86"/>
        <v/>
      </c>
      <c r="Z74" s="48" t="str">
        <f t="shared" si="87"/>
        <v/>
      </c>
      <c r="AA74" s="84" t="str">
        <f t="shared" si="88"/>
        <v/>
      </c>
      <c r="AB74" s="82" t="str">
        <f t="shared" si="89"/>
        <v/>
      </c>
      <c r="AC74" s="48" t="str">
        <f t="shared" si="90"/>
        <v/>
      </c>
      <c r="AD74" s="48" t="str">
        <f t="shared" si="91"/>
        <v/>
      </c>
      <c r="AE74" s="84" t="str">
        <f t="shared" si="92"/>
        <v/>
      </c>
      <c r="AF74" s="82" t="str">
        <f t="shared" si="93"/>
        <v/>
      </c>
      <c r="AG74" s="48" t="str">
        <f t="shared" si="94"/>
        <v/>
      </c>
      <c r="AH74" s="48" t="str">
        <f t="shared" si="95"/>
        <v/>
      </c>
      <c r="AI74" s="84" t="str">
        <f t="shared" si="96"/>
        <v/>
      </c>
      <c r="AJ74" s="82" t="str">
        <f t="shared" si="97"/>
        <v/>
      </c>
      <c r="AK74" s="48" t="str">
        <f t="shared" si="98"/>
        <v/>
      </c>
      <c r="AL74" s="48" t="str">
        <f t="shared" si="99"/>
        <v/>
      </c>
      <c r="AM74" s="84" t="str">
        <f t="shared" si="100"/>
        <v/>
      </c>
      <c r="AN74" s="82" t="str">
        <f t="shared" si="101"/>
        <v/>
      </c>
      <c r="AO74" s="48" t="str">
        <f t="shared" si="102"/>
        <v/>
      </c>
      <c r="AP74" s="48" t="str">
        <f t="shared" si="103"/>
        <v/>
      </c>
      <c r="AQ74" s="84" t="str">
        <f t="shared" si="104"/>
        <v/>
      </c>
      <c r="AR74" s="82" t="str">
        <f t="shared" si="105"/>
        <v/>
      </c>
      <c r="AS74" s="48" t="str">
        <f t="shared" si="106"/>
        <v/>
      </c>
      <c r="AT74" s="48" t="str">
        <f t="shared" si="107"/>
        <v/>
      </c>
      <c r="AU74" s="84" t="str">
        <f t="shared" si="108"/>
        <v/>
      </c>
      <c r="AV74" s="82" t="str">
        <f t="shared" si="109"/>
        <v/>
      </c>
      <c r="AW74" s="48" t="str">
        <f t="shared" si="110"/>
        <v/>
      </c>
      <c r="AX74" s="48" t="str">
        <f t="shared" si="111"/>
        <v/>
      </c>
      <c r="AY74" s="84" t="str">
        <f t="shared" si="112"/>
        <v/>
      </c>
      <c r="AZ74" s="82" t="str">
        <f t="shared" si="113"/>
        <v/>
      </c>
      <c r="BA74" s="48" t="str">
        <f t="shared" si="114"/>
        <v/>
      </c>
      <c r="BB74" s="48" t="str">
        <f t="shared" si="115"/>
        <v/>
      </c>
      <c r="BC74" s="84" t="str">
        <f t="shared" si="116"/>
        <v/>
      </c>
      <c r="BD74" s="82" t="str">
        <f t="shared" si="117"/>
        <v/>
      </c>
      <c r="BE74" s="48" t="str">
        <f t="shared" si="118"/>
        <v/>
      </c>
      <c r="BF74" s="48" t="str">
        <f t="shared" si="119"/>
        <v/>
      </c>
      <c r="BG74" s="84" t="str">
        <f t="shared" si="120"/>
        <v/>
      </c>
      <c r="BH74" s="87" t="str">
        <f t="shared" si="121"/>
        <v/>
      </c>
      <c r="BI74" s="49" t="str">
        <f t="shared" si="122"/>
        <v/>
      </c>
      <c r="BJ74" s="49" t="str">
        <f t="shared" si="123"/>
        <v/>
      </c>
      <c r="BK74" s="89" t="str">
        <f t="shared" si="124"/>
        <v/>
      </c>
      <c r="BL74" s="87" t="str">
        <f t="shared" si="125"/>
        <v/>
      </c>
      <c r="BM74" s="49" t="str">
        <f t="shared" si="126"/>
        <v/>
      </c>
      <c r="BN74" s="49" t="str">
        <f t="shared" si="127"/>
        <v/>
      </c>
      <c r="BO74" s="89" t="str">
        <f t="shared" si="128"/>
        <v/>
      </c>
      <c r="BP74" s="87" t="str">
        <f t="shared" si="129"/>
        <v/>
      </c>
      <c r="BQ74" s="49" t="str">
        <f t="shared" si="130"/>
        <v/>
      </c>
      <c r="BR74" s="49" t="str">
        <f t="shared" si="131"/>
        <v/>
      </c>
      <c r="BS74" s="89" t="str">
        <f t="shared" si="132"/>
        <v/>
      </c>
      <c r="BT74" s="87"/>
    </row>
    <row r="75" spans="2:72">
      <c r="B75" s="81">
        <f>Weekly!B67</f>
        <v>0</v>
      </c>
      <c r="C75" s="90">
        <f>Weekly!C67</f>
        <v>0</v>
      </c>
      <c r="D75" s="90">
        <f>Weekly!D68</f>
        <v>0</v>
      </c>
      <c r="E75" s="91" t="e">
        <f>VLOOKUP(B75,Team!$B$4:$E$183,4,FALSE)</f>
        <v>#N/A</v>
      </c>
      <c r="F75" s="92" t="str">
        <f>Weekly!Y67</f>
        <v/>
      </c>
      <c r="G75" s="92" t="str">
        <f>Weekly!Z67</f>
        <v/>
      </c>
      <c r="H75" s="48" t="str">
        <f t="shared" si="69"/>
        <v/>
      </c>
      <c r="I75" s="48" t="str">
        <f t="shared" si="70"/>
        <v/>
      </c>
      <c r="J75" s="48" t="str">
        <f t="shared" si="71"/>
        <v/>
      </c>
      <c r="K75" s="84" t="str">
        <f t="shared" si="72"/>
        <v/>
      </c>
      <c r="L75" s="82" t="str">
        <f t="shared" si="73"/>
        <v/>
      </c>
      <c r="M75" s="48" t="str">
        <f t="shared" si="74"/>
        <v/>
      </c>
      <c r="N75" s="48" t="str">
        <f t="shared" si="75"/>
        <v/>
      </c>
      <c r="O75" s="84" t="str">
        <f t="shared" si="76"/>
        <v/>
      </c>
      <c r="P75" s="82" t="str">
        <f t="shared" si="77"/>
        <v/>
      </c>
      <c r="Q75" s="48" t="str">
        <f t="shared" si="78"/>
        <v/>
      </c>
      <c r="R75" s="48" t="str">
        <f t="shared" si="79"/>
        <v/>
      </c>
      <c r="S75" s="84" t="str">
        <f t="shared" si="80"/>
        <v/>
      </c>
      <c r="T75" s="82" t="str">
        <f t="shared" si="81"/>
        <v/>
      </c>
      <c r="U75" s="48" t="str">
        <f t="shared" si="82"/>
        <v/>
      </c>
      <c r="V75" s="48" t="str">
        <f t="shared" si="83"/>
        <v/>
      </c>
      <c r="W75" s="84" t="str">
        <f t="shared" si="84"/>
        <v/>
      </c>
      <c r="X75" s="82" t="str">
        <f t="shared" si="85"/>
        <v/>
      </c>
      <c r="Y75" s="48" t="str">
        <f t="shared" si="86"/>
        <v/>
      </c>
      <c r="Z75" s="48" t="str">
        <f t="shared" si="87"/>
        <v/>
      </c>
      <c r="AA75" s="84" t="str">
        <f t="shared" si="88"/>
        <v/>
      </c>
      <c r="AB75" s="82" t="str">
        <f t="shared" si="89"/>
        <v/>
      </c>
      <c r="AC75" s="48" t="str">
        <f t="shared" si="90"/>
        <v/>
      </c>
      <c r="AD75" s="48" t="str">
        <f t="shared" si="91"/>
        <v/>
      </c>
      <c r="AE75" s="84" t="str">
        <f t="shared" si="92"/>
        <v/>
      </c>
      <c r="AF75" s="82" t="str">
        <f t="shared" si="93"/>
        <v/>
      </c>
      <c r="AG75" s="48" t="str">
        <f t="shared" si="94"/>
        <v/>
      </c>
      <c r="AH75" s="48" t="str">
        <f t="shared" si="95"/>
        <v/>
      </c>
      <c r="AI75" s="84" t="str">
        <f t="shared" si="96"/>
        <v/>
      </c>
      <c r="AJ75" s="82" t="str">
        <f t="shared" si="97"/>
        <v/>
      </c>
      <c r="AK75" s="48" t="str">
        <f t="shared" si="98"/>
        <v/>
      </c>
      <c r="AL75" s="48" t="str">
        <f t="shared" si="99"/>
        <v/>
      </c>
      <c r="AM75" s="84" t="str">
        <f t="shared" si="100"/>
        <v/>
      </c>
      <c r="AN75" s="82" t="str">
        <f t="shared" si="101"/>
        <v/>
      </c>
      <c r="AO75" s="48" t="str">
        <f t="shared" si="102"/>
        <v/>
      </c>
      <c r="AP75" s="48" t="str">
        <f t="shared" si="103"/>
        <v/>
      </c>
      <c r="AQ75" s="84" t="str">
        <f t="shared" si="104"/>
        <v/>
      </c>
      <c r="AR75" s="82" t="str">
        <f t="shared" si="105"/>
        <v/>
      </c>
      <c r="AS75" s="48" t="str">
        <f t="shared" si="106"/>
        <v/>
      </c>
      <c r="AT75" s="48" t="str">
        <f t="shared" si="107"/>
        <v/>
      </c>
      <c r="AU75" s="84" t="str">
        <f t="shared" si="108"/>
        <v/>
      </c>
      <c r="AV75" s="82" t="str">
        <f t="shared" si="109"/>
        <v/>
      </c>
      <c r="AW75" s="48" t="str">
        <f t="shared" si="110"/>
        <v/>
      </c>
      <c r="AX75" s="48" t="str">
        <f t="shared" si="111"/>
        <v/>
      </c>
      <c r="AY75" s="84" t="str">
        <f t="shared" si="112"/>
        <v/>
      </c>
      <c r="AZ75" s="82" t="str">
        <f t="shared" si="113"/>
        <v/>
      </c>
      <c r="BA75" s="48" t="str">
        <f t="shared" si="114"/>
        <v/>
      </c>
      <c r="BB75" s="48" t="str">
        <f t="shared" si="115"/>
        <v/>
      </c>
      <c r="BC75" s="84" t="str">
        <f t="shared" si="116"/>
        <v/>
      </c>
      <c r="BD75" s="82" t="str">
        <f t="shared" si="117"/>
        <v/>
      </c>
      <c r="BE75" s="48" t="str">
        <f t="shared" si="118"/>
        <v/>
      </c>
      <c r="BF75" s="48" t="str">
        <f t="shared" si="119"/>
        <v/>
      </c>
      <c r="BG75" s="84" t="str">
        <f t="shared" si="120"/>
        <v/>
      </c>
      <c r="BH75" s="87" t="str">
        <f t="shared" si="121"/>
        <v/>
      </c>
      <c r="BI75" s="49" t="str">
        <f t="shared" si="122"/>
        <v/>
      </c>
      <c r="BJ75" s="49" t="str">
        <f t="shared" si="123"/>
        <v/>
      </c>
      <c r="BK75" s="89" t="str">
        <f t="shared" si="124"/>
        <v/>
      </c>
      <c r="BL75" s="87" t="str">
        <f t="shared" si="125"/>
        <v/>
      </c>
      <c r="BM75" s="49" t="str">
        <f t="shared" si="126"/>
        <v/>
      </c>
      <c r="BN75" s="49" t="str">
        <f t="shared" si="127"/>
        <v/>
      </c>
      <c r="BO75" s="89" t="str">
        <f t="shared" si="128"/>
        <v/>
      </c>
      <c r="BP75" s="87" t="str">
        <f t="shared" si="129"/>
        <v/>
      </c>
      <c r="BQ75" s="49" t="str">
        <f t="shared" si="130"/>
        <v/>
      </c>
      <c r="BR75" s="49" t="str">
        <f t="shared" si="131"/>
        <v/>
      </c>
      <c r="BS75" s="89" t="str">
        <f t="shared" si="132"/>
        <v/>
      </c>
      <c r="BT75" s="87"/>
    </row>
    <row r="76" spans="2:72">
      <c r="B76" s="81">
        <f>Weekly!B68</f>
        <v>0</v>
      </c>
      <c r="C76" s="90">
        <f>Weekly!C68</f>
        <v>0</v>
      </c>
      <c r="D76" s="90">
        <f>Weekly!D69</f>
        <v>0</v>
      </c>
      <c r="E76" s="91" t="e">
        <f>VLOOKUP(B76,Team!$B$4:$E$183,4,FALSE)</f>
        <v>#N/A</v>
      </c>
      <c r="F76" s="92" t="str">
        <f>Weekly!Y68</f>
        <v/>
      </c>
      <c r="G76" s="92" t="str">
        <f>Weekly!Z68</f>
        <v/>
      </c>
      <c r="H76" s="48" t="str">
        <f t="shared" si="69"/>
        <v/>
      </c>
      <c r="I76" s="48" t="str">
        <f t="shared" si="70"/>
        <v/>
      </c>
      <c r="J76" s="48" t="str">
        <f t="shared" si="71"/>
        <v/>
      </c>
      <c r="K76" s="84" t="str">
        <f t="shared" si="72"/>
        <v/>
      </c>
      <c r="L76" s="82" t="str">
        <f t="shared" si="73"/>
        <v/>
      </c>
      <c r="M76" s="48" t="str">
        <f t="shared" si="74"/>
        <v/>
      </c>
      <c r="N76" s="48" t="str">
        <f t="shared" si="75"/>
        <v/>
      </c>
      <c r="O76" s="84" t="str">
        <f t="shared" si="76"/>
        <v/>
      </c>
      <c r="P76" s="82" t="str">
        <f t="shared" si="77"/>
        <v/>
      </c>
      <c r="Q76" s="48" t="str">
        <f t="shared" si="78"/>
        <v/>
      </c>
      <c r="R76" s="48" t="str">
        <f t="shared" si="79"/>
        <v/>
      </c>
      <c r="S76" s="84" t="str">
        <f t="shared" si="80"/>
        <v/>
      </c>
      <c r="T76" s="82" t="str">
        <f t="shared" si="81"/>
        <v/>
      </c>
      <c r="U76" s="48" t="str">
        <f t="shared" si="82"/>
        <v/>
      </c>
      <c r="V76" s="48" t="str">
        <f t="shared" si="83"/>
        <v/>
      </c>
      <c r="W76" s="84" t="str">
        <f t="shared" si="84"/>
        <v/>
      </c>
      <c r="X76" s="82" t="str">
        <f t="shared" si="85"/>
        <v/>
      </c>
      <c r="Y76" s="48" t="str">
        <f t="shared" si="86"/>
        <v/>
      </c>
      <c r="Z76" s="48" t="str">
        <f t="shared" si="87"/>
        <v/>
      </c>
      <c r="AA76" s="84" t="str">
        <f t="shared" si="88"/>
        <v/>
      </c>
      <c r="AB76" s="82" t="str">
        <f t="shared" si="89"/>
        <v/>
      </c>
      <c r="AC76" s="48" t="str">
        <f t="shared" si="90"/>
        <v/>
      </c>
      <c r="AD76" s="48" t="str">
        <f t="shared" si="91"/>
        <v/>
      </c>
      <c r="AE76" s="84" t="str">
        <f t="shared" si="92"/>
        <v/>
      </c>
      <c r="AF76" s="82" t="str">
        <f t="shared" si="93"/>
        <v/>
      </c>
      <c r="AG76" s="48" t="str">
        <f t="shared" si="94"/>
        <v/>
      </c>
      <c r="AH76" s="48" t="str">
        <f t="shared" si="95"/>
        <v/>
      </c>
      <c r="AI76" s="84" t="str">
        <f t="shared" si="96"/>
        <v/>
      </c>
      <c r="AJ76" s="82" t="str">
        <f t="shared" si="97"/>
        <v/>
      </c>
      <c r="AK76" s="48" t="str">
        <f t="shared" si="98"/>
        <v/>
      </c>
      <c r="AL76" s="48" t="str">
        <f t="shared" si="99"/>
        <v/>
      </c>
      <c r="AM76" s="84" t="str">
        <f t="shared" si="100"/>
        <v/>
      </c>
      <c r="AN76" s="82" t="str">
        <f t="shared" si="101"/>
        <v/>
      </c>
      <c r="AO76" s="48" t="str">
        <f t="shared" si="102"/>
        <v/>
      </c>
      <c r="AP76" s="48" t="str">
        <f t="shared" si="103"/>
        <v/>
      </c>
      <c r="AQ76" s="84" t="str">
        <f t="shared" si="104"/>
        <v/>
      </c>
      <c r="AR76" s="82" t="str">
        <f t="shared" si="105"/>
        <v/>
      </c>
      <c r="AS76" s="48" t="str">
        <f t="shared" si="106"/>
        <v/>
      </c>
      <c r="AT76" s="48" t="str">
        <f t="shared" si="107"/>
        <v/>
      </c>
      <c r="AU76" s="84" t="str">
        <f t="shared" si="108"/>
        <v/>
      </c>
      <c r="AV76" s="82" t="str">
        <f t="shared" si="109"/>
        <v/>
      </c>
      <c r="AW76" s="48" t="str">
        <f t="shared" si="110"/>
        <v/>
      </c>
      <c r="AX76" s="48" t="str">
        <f t="shared" si="111"/>
        <v/>
      </c>
      <c r="AY76" s="84" t="str">
        <f t="shared" si="112"/>
        <v/>
      </c>
      <c r="AZ76" s="82" t="str">
        <f t="shared" si="113"/>
        <v/>
      </c>
      <c r="BA76" s="48" t="str">
        <f t="shared" si="114"/>
        <v/>
      </c>
      <c r="BB76" s="48" t="str">
        <f t="shared" si="115"/>
        <v/>
      </c>
      <c r="BC76" s="84" t="str">
        <f t="shared" si="116"/>
        <v/>
      </c>
      <c r="BD76" s="82" t="str">
        <f t="shared" si="117"/>
        <v/>
      </c>
      <c r="BE76" s="48" t="str">
        <f t="shared" si="118"/>
        <v/>
      </c>
      <c r="BF76" s="48" t="str">
        <f t="shared" si="119"/>
        <v/>
      </c>
      <c r="BG76" s="84" t="str">
        <f t="shared" si="120"/>
        <v/>
      </c>
      <c r="BH76" s="87" t="str">
        <f t="shared" si="121"/>
        <v/>
      </c>
      <c r="BI76" s="49" t="str">
        <f t="shared" si="122"/>
        <v/>
      </c>
      <c r="BJ76" s="49" t="str">
        <f t="shared" si="123"/>
        <v/>
      </c>
      <c r="BK76" s="89" t="str">
        <f t="shared" si="124"/>
        <v/>
      </c>
      <c r="BL76" s="87" t="str">
        <f t="shared" si="125"/>
        <v/>
      </c>
      <c r="BM76" s="49" t="str">
        <f t="shared" si="126"/>
        <v/>
      </c>
      <c r="BN76" s="49" t="str">
        <f t="shared" si="127"/>
        <v/>
      </c>
      <c r="BO76" s="89" t="str">
        <f t="shared" si="128"/>
        <v/>
      </c>
      <c r="BP76" s="87" t="str">
        <f t="shared" si="129"/>
        <v/>
      </c>
      <c r="BQ76" s="49" t="str">
        <f t="shared" si="130"/>
        <v/>
      </c>
      <c r="BR76" s="49" t="str">
        <f t="shared" si="131"/>
        <v/>
      </c>
      <c r="BS76" s="89" t="str">
        <f t="shared" si="132"/>
        <v/>
      </c>
      <c r="BT76" s="87"/>
    </row>
    <row r="77" spans="2:72">
      <c r="B77" s="81">
        <f>Weekly!B69</f>
        <v>0</v>
      </c>
      <c r="C77" s="90">
        <f>Weekly!C69</f>
        <v>0</v>
      </c>
      <c r="D77" s="90">
        <f>Weekly!D70</f>
        <v>0</v>
      </c>
      <c r="E77" s="91" t="e">
        <f>VLOOKUP(B77,Team!$B$4:$E$183,4,FALSE)</f>
        <v>#N/A</v>
      </c>
      <c r="F77" s="92" t="str">
        <f>Weekly!Y69</f>
        <v/>
      </c>
      <c r="G77" s="92" t="str">
        <f>Weekly!Z69</f>
        <v/>
      </c>
      <c r="H77" s="48" t="str">
        <f t="shared" si="69"/>
        <v/>
      </c>
      <c r="I77" s="48" t="str">
        <f t="shared" si="70"/>
        <v/>
      </c>
      <c r="J77" s="48" t="str">
        <f t="shared" si="71"/>
        <v/>
      </c>
      <c r="K77" s="84" t="str">
        <f t="shared" si="72"/>
        <v/>
      </c>
      <c r="L77" s="82" t="str">
        <f t="shared" si="73"/>
        <v/>
      </c>
      <c r="M77" s="48" t="str">
        <f t="shared" si="74"/>
        <v/>
      </c>
      <c r="N77" s="48" t="str">
        <f t="shared" si="75"/>
        <v/>
      </c>
      <c r="O77" s="84" t="str">
        <f t="shared" si="76"/>
        <v/>
      </c>
      <c r="P77" s="82" t="str">
        <f t="shared" si="77"/>
        <v/>
      </c>
      <c r="Q77" s="48" t="str">
        <f t="shared" si="78"/>
        <v/>
      </c>
      <c r="R77" s="48" t="str">
        <f t="shared" si="79"/>
        <v/>
      </c>
      <c r="S77" s="84" t="str">
        <f t="shared" si="80"/>
        <v/>
      </c>
      <c r="T77" s="82" t="str">
        <f t="shared" si="81"/>
        <v/>
      </c>
      <c r="U77" s="48" t="str">
        <f t="shared" si="82"/>
        <v/>
      </c>
      <c r="V77" s="48" t="str">
        <f t="shared" si="83"/>
        <v/>
      </c>
      <c r="W77" s="84" t="str">
        <f t="shared" si="84"/>
        <v/>
      </c>
      <c r="X77" s="82" t="str">
        <f t="shared" si="85"/>
        <v/>
      </c>
      <c r="Y77" s="48" t="str">
        <f t="shared" si="86"/>
        <v/>
      </c>
      <c r="Z77" s="48" t="str">
        <f t="shared" si="87"/>
        <v/>
      </c>
      <c r="AA77" s="84" t="str">
        <f t="shared" si="88"/>
        <v/>
      </c>
      <c r="AB77" s="82" t="str">
        <f t="shared" si="89"/>
        <v/>
      </c>
      <c r="AC77" s="48" t="str">
        <f t="shared" si="90"/>
        <v/>
      </c>
      <c r="AD77" s="48" t="str">
        <f t="shared" si="91"/>
        <v/>
      </c>
      <c r="AE77" s="84" t="str">
        <f t="shared" si="92"/>
        <v/>
      </c>
      <c r="AF77" s="82" t="str">
        <f t="shared" si="93"/>
        <v/>
      </c>
      <c r="AG77" s="48" t="str">
        <f t="shared" si="94"/>
        <v/>
      </c>
      <c r="AH77" s="48" t="str">
        <f t="shared" si="95"/>
        <v/>
      </c>
      <c r="AI77" s="84" t="str">
        <f t="shared" si="96"/>
        <v/>
      </c>
      <c r="AJ77" s="82" t="str">
        <f t="shared" si="97"/>
        <v/>
      </c>
      <c r="AK77" s="48" t="str">
        <f t="shared" si="98"/>
        <v/>
      </c>
      <c r="AL77" s="48" t="str">
        <f t="shared" si="99"/>
        <v/>
      </c>
      <c r="AM77" s="84" t="str">
        <f t="shared" si="100"/>
        <v/>
      </c>
      <c r="AN77" s="82" t="str">
        <f t="shared" si="101"/>
        <v/>
      </c>
      <c r="AO77" s="48" t="str">
        <f t="shared" si="102"/>
        <v/>
      </c>
      <c r="AP77" s="48" t="str">
        <f t="shared" si="103"/>
        <v/>
      </c>
      <c r="AQ77" s="84" t="str">
        <f t="shared" si="104"/>
        <v/>
      </c>
      <c r="AR77" s="82" t="str">
        <f t="shared" si="105"/>
        <v/>
      </c>
      <c r="AS77" s="48" t="str">
        <f t="shared" si="106"/>
        <v/>
      </c>
      <c r="AT77" s="48" t="str">
        <f t="shared" si="107"/>
        <v/>
      </c>
      <c r="AU77" s="84" t="str">
        <f t="shared" si="108"/>
        <v/>
      </c>
      <c r="AV77" s="82" t="str">
        <f t="shared" si="109"/>
        <v/>
      </c>
      <c r="AW77" s="48" t="str">
        <f t="shared" si="110"/>
        <v/>
      </c>
      <c r="AX77" s="48" t="str">
        <f t="shared" si="111"/>
        <v/>
      </c>
      <c r="AY77" s="84" t="str">
        <f t="shared" si="112"/>
        <v/>
      </c>
      <c r="AZ77" s="82" t="str">
        <f t="shared" si="113"/>
        <v/>
      </c>
      <c r="BA77" s="48" t="str">
        <f t="shared" si="114"/>
        <v/>
      </c>
      <c r="BB77" s="48" t="str">
        <f t="shared" si="115"/>
        <v/>
      </c>
      <c r="BC77" s="84" t="str">
        <f t="shared" si="116"/>
        <v/>
      </c>
      <c r="BD77" s="82" t="str">
        <f t="shared" si="117"/>
        <v/>
      </c>
      <c r="BE77" s="48" t="str">
        <f t="shared" si="118"/>
        <v/>
      </c>
      <c r="BF77" s="48" t="str">
        <f t="shared" si="119"/>
        <v/>
      </c>
      <c r="BG77" s="84" t="str">
        <f t="shared" si="120"/>
        <v/>
      </c>
      <c r="BH77" s="87" t="str">
        <f t="shared" si="121"/>
        <v/>
      </c>
      <c r="BI77" s="49" t="str">
        <f t="shared" si="122"/>
        <v/>
      </c>
      <c r="BJ77" s="49" t="str">
        <f t="shared" si="123"/>
        <v/>
      </c>
      <c r="BK77" s="89" t="str">
        <f t="shared" si="124"/>
        <v/>
      </c>
      <c r="BL77" s="87" t="str">
        <f t="shared" si="125"/>
        <v/>
      </c>
      <c r="BM77" s="49" t="str">
        <f t="shared" si="126"/>
        <v/>
      </c>
      <c r="BN77" s="49" t="str">
        <f t="shared" si="127"/>
        <v/>
      </c>
      <c r="BO77" s="89" t="str">
        <f t="shared" si="128"/>
        <v/>
      </c>
      <c r="BP77" s="87" t="str">
        <f t="shared" si="129"/>
        <v/>
      </c>
      <c r="BQ77" s="49" t="str">
        <f t="shared" si="130"/>
        <v/>
      </c>
      <c r="BR77" s="49" t="str">
        <f t="shared" si="131"/>
        <v/>
      </c>
      <c r="BS77" s="89" t="str">
        <f t="shared" si="132"/>
        <v/>
      </c>
      <c r="BT77" s="87"/>
    </row>
    <row r="78" spans="2:72">
      <c r="B78" s="81">
        <f>Weekly!B70</f>
        <v>0</v>
      </c>
      <c r="C78" s="90">
        <f>Weekly!C70</f>
        <v>0</v>
      </c>
      <c r="D78" s="90">
        <f>Weekly!D71</f>
        <v>0</v>
      </c>
      <c r="E78" s="91" t="e">
        <f>VLOOKUP(B78,Team!$B$4:$E$183,4,FALSE)</f>
        <v>#N/A</v>
      </c>
      <c r="F78" s="92" t="str">
        <f>Weekly!Y70</f>
        <v/>
      </c>
      <c r="G78" s="92" t="str">
        <f>Weekly!Z70</f>
        <v/>
      </c>
      <c r="H78" s="48" t="str">
        <f t="shared" si="69"/>
        <v/>
      </c>
      <c r="I78" s="48" t="str">
        <f t="shared" si="70"/>
        <v/>
      </c>
      <c r="J78" s="48" t="str">
        <f t="shared" si="71"/>
        <v/>
      </c>
      <c r="K78" s="84" t="str">
        <f t="shared" si="72"/>
        <v/>
      </c>
      <c r="L78" s="82" t="str">
        <f t="shared" si="73"/>
        <v/>
      </c>
      <c r="M78" s="48" t="str">
        <f t="shared" si="74"/>
        <v/>
      </c>
      <c r="N78" s="48" t="str">
        <f t="shared" si="75"/>
        <v/>
      </c>
      <c r="O78" s="84" t="str">
        <f t="shared" si="76"/>
        <v/>
      </c>
      <c r="P78" s="82" t="str">
        <f t="shared" si="77"/>
        <v/>
      </c>
      <c r="Q78" s="48" t="str">
        <f t="shared" si="78"/>
        <v/>
      </c>
      <c r="R78" s="48" t="str">
        <f t="shared" si="79"/>
        <v/>
      </c>
      <c r="S78" s="84" t="str">
        <f t="shared" si="80"/>
        <v/>
      </c>
      <c r="T78" s="82" t="str">
        <f t="shared" si="81"/>
        <v/>
      </c>
      <c r="U78" s="48" t="str">
        <f t="shared" si="82"/>
        <v/>
      </c>
      <c r="V78" s="48" t="str">
        <f t="shared" si="83"/>
        <v/>
      </c>
      <c r="W78" s="84" t="str">
        <f t="shared" si="84"/>
        <v/>
      </c>
      <c r="X78" s="82" t="str">
        <f t="shared" si="85"/>
        <v/>
      </c>
      <c r="Y78" s="48" t="str">
        <f t="shared" si="86"/>
        <v/>
      </c>
      <c r="Z78" s="48" t="str">
        <f t="shared" si="87"/>
        <v/>
      </c>
      <c r="AA78" s="84" t="str">
        <f t="shared" si="88"/>
        <v/>
      </c>
      <c r="AB78" s="82" t="str">
        <f t="shared" si="89"/>
        <v/>
      </c>
      <c r="AC78" s="48" t="str">
        <f t="shared" si="90"/>
        <v/>
      </c>
      <c r="AD78" s="48" t="str">
        <f t="shared" si="91"/>
        <v/>
      </c>
      <c r="AE78" s="84" t="str">
        <f t="shared" si="92"/>
        <v/>
      </c>
      <c r="AF78" s="82" t="str">
        <f t="shared" si="93"/>
        <v/>
      </c>
      <c r="AG78" s="48" t="str">
        <f t="shared" si="94"/>
        <v/>
      </c>
      <c r="AH78" s="48" t="str">
        <f t="shared" si="95"/>
        <v/>
      </c>
      <c r="AI78" s="84" t="str">
        <f t="shared" si="96"/>
        <v/>
      </c>
      <c r="AJ78" s="82" t="str">
        <f t="shared" si="97"/>
        <v/>
      </c>
      <c r="AK78" s="48" t="str">
        <f t="shared" si="98"/>
        <v/>
      </c>
      <c r="AL78" s="48" t="str">
        <f t="shared" si="99"/>
        <v/>
      </c>
      <c r="AM78" s="84" t="str">
        <f t="shared" si="100"/>
        <v/>
      </c>
      <c r="AN78" s="82" t="str">
        <f t="shared" si="101"/>
        <v/>
      </c>
      <c r="AO78" s="48" t="str">
        <f t="shared" si="102"/>
        <v/>
      </c>
      <c r="AP78" s="48" t="str">
        <f t="shared" si="103"/>
        <v/>
      </c>
      <c r="AQ78" s="84" t="str">
        <f t="shared" si="104"/>
        <v/>
      </c>
      <c r="AR78" s="82" t="str">
        <f t="shared" si="105"/>
        <v/>
      </c>
      <c r="AS78" s="48" t="str">
        <f t="shared" si="106"/>
        <v/>
      </c>
      <c r="AT78" s="48" t="str">
        <f t="shared" si="107"/>
        <v/>
      </c>
      <c r="AU78" s="84" t="str">
        <f t="shared" si="108"/>
        <v/>
      </c>
      <c r="AV78" s="82" t="str">
        <f t="shared" si="109"/>
        <v/>
      </c>
      <c r="AW78" s="48" t="str">
        <f t="shared" si="110"/>
        <v/>
      </c>
      <c r="AX78" s="48" t="str">
        <f t="shared" si="111"/>
        <v/>
      </c>
      <c r="AY78" s="84" t="str">
        <f t="shared" si="112"/>
        <v/>
      </c>
      <c r="AZ78" s="82" t="str">
        <f t="shared" si="113"/>
        <v/>
      </c>
      <c r="BA78" s="48" t="str">
        <f t="shared" si="114"/>
        <v/>
      </c>
      <c r="BB78" s="48" t="str">
        <f t="shared" si="115"/>
        <v/>
      </c>
      <c r="BC78" s="84" t="str">
        <f t="shared" si="116"/>
        <v/>
      </c>
      <c r="BD78" s="82" t="str">
        <f t="shared" si="117"/>
        <v/>
      </c>
      <c r="BE78" s="48" t="str">
        <f t="shared" si="118"/>
        <v/>
      </c>
      <c r="BF78" s="48" t="str">
        <f t="shared" si="119"/>
        <v/>
      </c>
      <c r="BG78" s="84" t="str">
        <f t="shared" si="120"/>
        <v/>
      </c>
      <c r="BH78" s="87" t="str">
        <f t="shared" si="121"/>
        <v/>
      </c>
      <c r="BI78" s="49" t="str">
        <f t="shared" si="122"/>
        <v/>
      </c>
      <c r="BJ78" s="49" t="str">
        <f t="shared" si="123"/>
        <v/>
      </c>
      <c r="BK78" s="89" t="str">
        <f t="shared" si="124"/>
        <v/>
      </c>
      <c r="BL78" s="87" t="str">
        <f t="shared" si="125"/>
        <v/>
      </c>
      <c r="BM78" s="49" t="str">
        <f t="shared" si="126"/>
        <v/>
      </c>
      <c r="BN78" s="49" t="str">
        <f t="shared" si="127"/>
        <v/>
      </c>
      <c r="BO78" s="89" t="str">
        <f t="shared" si="128"/>
        <v/>
      </c>
      <c r="BP78" s="87" t="str">
        <f t="shared" si="129"/>
        <v/>
      </c>
      <c r="BQ78" s="49" t="str">
        <f t="shared" si="130"/>
        <v/>
      </c>
      <c r="BR78" s="49" t="str">
        <f t="shared" si="131"/>
        <v/>
      </c>
      <c r="BS78" s="89" t="str">
        <f t="shared" si="132"/>
        <v/>
      </c>
      <c r="BT78" s="87"/>
    </row>
    <row r="79" spans="2:72">
      <c r="B79" s="81">
        <f>Weekly!B71</f>
        <v>0</v>
      </c>
      <c r="C79" s="90">
        <f>Weekly!C71</f>
        <v>0</v>
      </c>
      <c r="D79" s="90">
        <f>Weekly!D72</f>
        <v>0</v>
      </c>
      <c r="E79" s="91" t="e">
        <f>VLOOKUP(B79,Team!$B$4:$E$183,4,FALSE)</f>
        <v>#N/A</v>
      </c>
      <c r="F79" s="92" t="str">
        <f>Weekly!Y71</f>
        <v/>
      </c>
      <c r="G79" s="92" t="str">
        <f>Weekly!Z71</f>
        <v/>
      </c>
      <c r="H79" s="48" t="str">
        <f t="shared" si="69"/>
        <v/>
      </c>
      <c r="I79" s="48" t="str">
        <f t="shared" si="70"/>
        <v/>
      </c>
      <c r="J79" s="48" t="str">
        <f t="shared" si="71"/>
        <v/>
      </c>
      <c r="K79" s="84" t="str">
        <f t="shared" si="72"/>
        <v/>
      </c>
      <c r="L79" s="82" t="str">
        <f t="shared" si="73"/>
        <v/>
      </c>
      <c r="M79" s="48" t="str">
        <f t="shared" si="74"/>
        <v/>
      </c>
      <c r="N79" s="48" t="str">
        <f t="shared" si="75"/>
        <v/>
      </c>
      <c r="O79" s="84" t="str">
        <f t="shared" si="76"/>
        <v/>
      </c>
      <c r="P79" s="82" t="str">
        <f t="shared" si="77"/>
        <v/>
      </c>
      <c r="Q79" s="48" t="str">
        <f t="shared" si="78"/>
        <v/>
      </c>
      <c r="R79" s="48" t="str">
        <f t="shared" si="79"/>
        <v/>
      </c>
      <c r="S79" s="84" t="str">
        <f t="shared" si="80"/>
        <v/>
      </c>
      <c r="T79" s="82" t="str">
        <f t="shared" si="81"/>
        <v/>
      </c>
      <c r="U79" s="48" t="str">
        <f t="shared" si="82"/>
        <v/>
      </c>
      <c r="V79" s="48" t="str">
        <f t="shared" si="83"/>
        <v/>
      </c>
      <c r="W79" s="84" t="str">
        <f t="shared" si="84"/>
        <v/>
      </c>
      <c r="X79" s="82" t="str">
        <f t="shared" si="85"/>
        <v/>
      </c>
      <c r="Y79" s="48" t="str">
        <f t="shared" si="86"/>
        <v/>
      </c>
      <c r="Z79" s="48" t="str">
        <f t="shared" si="87"/>
        <v/>
      </c>
      <c r="AA79" s="84" t="str">
        <f t="shared" si="88"/>
        <v/>
      </c>
      <c r="AB79" s="82" t="str">
        <f t="shared" si="89"/>
        <v/>
      </c>
      <c r="AC79" s="48" t="str">
        <f t="shared" si="90"/>
        <v/>
      </c>
      <c r="AD79" s="48" t="str">
        <f t="shared" si="91"/>
        <v/>
      </c>
      <c r="AE79" s="84" t="str">
        <f t="shared" si="92"/>
        <v/>
      </c>
      <c r="AF79" s="82" t="str">
        <f t="shared" si="93"/>
        <v/>
      </c>
      <c r="AG79" s="48" t="str">
        <f t="shared" si="94"/>
        <v/>
      </c>
      <c r="AH79" s="48" t="str">
        <f t="shared" si="95"/>
        <v/>
      </c>
      <c r="AI79" s="84" t="str">
        <f t="shared" si="96"/>
        <v/>
      </c>
      <c r="AJ79" s="82" t="str">
        <f t="shared" si="97"/>
        <v/>
      </c>
      <c r="AK79" s="48" t="str">
        <f t="shared" si="98"/>
        <v/>
      </c>
      <c r="AL79" s="48" t="str">
        <f t="shared" si="99"/>
        <v/>
      </c>
      <c r="AM79" s="84" t="str">
        <f t="shared" si="100"/>
        <v/>
      </c>
      <c r="AN79" s="82" t="str">
        <f t="shared" si="101"/>
        <v/>
      </c>
      <c r="AO79" s="48" t="str">
        <f t="shared" si="102"/>
        <v/>
      </c>
      <c r="AP79" s="48" t="str">
        <f t="shared" si="103"/>
        <v/>
      </c>
      <c r="AQ79" s="84" t="str">
        <f t="shared" si="104"/>
        <v/>
      </c>
      <c r="AR79" s="82" t="str">
        <f t="shared" si="105"/>
        <v/>
      </c>
      <c r="AS79" s="48" t="str">
        <f t="shared" si="106"/>
        <v/>
      </c>
      <c r="AT79" s="48" t="str">
        <f t="shared" si="107"/>
        <v/>
      </c>
      <c r="AU79" s="84" t="str">
        <f t="shared" si="108"/>
        <v/>
      </c>
      <c r="AV79" s="82" t="str">
        <f t="shared" si="109"/>
        <v/>
      </c>
      <c r="AW79" s="48" t="str">
        <f t="shared" si="110"/>
        <v/>
      </c>
      <c r="AX79" s="48" t="str">
        <f t="shared" si="111"/>
        <v/>
      </c>
      <c r="AY79" s="84" t="str">
        <f t="shared" si="112"/>
        <v/>
      </c>
      <c r="AZ79" s="82" t="str">
        <f t="shared" si="113"/>
        <v/>
      </c>
      <c r="BA79" s="48" t="str">
        <f t="shared" si="114"/>
        <v/>
      </c>
      <c r="BB79" s="48" t="str">
        <f t="shared" si="115"/>
        <v/>
      </c>
      <c r="BC79" s="84" t="str">
        <f t="shared" si="116"/>
        <v/>
      </c>
      <c r="BD79" s="82" t="str">
        <f t="shared" si="117"/>
        <v/>
      </c>
      <c r="BE79" s="48" t="str">
        <f t="shared" si="118"/>
        <v/>
      </c>
      <c r="BF79" s="48" t="str">
        <f t="shared" si="119"/>
        <v/>
      </c>
      <c r="BG79" s="84" t="str">
        <f t="shared" si="120"/>
        <v/>
      </c>
      <c r="BH79" s="87" t="str">
        <f t="shared" si="121"/>
        <v/>
      </c>
      <c r="BI79" s="49" t="str">
        <f t="shared" si="122"/>
        <v/>
      </c>
      <c r="BJ79" s="49" t="str">
        <f t="shared" si="123"/>
        <v/>
      </c>
      <c r="BK79" s="89" t="str">
        <f t="shared" si="124"/>
        <v/>
      </c>
      <c r="BL79" s="87" t="str">
        <f t="shared" si="125"/>
        <v/>
      </c>
      <c r="BM79" s="49" t="str">
        <f t="shared" si="126"/>
        <v/>
      </c>
      <c r="BN79" s="49" t="str">
        <f t="shared" si="127"/>
        <v/>
      </c>
      <c r="BO79" s="89" t="str">
        <f t="shared" si="128"/>
        <v/>
      </c>
      <c r="BP79" s="87" t="str">
        <f t="shared" si="129"/>
        <v/>
      </c>
      <c r="BQ79" s="49" t="str">
        <f t="shared" si="130"/>
        <v/>
      </c>
      <c r="BR79" s="49" t="str">
        <f t="shared" si="131"/>
        <v/>
      </c>
      <c r="BS79" s="89" t="str">
        <f t="shared" si="132"/>
        <v/>
      </c>
      <c r="BT79" s="87"/>
    </row>
    <row r="80" spans="2:72">
      <c r="B80" s="81">
        <f>Weekly!B72</f>
        <v>0</v>
      </c>
      <c r="C80" s="90">
        <f>Weekly!C72</f>
        <v>0</v>
      </c>
      <c r="D80" s="90">
        <f>Weekly!D73</f>
        <v>0</v>
      </c>
      <c r="E80" s="91" t="e">
        <f>VLOOKUP(B80,Team!$B$4:$E$183,4,FALSE)</f>
        <v>#N/A</v>
      </c>
      <c r="F80" s="92" t="str">
        <f>Weekly!Y72</f>
        <v/>
      </c>
      <c r="G80" s="92" t="str">
        <f>Weekly!Z72</f>
        <v/>
      </c>
      <c r="H80" s="48" t="str">
        <f t="shared" si="69"/>
        <v/>
      </c>
      <c r="I80" s="48" t="str">
        <f t="shared" si="70"/>
        <v/>
      </c>
      <c r="J80" s="48" t="str">
        <f t="shared" si="71"/>
        <v/>
      </c>
      <c r="K80" s="84" t="str">
        <f t="shared" si="72"/>
        <v/>
      </c>
      <c r="L80" s="82" t="str">
        <f t="shared" si="73"/>
        <v/>
      </c>
      <c r="M80" s="48" t="str">
        <f t="shared" si="74"/>
        <v/>
      </c>
      <c r="N80" s="48" t="str">
        <f t="shared" si="75"/>
        <v/>
      </c>
      <c r="O80" s="84" t="str">
        <f t="shared" si="76"/>
        <v/>
      </c>
      <c r="P80" s="82" t="str">
        <f t="shared" si="77"/>
        <v/>
      </c>
      <c r="Q80" s="48" t="str">
        <f t="shared" si="78"/>
        <v/>
      </c>
      <c r="R80" s="48" t="str">
        <f t="shared" si="79"/>
        <v/>
      </c>
      <c r="S80" s="84" t="str">
        <f t="shared" si="80"/>
        <v/>
      </c>
      <c r="T80" s="82" t="str">
        <f t="shared" si="81"/>
        <v/>
      </c>
      <c r="U80" s="48" t="str">
        <f t="shared" si="82"/>
        <v/>
      </c>
      <c r="V80" s="48" t="str">
        <f t="shared" si="83"/>
        <v/>
      </c>
      <c r="W80" s="84" t="str">
        <f t="shared" si="84"/>
        <v/>
      </c>
      <c r="X80" s="82" t="str">
        <f t="shared" si="85"/>
        <v/>
      </c>
      <c r="Y80" s="48" t="str">
        <f t="shared" si="86"/>
        <v/>
      </c>
      <c r="Z80" s="48" t="str">
        <f t="shared" si="87"/>
        <v/>
      </c>
      <c r="AA80" s="84" t="str">
        <f t="shared" si="88"/>
        <v/>
      </c>
      <c r="AB80" s="82" t="str">
        <f t="shared" si="89"/>
        <v/>
      </c>
      <c r="AC80" s="48" t="str">
        <f t="shared" si="90"/>
        <v/>
      </c>
      <c r="AD80" s="48" t="str">
        <f t="shared" si="91"/>
        <v/>
      </c>
      <c r="AE80" s="84" t="str">
        <f t="shared" si="92"/>
        <v/>
      </c>
      <c r="AF80" s="82" t="str">
        <f t="shared" si="93"/>
        <v/>
      </c>
      <c r="AG80" s="48" t="str">
        <f t="shared" si="94"/>
        <v/>
      </c>
      <c r="AH80" s="48" t="str">
        <f t="shared" si="95"/>
        <v/>
      </c>
      <c r="AI80" s="84" t="str">
        <f t="shared" si="96"/>
        <v/>
      </c>
      <c r="AJ80" s="82" t="str">
        <f t="shared" si="97"/>
        <v/>
      </c>
      <c r="AK80" s="48" t="str">
        <f t="shared" si="98"/>
        <v/>
      </c>
      <c r="AL80" s="48" t="str">
        <f t="shared" si="99"/>
        <v/>
      </c>
      <c r="AM80" s="84" t="str">
        <f t="shared" si="100"/>
        <v/>
      </c>
      <c r="AN80" s="82" t="str">
        <f t="shared" si="101"/>
        <v/>
      </c>
      <c r="AO80" s="48" t="str">
        <f t="shared" si="102"/>
        <v/>
      </c>
      <c r="AP80" s="48" t="str">
        <f t="shared" si="103"/>
        <v/>
      </c>
      <c r="AQ80" s="84" t="str">
        <f t="shared" si="104"/>
        <v/>
      </c>
      <c r="AR80" s="82" t="str">
        <f t="shared" si="105"/>
        <v/>
      </c>
      <c r="AS80" s="48" t="str">
        <f t="shared" si="106"/>
        <v/>
      </c>
      <c r="AT80" s="48" t="str">
        <f t="shared" si="107"/>
        <v/>
      </c>
      <c r="AU80" s="84" t="str">
        <f t="shared" si="108"/>
        <v/>
      </c>
      <c r="AV80" s="82" t="str">
        <f t="shared" si="109"/>
        <v/>
      </c>
      <c r="AW80" s="48" t="str">
        <f t="shared" si="110"/>
        <v/>
      </c>
      <c r="AX80" s="48" t="str">
        <f t="shared" si="111"/>
        <v/>
      </c>
      <c r="AY80" s="84" t="str">
        <f t="shared" si="112"/>
        <v/>
      </c>
      <c r="AZ80" s="82" t="str">
        <f t="shared" si="113"/>
        <v/>
      </c>
      <c r="BA80" s="48" t="str">
        <f t="shared" si="114"/>
        <v/>
      </c>
      <c r="BB80" s="48" t="str">
        <f t="shared" si="115"/>
        <v/>
      </c>
      <c r="BC80" s="84" t="str">
        <f t="shared" si="116"/>
        <v/>
      </c>
      <c r="BD80" s="82" t="str">
        <f t="shared" si="117"/>
        <v/>
      </c>
      <c r="BE80" s="48" t="str">
        <f t="shared" si="118"/>
        <v/>
      </c>
      <c r="BF80" s="48" t="str">
        <f t="shared" si="119"/>
        <v/>
      </c>
      <c r="BG80" s="84" t="str">
        <f t="shared" si="120"/>
        <v/>
      </c>
      <c r="BH80" s="87" t="str">
        <f t="shared" si="121"/>
        <v/>
      </c>
      <c r="BI80" s="49" t="str">
        <f t="shared" si="122"/>
        <v/>
      </c>
      <c r="BJ80" s="49" t="str">
        <f t="shared" si="123"/>
        <v/>
      </c>
      <c r="BK80" s="89" t="str">
        <f t="shared" si="124"/>
        <v/>
      </c>
      <c r="BL80" s="87" t="str">
        <f t="shared" si="125"/>
        <v/>
      </c>
      <c r="BM80" s="49" t="str">
        <f t="shared" si="126"/>
        <v/>
      </c>
      <c r="BN80" s="49" t="str">
        <f t="shared" si="127"/>
        <v/>
      </c>
      <c r="BO80" s="89" t="str">
        <f t="shared" si="128"/>
        <v/>
      </c>
      <c r="BP80" s="87" t="str">
        <f t="shared" si="129"/>
        <v/>
      </c>
      <c r="BQ80" s="49" t="str">
        <f t="shared" si="130"/>
        <v/>
      </c>
      <c r="BR80" s="49" t="str">
        <f t="shared" si="131"/>
        <v/>
      </c>
      <c r="BS80" s="89" t="str">
        <f t="shared" si="132"/>
        <v/>
      </c>
      <c r="BT80" s="87"/>
    </row>
    <row r="81" spans="2:72">
      <c r="B81" s="81">
        <f>Weekly!B73</f>
        <v>0</v>
      </c>
      <c r="C81" s="90">
        <f>Weekly!C73</f>
        <v>0</v>
      </c>
      <c r="D81" s="90">
        <f>Weekly!D74</f>
        <v>0</v>
      </c>
      <c r="E81" s="91" t="e">
        <f>VLOOKUP(B81,Team!$B$4:$E$183,4,FALSE)</f>
        <v>#N/A</v>
      </c>
      <c r="F81" s="92" t="str">
        <f>Weekly!Y73</f>
        <v/>
      </c>
      <c r="G81" s="92" t="str">
        <f>Weekly!Z73</f>
        <v/>
      </c>
      <c r="H81" s="48" t="str">
        <f t="shared" ref="H81:H103" si="133">IF(AND($H$12&gt;=$F81,$H$12&lt;$G81),$E81,"")</f>
        <v/>
      </c>
      <c r="I81" s="48" t="str">
        <f t="shared" ref="I81:I103" si="134">IF(AND($I$12&gt;=$F81,$I$12&lt;$G81),$E81,"")</f>
        <v/>
      </c>
      <c r="J81" s="48" t="str">
        <f t="shared" ref="J81:J103" si="135">IF(AND($J$12&gt;=$F81,$J$12&lt;$G81),$E81,"")</f>
        <v/>
      </c>
      <c r="K81" s="84" t="str">
        <f t="shared" ref="K81:K103" si="136">IF(AND($K$12&gt;=$F81,$K$12&lt;$G81),$E81,"")</f>
        <v/>
      </c>
      <c r="L81" s="82" t="str">
        <f t="shared" ref="L81:L103" si="137">IF(AND($L$12&gt;=$F81,$L$12&lt;$G81),$E81,"")</f>
        <v/>
      </c>
      <c r="M81" s="48" t="str">
        <f t="shared" ref="M81:M103" si="138">IF(AND($M$12&gt;=$F81,$M$12&lt;$G81),$E81,"")</f>
        <v/>
      </c>
      <c r="N81" s="48" t="str">
        <f t="shared" ref="N81:N103" si="139">IF(AND($N$12&gt;=$F81,$N$12&lt;$G81),$E81,"")</f>
        <v/>
      </c>
      <c r="O81" s="84" t="str">
        <f t="shared" ref="O81:O103" si="140">IF(AND($O$12&gt;=$F81,$O$12&lt;$G81),$E81,"")</f>
        <v/>
      </c>
      <c r="P81" s="82" t="str">
        <f t="shared" ref="P81:P103" si="141">IF(AND($P$12&gt;=$F81,$P$12&lt;$G81),$E81,"")</f>
        <v/>
      </c>
      <c r="Q81" s="48" t="str">
        <f t="shared" ref="Q81:Q103" si="142">IF(AND($Q$12&gt;=$F81,$Q$12&lt;$G81),$E81,"")</f>
        <v/>
      </c>
      <c r="R81" s="48" t="str">
        <f t="shared" ref="R81:R103" si="143">IF(AND($R$12&gt;=$F81,$R$12&lt;$G81),$E81,"")</f>
        <v/>
      </c>
      <c r="S81" s="84" t="str">
        <f t="shared" ref="S81:S103" si="144">IF(AND($S$12&gt;=$F81,$S$12&lt;$G81),$E81,"")</f>
        <v/>
      </c>
      <c r="T81" s="82" t="str">
        <f t="shared" ref="T81:T103" si="145">IF(AND($T$12&gt;=$F81,$T$12&lt;$G81),$E81,"")</f>
        <v/>
      </c>
      <c r="U81" s="48" t="str">
        <f t="shared" ref="U81:U103" si="146">IF(AND($U$12&gt;=$F81,$U$12&lt;$G81),$E81,"")</f>
        <v/>
      </c>
      <c r="V81" s="48" t="str">
        <f t="shared" ref="V81:V103" si="147">IF(AND($V$12&gt;=$F81,$V$12&lt;$G81),$E81,"")</f>
        <v/>
      </c>
      <c r="W81" s="84" t="str">
        <f t="shared" ref="W81:W103" si="148">IF(AND($W$12&gt;=$F81,$W$12&lt;$G81),$E81,"")</f>
        <v/>
      </c>
      <c r="X81" s="82" t="str">
        <f t="shared" ref="X81:X103" si="149">IF(AND($X$12&gt;=$F81,$X$12&lt;$G81),$E81,"")</f>
        <v/>
      </c>
      <c r="Y81" s="48" t="str">
        <f t="shared" ref="Y81:Y103" si="150">IF(AND($Y$12&gt;=$F81,$Y$12&lt;$G81),$E81,"")</f>
        <v/>
      </c>
      <c r="Z81" s="48" t="str">
        <f t="shared" ref="Z81:Z103" si="151">IF(AND($Z$12&gt;=$F81,$Z$12&lt;$G81),$E81,"")</f>
        <v/>
      </c>
      <c r="AA81" s="84" t="str">
        <f t="shared" ref="AA81:AA103" si="152">IF(AND($AA$12&gt;=$F81,$AA$12&lt;$G81),$E81,"")</f>
        <v/>
      </c>
      <c r="AB81" s="82" t="str">
        <f t="shared" ref="AB81:AB103" si="153">IF(AND($AB$12&gt;=$F81,$AB$12&lt;$G81),$E81,"")</f>
        <v/>
      </c>
      <c r="AC81" s="48" t="str">
        <f t="shared" ref="AC81:AC103" si="154">IF(AND($AC$12&gt;=$F81,$AC$12&lt;$G81),$E81,"")</f>
        <v/>
      </c>
      <c r="AD81" s="48" t="str">
        <f t="shared" ref="AD81:AD103" si="155">IF(AND($AD$12&gt;=$F81,$AD$12&lt;$G81),$E81,"")</f>
        <v/>
      </c>
      <c r="AE81" s="84" t="str">
        <f t="shared" ref="AE81:AE103" si="156">IF(AND($AE$12&gt;=$F81,$AE$12&lt;$G81),$E81,"")</f>
        <v/>
      </c>
      <c r="AF81" s="82" t="str">
        <f t="shared" ref="AF81:AF103" si="157">IF(AND($AF$12&gt;=$F81,$AF$12&lt;$G81),$E81,"")</f>
        <v/>
      </c>
      <c r="AG81" s="48" t="str">
        <f t="shared" ref="AG81:AG103" si="158">IF(AND($AG$12&gt;=$F81,$AG$12&lt;$G81),$E81,"")</f>
        <v/>
      </c>
      <c r="AH81" s="48" t="str">
        <f t="shared" ref="AH81:AH103" si="159">IF(AND($AH$12&gt;=$F81,$AH$12&lt;$G81),$E81,"")</f>
        <v/>
      </c>
      <c r="AI81" s="84" t="str">
        <f t="shared" ref="AI81:AI103" si="160">IF(AND($AI$12&gt;=$F81,$AI$12&lt;$G81),$E81,"")</f>
        <v/>
      </c>
      <c r="AJ81" s="82" t="str">
        <f t="shared" ref="AJ81:AJ103" si="161">IF(AND($AJ$12&gt;=$F81,$AJ$12&lt;$G81),$E81,"")</f>
        <v/>
      </c>
      <c r="AK81" s="48" t="str">
        <f t="shared" ref="AK81:AK103" si="162">IF(AND($AK$12&gt;=$F81,$AK$12&lt;$G81),$E81,"")</f>
        <v/>
      </c>
      <c r="AL81" s="48" t="str">
        <f t="shared" ref="AL81:AL103" si="163">IF(AND($AL$12&gt;=$F81,$AL$12&lt;$G81),$E81,"")</f>
        <v/>
      </c>
      <c r="AM81" s="84" t="str">
        <f t="shared" ref="AM81:AM103" si="164">IF(AND($AM$12&gt;=$F81,$AM$12&lt;$G81),$E81,"")</f>
        <v/>
      </c>
      <c r="AN81" s="82" t="str">
        <f t="shared" ref="AN81:AN103" si="165">IF(AND($AN$12&gt;=$F81,$AN$12&lt;$G81),$E81,"")</f>
        <v/>
      </c>
      <c r="AO81" s="48" t="str">
        <f t="shared" ref="AO81:AO103" si="166">IF(AND($AO$12&gt;=$F81,$AO$12&lt;$G81),$E81,"")</f>
        <v/>
      </c>
      <c r="AP81" s="48" t="str">
        <f t="shared" ref="AP81:AP103" si="167">IF(AND($AP$12&gt;=$F81,$AP$12&lt;$G81),$E81,"")</f>
        <v/>
      </c>
      <c r="AQ81" s="84" t="str">
        <f t="shared" ref="AQ81:AQ103" si="168">IF(AND($AQ$12&gt;=$F81,$AQ$12&lt;$G81),$E81,"")</f>
        <v/>
      </c>
      <c r="AR81" s="82" t="str">
        <f t="shared" ref="AR81:AR103" si="169">IF(AND($AR$12&gt;=$F81,$AR$12&lt;$G81),$E81,"")</f>
        <v/>
      </c>
      <c r="AS81" s="48" t="str">
        <f t="shared" ref="AS81:AS103" si="170">IF(AND($AS$12&gt;=$F81,$AS$12&lt;$G81),$E81,"")</f>
        <v/>
      </c>
      <c r="AT81" s="48" t="str">
        <f t="shared" ref="AT81:AT103" si="171">IF(AND($AT$12&gt;=$F81,$AT$12&lt;$G81),$E81,"")</f>
        <v/>
      </c>
      <c r="AU81" s="84" t="str">
        <f t="shared" ref="AU81:AU103" si="172">IF(AND($AU$12&gt;=$F81,$AU$12&lt;$G81),$E81,"")</f>
        <v/>
      </c>
      <c r="AV81" s="82" t="str">
        <f t="shared" ref="AV81:AV103" si="173">IF(AND($AV$12&gt;=$F81,$AV$12&lt;$G81),$E81,"")</f>
        <v/>
      </c>
      <c r="AW81" s="48" t="str">
        <f t="shared" ref="AW81:AW103" si="174">IF(AND($AW$12&gt;=$F81,$AW$12&lt;$G81),$E81,"")</f>
        <v/>
      </c>
      <c r="AX81" s="48" t="str">
        <f t="shared" ref="AX81:AX103" si="175">IF(AND($AX$12&gt;=$F81,$AX$12&lt;$G81),$E81,"")</f>
        <v/>
      </c>
      <c r="AY81" s="84" t="str">
        <f t="shared" ref="AY81:AY103" si="176">IF(AND($AY$12&gt;=$F81,$AY$12&lt;$G81),$E81,"")</f>
        <v/>
      </c>
      <c r="AZ81" s="82" t="str">
        <f t="shared" ref="AZ81:AZ103" si="177">IF(AND($AZ$12&gt;=$F81,$AZ$12&lt;$G81),$E81,"")</f>
        <v/>
      </c>
      <c r="BA81" s="48" t="str">
        <f t="shared" ref="BA81:BA103" si="178">IF(AND($BA$12&gt;=$F81,$BA$12&lt;$G81),$E81,"")</f>
        <v/>
      </c>
      <c r="BB81" s="48" t="str">
        <f t="shared" ref="BB81:BB103" si="179">IF(AND($BB$12&gt;=$F81,$BB$12&lt;$G81),$E81,"")</f>
        <v/>
      </c>
      <c r="BC81" s="84" t="str">
        <f t="shared" ref="BC81:BC103" si="180">IF(AND($BC$12&gt;=$F81,$BC$12&lt;$G81),$E81,"")</f>
        <v/>
      </c>
      <c r="BD81" s="82" t="str">
        <f t="shared" ref="BD81:BD103" si="181">IF(AND($BD$12&gt;=$F81,$BD$12&lt;$G81),$E81,"")</f>
        <v/>
      </c>
      <c r="BE81" s="48" t="str">
        <f t="shared" ref="BE81:BE103" si="182">IF(AND($BE$12&gt;=$F81,$BE$12&lt;$G81),$E81,"")</f>
        <v/>
      </c>
      <c r="BF81" s="48" t="str">
        <f t="shared" ref="BF81:BF103" si="183">IF(AND($BF$12&gt;=$F81,$BF$12&lt;$G81),$E81,"")</f>
        <v/>
      </c>
      <c r="BG81" s="84" t="str">
        <f t="shared" ref="BG81:BG103" si="184">IF(AND($BG$12&gt;=$F81,$BG$12&lt;$G81),$E81,"")</f>
        <v/>
      </c>
      <c r="BH81" s="87" t="str">
        <f t="shared" ref="BH81:BH103" si="185">IF(AND($BH$12&gt;=$F81,$BH$12&lt;$G81),$E81,"")</f>
        <v/>
      </c>
      <c r="BI81" s="49" t="str">
        <f t="shared" ref="BI81:BI103" si="186">IF(AND($BI$12&gt;=$F81,$BI$12&lt;$G81),$E81,"")</f>
        <v/>
      </c>
      <c r="BJ81" s="49" t="str">
        <f t="shared" ref="BJ81:BJ103" si="187">IF(AND($BJ$12&gt;=$F81,$BJ$12&lt;$G81),$E81,"")</f>
        <v/>
      </c>
      <c r="BK81" s="89" t="str">
        <f t="shared" ref="BK81:BK103" si="188">IF(AND($BK$12&gt;=$F81,$BK$12&lt;$G81),$E81,"")</f>
        <v/>
      </c>
      <c r="BL81" s="87" t="str">
        <f t="shared" ref="BL81:BL103" si="189">IF(AND($BL$12&gt;=$F81,$BL$12&lt;$G81),$E81,"")</f>
        <v/>
      </c>
      <c r="BM81" s="49" t="str">
        <f t="shared" ref="BM81:BM103" si="190">IF(AND($BM$12&gt;=$F81,$BM$12&lt;$G81),$E81,"")</f>
        <v/>
      </c>
      <c r="BN81" s="49" t="str">
        <f t="shared" ref="BN81:BN103" si="191">IF(AND($BN$12&gt;=$F81,$BN$12&lt;$G81),$E81,"")</f>
        <v/>
      </c>
      <c r="BO81" s="89" t="str">
        <f t="shared" ref="BO81:BO103" si="192">IF(AND($BO$12&gt;=$F81,$BO$12&lt;$G81),$E81,"")</f>
        <v/>
      </c>
      <c r="BP81" s="87" t="str">
        <f t="shared" ref="BP81:BP103" si="193">IF(AND($BP$12&gt;=$F81,$BP$12&lt;$G81),$E81,"")</f>
        <v/>
      </c>
      <c r="BQ81" s="49" t="str">
        <f t="shared" ref="BQ81:BQ103" si="194">IF(AND($BQ$12&gt;=$F81,$BQ$12&lt;$G81),$E81,"")</f>
        <v/>
      </c>
      <c r="BR81" s="49" t="str">
        <f t="shared" ref="BR81:BR103" si="195">IF(AND($BR$12&gt;=$F81,$BR$12&lt;$G81),$E81,"")</f>
        <v/>
      </c>
      <c r="BS81" s="89" t="str">
        <f t="shared" ref="BS81:BS103" si="196">IF(AND($BS$12&gt;=$F81,$BS$12&lt;$G81),$E81,"")</f>
        <v/>
      </c>
      <c r="BT81" s="87"/>
    </row>
    <row r="82" spans="2:72">
      <c r="B82" s="81">
        <f>Weekly!B74</f>
        <v>0</v>
      </c>
      <c r="C82" s="90">
        <f>Weekly!C74</f>
        <v>0</v>
      </c>
      <c r="D82" s="90">
        <f>Weekly!D75</f>
        <v>0</v>
      </c>
      <c r="E82" s="91" t="e">
        <f>VLOOKUP(B82,Team!$B$4:$E$183,4,FALSE)</f>
        <v>#N/A</v>
      </c>
      <c r="F82" s="92" t="str">
        <f>Weekly!Y74</f>
        <v/>
      </c>
      <c r="G82" s="92" t="str">
        <f>Weekly!Z74</f>
        <v/>
      </c>
      <c r="H82" s="48" t="str">
        <f t="shared" si="133"/>
        <v/>
      </c>
      <c r="I82" s="48" t="str">
        <f t="shared" si="134"/>
        <v/>
      </c>
      <c r="J82" s="48" t="str">
        <f t="shared" si="135"/>
        <v/>
      </c>
      <c r="K82" s="84" t="str">
        <f t="shared" si="136"/>
        <v/>
      </c>
      <c r="L82" s="82" t="str">
        <f t="shared" si="137"/>
        <v/>
      </c>
      <c r="M82" s="48" t="str">
        <f t="shared" si="138"/>
        <v/>
      </c>
      <c r="N82" s="48" t="str">
        <f t="shared" si="139"/>
        <v/>
      </c>
      <c r="O82" s="84" t="str">
        <f t="shared" si="140"/>
        <v/>
      </c>
      <c r="P82" s="82" t="str">
        <f t="shared" si="141"/>
        <v/>
      </c>
      <c r="Q82" s="48" t="str">
        <f t="shared" si="142"/>
        <v/>
      </c>
      <c r="R82" s="48" t="str">
        <f t="shared" si="143"/>
        <v/>
      </c>
      <c r="S82" s="84" t="str">
        <f t="shared" si="144"/>
        <v/>
      </c>
      <c r="T82" s="82" t="str">
        <f t="shared" si="145"/>
        <v/>
      </c>
      <c r="U82" s="48" t="str">
        <f t="shared" si="146"/>
        <v/>
      </c>
      <c r="V82" s="48" t="str">
        <f t="shared" si="147"/>
        <v/>
      </c>
      <c r="W82" s="84" t="str">
        <f t="shared" si="148"/>
        <v/>
      </c>
      <c r="X82" s="82" t="str">
        <f t="shared" si="149"/>
        <v/>
      </c>
      <c r="Y82" s="48" t="str">
        <f t="shared" si="150"/>
        <v/>
      </c>
      <c r="Z82" s="48" t="str">
        <f t="shared" si="151"/>
        <v/>
      </c>
      <c r="AA82" s="84" t="str">
        <f t="shared" si="152"/>
        <v/>
      </c>
      <c r="AB82" s="82" t="str">
        <f t="shared" si="153"/>
        <v/>
      </c>
      <c r="AC82" s="48" t="str">
        <f t="shared" si="154"/>
        <v/>
      </c>
      <c r="AD82" s="48" t="str">
        <f t="shared" si="155"/>
        <v/>
      </c>
      <c r="AE82" s="84" t="str">
        <f t="shared" si="156"/>
        <v/>
      </c>
      <c r="AF82" s="82" t="str">
        <f t="shared" si="157"/>
        <v/>
      </c>
      <c r="AG82" s="48" t="str">
        <f t="shared" si="158"/>
        <v/>
      </c>
      <c r="AH82" s="48" t="str">
        <f t="shared" si="159"/>
        <v/>
      </c>
      <c r="AI82" s="84" t="str">
        <f t="shared" si="160"/>
        <v/>
      </c>
      <c r="AJ82" s="82" t="str">
        <f t="shared" si="161"/>
        <v/>
      </c>
      <c r="AK82" s="48" t="str">
        <f t="shared" si="162"/>
        <v/>
      </c>
      <c r="AL82" s="48" t="str">
        <f t="shared" si="163"/>
        <v/>
      </c>
      <c r="AM82" s="84" t="str">
        <f t="shared" si="164"/>
        <v/>
      </c>
      <c r="AN82" s="82" t="str">
        <f t="shared" si="165"/>
        <v/>
      </c>
      <c r="AO82" s="48" t="str">
        <f t="shared" si="166"/>
        <v/>
      </c>
      <c r="AP82" s="48" t="str">
        <f t="shared" si="167"/>
        <v/>
      </c>
      <c r="AQ82" s="84" t="str">
        <f t="shared" si="168"/>
        <v/>
      </c>
      <c r="AR82" s="82" t="str">
        <f t="shared" si="169"/>
        <v/>
      </c>
      <c r="AS82" s="48" t="str">
        <f t="shared" si="170"/>
        <v/>
      </c>
      <c r="AT82" s="48" t="str">
        <f t="shared" si="171"/>
        <v/>
      </c>
      <c r="AU82" s="84" t="str">
        <f t="shared" si="172"/>
        <v/>
      </c>
      <c r="AV82" s="82" t="str">
        <f t="shared" si="173"/>
        <v/>
      </c>
      <c r="AW82" s="48" t="str">
        <f t="shared" si="174"/>
        <v/>
      </c>
      <c r="AX82" s="48" t="str">
        <f t="shared" si="175"/>
        <v/>
      </c>
      <c r="AY82" s="84" t="str">
        <f t="shared" si="176"/>
        <v/>
      </c>
      <c r="AZ82" s="82" t="str">
        <f t="shared" si="177"/>
        <v/>
      </c>
      <c r="BA82" s="48" t="str">
        <f t="shared" si="178"/>
        <v/>
      </c>
      <c r="BB82" s="48" t="str">
        <f t="shared" si="179"/>
        <v/>
      </c>
      <c r="BC82" s="84" t="str">
        <f t="shared" si="180"/>
        <v/>
      </c>
      <c r="BD82" s="82" t="str">
        <f t="shared" si="181"/>
        <v/>
      </c>
      <c r="BE82" s="48" t="str">
        <f t="shared" si="182"/>
        <v/>
      </c>
      <c r="BF82" s="48" t="str">
        <f t="shared" si="183"/>
        <v/>
      </c>
      <c r="BG82" s="84" t="str">
        <f t="shared" si="184"/>
        <v/>
      </c>
      <c r="BH82" s="87" t="str">
        <f t="shared" si="185"/>
        <v/>
      </c>
      <c r="BI82" s="49" t="str">
        <f t="shared" si="186"/>
        <v/>
      </c>
      <c r="BJ82" s="49" t="str">
        <f t="shared" si="187"/>
        <v/>
      </c>
      <c r="BK82" s="89" t="str">
        <f t="shared" si="188"/>
        <v/>
      </c>
      <c r="BL82" s="87" t="str">
        <f t="shared" si="189"/>
        <v/>
      </c>
      <c r="BM82" s="49" t="str">
        <f t="shared" si="190"/>
        <v/>
      </c>
      <c r="BN82" s="49" t="str">
        <f t="shared" si="191"/>
        <v/>
      </c>
      <c r="BO82" s="89" t="str">
        <f t="shared" si="192"/>
        <v/>
      </c>
      <c r="BP82" s="87" t="str">
        <f t="shared" si="193"/>
        <v/>
      </c>
      <c r="BQ82" s="49" t="str">
        <f t="shared" si="194"/>
        <v/>
      </c>
      <c r="BR82" s="49" t="str">
        <f t="shared" si="195"/>
        <v/>
      </c>
      <c r="BS82" s="89" t="str">
        <f t="shared" si="196"/>
        <v/>
      </c>
      <c r="BT82" s="87"/>
    </row>
    <row r="83" spans="2:72">
      <c r="B83" s="81">
        <f>Weekly!B75</f>
        <v>0</v>
      </c>
      <c r="C83" s="90">
        <f>Weekly!C75</f>
        <v>0</v>
      </c>
      <c r="D83" s="90">
        <f>Weekly!D76</f>
        <v>0</v>
      </c>
      <c r="E83" s="91" t="e">
        <f>VLOOKUP(B83,Team!$B$4:$E$183,4,FALSE)</f>
        <v>#N/A</v>
      </c>
      <c r="F83" s="92" t="str">
        <f>Weekly!Y75</f>
        <v/>
      </c>
      <c r="G83" s="92" t="str">
        <f>Weekly!Z75</f>
        <v/>
      </c>
      <c r="H83" s="48" t="str">
        <f t="shared" si="133"/>
        <v/>
      </c>
      <c r="I83" s="48" t="str">
        <f t="shared" si="134"/>
        <v/>
      </c>
      <c r="J83" s="48" t="str">
        <f t="shared" si="135"/>
        <v/>
      </c>
      <c r="K83" s="84" t="str">
        <f t="shared" si="136"/>
        <v/>
      </c>
      <c r="L83" s="82" t="str">
        <f t="shared" si="137"/>
        <v/>
      </c>
      <c r="M83" s="48" t="str">
        <f t="shared" si="138"/>
        <v/>
      </c>
      <c r="N83" s="48" t="str">
        <f t="shared" si="139"/>
        <v/>
      </c>
      <c r="O83" s="84" t="str">
        <f t="shared" si="140"/>
        <v/>
      </c>
      <c r="P83" s="82" t="str">
        <f t="shared" si="141"/>
        <v/>
      </c>
      <c r="Q83" s="48" t="str">
        <f t="shared" si="142"/>
        <v/>
      </c>
      <c r="R83" s="48" t="str">
        <f t="shared" si="143"/>
        <v/>
      </c>
      <c r="S83" s="84" t="str">
        <f t="shared" si="144"/>
        <v/>
      </c>
      <c r="T83" s="82" t="str">
        <f t="shared" si="145"/>
        <v/>
      </c>
      <c r="U83" s="48" t="str">
        <f t="shared" si="146"/>
        <v/>
      </c>
      <c r="V83" s="48" t="str">
        <f t="shared" si="147"/>
        <v/>
      </c>
      <c r="W83" s="84" t="str">
        <f t="shared" si="148"/>
        <v/>
      </c>
      <c r="X83" s="82" t="str">
        <f t="shared" si="149"/>
        <v/>
      </c>
      <c r="Y83" s="48" t="str">
        <f t="shared" si="150"/>
        <v/>
      </c>
      <c r="Z83" s="48" t="str">
        <f t="shared" si="151"/>
        <v/>
      </c>
      <c r="AA83" s="84" t="str">
        <f t="shared" si="152"/>
        <v/>
      </c>
      <c r="AB83" s="82" t="str">
        <f t="shared" si="153"/>
        <v/>
      </c>
      <c r="AC83" s="48" t="str">
        <f t="shared" si="154"/>
        <v/>
      </c>
      <c r="AD83" s="48" t="str">
        <f t="shared" si="155"/>
        <v/>
      </c>
      <c r="AE83" s="84" t="str">
        <f t="shared" si="156"/>
        <v/>
      </c>
      <c r="AF83" s="82" t="str">
        <f t="shared" si="157"/>
        <v/>
      </c>
      <c r="AG83" s="48" t="str">
        <f t="shared" si="158"/>
        <v/>
      </c>
      <c r="AH83" s="48" t="str">
        <f t="shared" si="159"/>
        <v/>
      </c>
      <c r="AI83" s="84" t="str">
        <f t="shared" si="160"/>
        <v/>
      </c>
      <c r="AJ83" s="82" t="str">
        <f t="shared" si="161"/>
        <v/>
      </c>
      <c r="AK83" s="48" t="str">
        <f t="shared" si="162"/>
        <v/>
      </c>
      <c r="AL83" s="48" t="str">
        <f t="shared" si="163"/>
        <v/>
      </c>
      <c r="AM83" s="84" t="str">
        <f t="shared" si="164"/>
        <v/>
      </c>
      <c r="AN83" s="82" t="str">
        <f t="shared" si="165"/>
        <v/>
      </c>
      <c r="AO83" s="48" t="str">
        <f t="shared" si="166"/>
        <v/>
      </c>
      <c r="AP83" s="48" t="str">
        <f t="shared" si="167"/>
        <v/>
      </c>
      <c r="AQ83" s="84" t="str">
        <f t="shared" si="168"/>
        <v/>
      </c>
      <c r="AR83" s="82" t="str">
        <f t="shared" si="169"/>
        <v/>
      </c>
      <c r="AS83" s="48" t="str">
        <f t="shared" si="170"/>
        <v/>
      </c>
      <c r="AT83" s="48" t="str">
        <f t="shared" si="171"/>
        <v/>
      </c>
      <c r="AU83" s="84" t="str">
        <f t="shared" si="172"/>
        <v/>
      </c>
      <c r="AV83" s="82" t="str">
        <f t="shared" si="173"/>
        <v/>
      </c>
      <c r="AW83" s="48" t="str">
        <f t="shared" si="174"/>
        <v/>
      </c>
      <c r="AX83" s="48" t="str">
        <f t="shared" si="175"/>
        <v/>
      </c>
      <c r="AY83" s="84" t="str">
        <f t="shared" si="176"/>
        <v/>
      </c>
      <c r="AZ83" s="82" t="str">
        <f t="shared" si="177"/>
        <v/>
      </c>
      <c r="BA83" s="48" t="str">
        <f t="shared" si="178"/>
        <v/>
      </c>
      <c r="BB83" s="48" t="str">
        <f t="shared" si="179"/>
        <v/>
      </c>
      <c r="BC83" s="84" t="str">
        <f t="shared" si="180"/>
        <v/>
      </c>
      <c r="BD83" s="82" t="str">
        <f t="shared" si="181"/>
        <v/>
      </c>
      <c r="BE83" s="48" t="str">
        <f t="shared" si="182"/>
        <v/>
      </c>
      <c r="BF83" s="48" t="str">
        <f t="shared" si="183"/>
        <v/>
      </c>
      <c r="BG83" s="84" t="str">
        <f t="shared" si="184"/>
        <v/>
      </c>
      <c r="BH83" s="87" t="str">
        <f t="shared" si="185"/>
        <v/>
      </c>
      <c r="BI83" s="49" t="str">
        <f t="shared" si="186"/>
        <v/>
      </c>
      <c r="BJ83" s="49" t="str">
        <f t="shared" si="187"/>
        <v/>
      </c>
      <c r="BK83" s="89" t="str">
        <f t="shared" si="188"/>
        <v/>
      </c>
      <c r="BL83" s="87" t="str">
        <f t="shared" si="189"/>
        <v/>
      </c>
      <c r="BM83" s="49" t="str">
        <f t="shared" si="190"/>
        <v/>
      </c>
      <c r="BN83" s="49" t="str">
        <f t="shared" si="191"/>
        <v/>
      </c>
      <c r="BO83" s="89" t="str">
        <f t="shared" si="192"/>
        <v/>
      </c>
      <c r="BP83" s="87" t="str">
        <f t="shared" si="193"/>
        <v/>
      </c>
      <c r="BQ83" s="49" t="str">
        <f t="shared" si="194"/>
        <v/>
      </c>
      <c r="BR83" s="49" t="str">
        <f t="shared" si="195"/>
        <v/>
      </c>
      <c r="BS83" s="89" t="str">
        <f t="shared" si="196"/>
        <v/>
      </c>
      <c r="BT83" s="87"/>
    </row>
    <row r="84" spans="2:72">
      <c r="B84" s="81">
        <f>Weekly!B76</f>
        <v>0</v>
      </c>
      <c r="C84" s="90">
        <f>Weekly!C76</f>
        <v>0</v>
      </c>
      <c r="D84" s="90">
        <f>Weekly!D77</f>
        <v>0</v>
      </c>
      <c r="E84" s="91" t="e">
        <f>VLOOKUP(B84,Team!$B$4:$E$183,4,FALSE)</f>
        <v>#N/A</v>
      </c>
      <c r="F84" s="92" t="str">
        <f>Weekly!Y76</f>
        <v/>
      </c>
      <c r="G84" s="92" t="str">
        <f>Weekly!Z76</f>
        <v/>
      </c>
      <c r="H84" s="48" t="str">
        <f t="shared" si="133"/>
        <v/>
      </c>
      <c r="I84" s="48" t="str">
        <f t="shared" si="134"/>
        <v/>
      </c>
      <c r="J84" s="48" t="str">
        <f t="shared" si="135"/>
        <v/>
      </c>
      <c r="K84" s="84" t="str">
        <f t="shared" si="136"/>
        <v/>
      </c>
      <c r="L84" s="82" t="str">
        <f t="shared" si="137"/>
        <v/>
      </c>
      <c r="M84" s="48" t="str">
        <f t="shared" si="138"/>
        <v/>
      </c>
      <c r="N84" s="48" t="str">
        <f t="shared" si="139"/>
        <v/>
      </c>
      <c r="O84" s="84" t="str">
        <f t="shared" si="140"/>
        <v/>
      </c>
      <c r="P84" s="82" t="str">
        <f t="shared" si="141"/>
        <v/>
      </c>
      <c r="Q84" s="48" t="str">
        <f t="shared" si="142"/>
        <v/>
      </c>
      <c r="R84" s="48" t="str">
        <f t="shared" si="143"/>
        <v/>
      </c>
      <c r="S84" s="84" t="str">
        <f t="shared" si="144"/>
        <v/>
      </c>
      <c r="T84" s="82" t="str">
        <f t="shared" si="145"/>
        <v/>
      </c>
      <c r="U84" s="48" t="str">
        <f t="shared" si="146"/>
        <v/>
      </c>
      <c r="V84" s="48" t="str">
        <f t="shared" si="147"/>
        <v/>
      </c>
      <c r="W84" s="84" t="str">
        <f t="shared" si="148"/>
        <v/>
      </c>
      <c r="X84" s="82" t="str">
        <f t="shared" si="149"/>
        <v/>
      </c>
      <c r="Y84" s="48" t="str">
        <f t="shared" si="150"/>
        <v/>
      </c>
      <c r="Z84" s="48" t="str">
        <f t="shared" si="151"/>
        <v/>
      </c>
      <c r="AA84" s="84" t="str">
        <f t="shared" si="152"/>
        <v/>
      </c>
      <c r="AB84" s="82" t="str">
        <f t="shared" si="153"/>
        <v/>
      </c>
      <c r="AC84" s="48" t="str">
        <f t="shared" si="154"/>
        <v/>
      </c>
      <c r="AD84" s="48" t="str">
        <f t="shared" si="155"/>
        <v/>
      </c>
      <c r="AE84" s="84" t="str">
        <f t="shared" si="156"/>
        <v/>
      </c>
      <c r="AF84" s="82" t="str">
        <f t="shared" si="157"/>
        <v/>
      </c>
      <c r="AG84" s="48" t="str">
        <f t="shared" si="158"/>
        <v/>
      </c>
      <c r="AH84" s="48" t="str">
        <f t="shared" si="159"/>
        <v/>
      </c>
      <c r="AI84" s="84" t="str">
        <f t="shared" si="160"/>
        <v/>
      </c>
      <c r="AJ84" s="82" t="str">
        <f t="shared" si="161"/>
        <v/>
      </c>
      <c r="AK84" s="48" t="str">
        <f t="shared" si="162"/>
        <v/>
      </c>
      <c r="AL84" s="48" t="str">
        <f t="shared" si="163"/>
        <v/>
      </c>
      <c r="AM84" s="84" t="str">
        <f t="shared" si="164"/>
        <v/>
      </c>
      <c r="AN84" s="82" t="str">
        <f t="shared" si="165"/>
        <v/>
      </c>
      <c r="AO84" s="48" t="str">
        <f t="shared" si="166"/>
        <v/>
      </c>
      <c r="AP84" s="48" t="str">
        <f t="shared" si="167"/>
        <v/>
      </c>
      <c r="AQ84" s="84" t="str">
        <f t="shared" si="168"/>
        <v/>
      </c>
      <c r="AR84" s="82" t="str">
        <f t="shared" si="169"/>
        <v/>
      </c>
      <c r="AS84" s="48" t="str">
        <f t="shared" si="170"/>
        <v/>
      </c>
      <c r="AT84" s="48" t="str">
        <f t="shared" si="171"/>
        <v/>
      </c>
      <c r="AU84" s="84" t="str">
        <f t="shared" si="172"/>
        <v/>
      </c>
      <c r="AV84" s="82" t="str">
        <f t="shared" si="173"/>
        <v/>
      </c>
      <c r="AW84" s="48" t="str">
        <f t="shared" si="174"/>
        <v/>
      </c>
      <c r="AX84" s="48" t="str">
        <f t="shared" si="175"/>
        <v/>
      </c>
      <c r="AY84" s="84" t="str">
        <f t="shared" si="176"/>
        <v/>
      </c>
      <c r="AZ84" s="82" t="str">
        <f t="shared" si="177"/>
        <v/>
      </c>
      <c r="BA84" s="48" t="str">
        <f t="shared" si="178"/>
        <v/>
      </c>
      <c r="BB84" s="48" t="str">
        <f t="shared" si="179"/>
        <v/>
      </c>
      <c r="BC84" s="84" t="str">
        <f t="shared" si="180"/>
        <v/>
      </c>
      <c r="BD84" s="82" t="str">
        <f t="shared" si="181"/>
        <v/>
      </c>
      <c r="BE84" s="48" t="str">
        <f t="shared" si="182"/>
        <v/>
      </c>
      <c r="BF84" s="48" t="str">
        <f t="shared" si="183"/>
        <v/>
      </c>
      <c r="BG84" s="84" t="str">
        <f t="shared" si="184"/>
        <v/>
      </c>
      <c r="BH84" s="87" t="str">
        <f t="shared" si="185"/>
        <v/>
      </c>
      <c r="BI84" s="49" t="str">
        <f t="shared" si="186"/>
        <v/>
      </c>
      <c r="BJ84" s="49" t="str">
        <f t="shared" si="187"/>
        <v/>
      </c>
      <c r="BK84" s="89" t="str">
        <f t="shared" si="188"/>
        <v/>
      </c>
      <c r="BL84" s="87" t="str">
        <f t="shared" si="189"/>
        <v/>
      </c>
      <c r="BM84" s="49" t="str">
        <f t="shared" si="190"/>
        <v/>
      </c>
      <c r="BN84" s="49" t="str">
        <f t="shared" si="191"/>
        <v/>
      </c>
      <c r="BO84" s="89" t="str">
        <f t="shared" si="192"/>
        <v/>
      </c>
      <c r="BP84" s="87" t="str">
        <f t="shared" si="193"/>
        <v/>
      </c>
      <c r="BQ84" s="49" t="str">
        <f t="shared" si="194"/>
        <v/>
      </c>
      <c r="BR84" s="49" t="str">
        <f t="shared" si="195"/>
        <v/>
      </c>
      <c r="BS84" s="89" t="str">
        <f t="shared" si="196"/>
        <v/>
      </c>
      <c r="BT84" s="87"/>
    </row>
    <row r="85" spans="2:72">
      <c r="B85" s="81">
        <f>Weekly!B77</f>
        <v>0</v>
      </c>
      <c r="C85" s="90">
        <f>Weekly!C77</f>
        <v>0</v>
      </c>
      <c r="D85" s="90">
        <f>Weekly!D78</f>
        <v>0</v>
      </c>
      <c r="E85" s="91" t="e">
        <f>VLOOKUP(B85,Team!$B$4:$E$183,4,FALSE)</f>
        <v>#N/A</v>
      </c>
      <c r="F85" s="92" t="str">
        <f>Weekly!Y77</f>
        <v/>
      </c>
      <c r="G85" s="92" t="str">
        <f>Weekly!Z77</f>
        <v/>
      </c>
      <c r="H85" s="48" t="str">
        <f t="shared" si="133"/>
        <v/>
      </c>
      <c r="I85" s="48" t="str">
        <f t="shared" si="134"/>
        <v/>
      </c>
      <c r="J85" s="48" t="str">
        <f t="shared" si="135"/>
        <v/>
      </c>
      <c r="K85" s="84" t="str">
        <f t="shared" si="136"/>
        <v/>
      </c>
      <c r="L85" s="82" t="str">
        <f t="shared" si="137"/>
        <v/>
      </c>
      <c r="M85" s="48" t="str">
        <f t="shared" si="138"/>
        <v/>
      </c>
      <c r="N85" s="48" t="str">
        <f t="shared" si="139"/>
        <v/>
      </c>
      <c r="O85" s="84" t="str">
        <f t="shared" si="140"/>
        <v/>
      </c>
      <c r="P85" s="82" t="str">
        <f t="shared" si="141"/>
        <v/>
      </c>
      <c r="Q85" s="48" t="str">
        <f t="shared" si="142"/>
        <v/>
      </c>
      <c r="R85" s="48" t="str">
        <f t="shared" si="143"/>
        <v/>
      </c>
      <c r="S85" s="84" t="str">
        <f t="shared" si="144"/>
        <v/>
      </c>
      <c r="T85" s="82" t="str">
        <f t="shared" si="145"/>
        <v/>
      </c>
      <c r="U85" s="48" t="str">
        <f t="shared" si="146"/>
        <v/>
      </c>
      <c r="V85" s="48" t="str">
        <f t="shared" si="147"/>
        <v/>
      </c>
      <c r="W85" s="84" t="str">
        <f t="shared" si="148"/>
        <v/>
      </c>
      <c r="X85" s="82" t="str">
        <f t="shared" si="149"/>
        <v/>
      </c>
      <c r="Y85" s="48" t="str">
        <f t="shared" si="150"/>
        <v/>
      </c>
      <c r="Z85" s="48" t="str">
        <f t="shared" si="151"/>
        <v/>
      </c>
      <c r="AA85" s="84" t="str">
        <f t="shared" si="152"/>
        <v/>
      </c>
      <c r="AB85" s="82" t="str">
        <f t="shared" si="153"/>
        <v/>
      </c>
      <c r="AC85" s="48" t="str">
        <f t="shared" si="154"/>
        <v/>
      </c>
      <c r="AD85" s="48" t="str">
        <f t="shared" si="155"/>
        <v/>
      </c>
      <c r="AE85" s="84" t="str">
        <f t="shared" si="156"/>
        <v/>
      </c>
      <c r="AF85" s="82" t="str">
        <f t="shared" si="157"/>
        <v/>
      </c>
      <c r="AG85" s="48" t="str">
        <f t="shared" si="158"/>
        <v/>
      </c>
      <c r="AH85" s="48" t="str">
        <f t="shared" si="159"/>
        <v/>
      </c>
      <c r="AI85" s="84" t="str">
        <f t="shared" si="160"/>
        <v/>
      </c>
      <c r="AJ85" s="82" t="str">
        <f t="shared" si="161"/>
        <v/>
      </c>
      <c r="AK85" s="48" t="str">
        <f t="shared" si="162"/>
        <v/>
      </c>
      <c r="AL85" s="48" t="str">
        <f t="shared" si="163"/>
        <v/>
      </c>
      <c r="AM85" s="84" t="str">
        <f t="shared" si="164"/>
        <v/>
      </c>
      <c r="AN85" s="82" t="str">
        <f t="shared" si="165"/>
        <v/>
      </c>
      <c r="AO85" s="48" t="str">
        <f t="shared" si="166"/>
        <v/>
      </c>
      <c r="AP85" s="48" t="str">
        <f t="shared" si="167"/>
        <v/>
      </c>
      <c r="AQ85" s="84" t="str">
        <f t="shared" si="168"/>
        <v/>
      </c>
      <c r="AR85" s="82" t="str">
        <f t="shared" si="169"/>
        <v/>
      </c>
      <c r="AS85" s="48" t="str">
        <f t="shared" si="170"/>
        <v/>
      </c>
      <c r="AT85" s="48" t="str">
        <f t="shared" si="171"/>
        <v/>
      </c>
      <c r="AU85" s="84" t="str">
        <f t="shared" si="172"/>
        <v/>
      </c>
      <c r="AV85" s="82" t="str">
        <f t="shared" si="173"/>
        <v/>
      </c>
      <c r="AW85" s="48" t="str">
        <f t="shared" si="174"/>
        <v/>
      </c>
      <c r="AX85" s="48" t="str">
        <f t="shared" si="175"/>
        <v/>
      </c>
      <c r="AY85" s="84" t="str">
        <f t="shared" si="176"/>
        <v/>
      </c>
      <c r="AZ85" s="82" t="str">
        <f t="shared" si="177"/>
        <v/>
      </c>
      <c r="BA85" s="48" t="str">
        <f t="shared" si="178"/>
        <v/>
      </c>
      <c r="BB85" s="48" t="str">
        <f t="shared" si="179"/>
        <v/>
      </c>
      <c r="BC85" s="84" t="str">
        <f t="shared" si="180"/>
        <v/>
      </c>
      <c r="BD85" s="82" t="str">
        <f t="shared" si="181"/>
        <v/>
      </c>
      <c r="BE85" s="48" t="str">
        <f t="shared" si="182"/>
        <v/>
      </c>
      <c r="BF85" s="48" t="str">
        <f t="shared" si="183"/>
        <v/>
      </c>
      <c r="BG85" s="84" t="str">
        <f t="shared" si="184"/>
        <v/>
      </c>
      <c r="BH85" s="87" t="str">
        <f t="shared" si="185"/>
        <v/>
      </c>
      <c r="BI85" s="49" t="str">
        <f t="shared" si="186"/>
        <v/>
      </c>
      <c r="BJ85" s="49" t="str">
        <f t="shared" si="187"/>
        <v/>
      </c>
      <c r="BK85" s="89" t="str">
        <f t="shared" si="188"/>
        <v/>
      </c>
      <c r="BL85" s="87" t="str">
        <f t="shared" si="189"/>
        <v/>
      </c>
      <c r="BM85" s="49" t="str">
        <f t="shared" si="190"/>
        <v/>
      </c>
      <c r="BN85" s="49" t="str">
        <f t="shared" si="191"/>
        <v/>
      </c>
      <c r="BO85" s="89" t="str">
        <f t="shared" si="192"/>
        <v/>
      </c>
      <c r="BP85" s="87" t="str">
        <f t="shared" si="193"/>
        <v/>
      </c>
      <c r="BQ85" s="49" t="str">
        <f t="shared" si="194"/>
        <v/>
      </c>
      <c r="BR85" s="49" t="str">
        <f t="shared" si="195"/>
        <v/>
      </c>
      <c r="BS85" s="89" t="str">
        <f t="shared" si="196"/>
        <v/>
      </c>
      <c r="BT85" s="87"/>
    </row>
    <row r="86" spans="2:72">
      <c r="B86" s="81">
        <f>Weekly!B78</f>
        <v>0</v>
      </c>
      <c r="C86" s="90">
        <f>Weekly!C78</f>
        <v>0</v>
      </c>
      <c r="D86" s="90">
        <f>Weekly!D79</f>
        <v>0</v>
      </c>
      <c r="E86" s="91" t="e">
        <f>VLOOKUP(B86,Team!$B$4:$E$183,4,FALSE)</f>
        <v>#N/A</v>
      </c>
      <c r="F86" s="92" t="str">
        <f>Weekly!Y78</f>
        <v/>
      </c>
      <c r="G86" s="92" t="str">
        <f>Weekly!Z78</f>
        <v/>
      </c>
      <c r="H86" s="48" t="str">
        <f t="shared" si="133"/>
        <v/>
      </c>
      <c r="I86" s="48" t="str">
        <f t="shared" si="134"/>
        <v/>
      </c>
      <c r="J86" s="48" t="str">
        <f t="shared" si="135"/>
        <v/>
      </c>
      <c r="K86" s="84" t="str">
        <f t="shared" si="136"/>
        <v/>
      </c>
      <c r="L86" s="82" t="str">
        <f t="shared" si="137"/>
        <v/>
      </c>
      <c r="M86" s="48" t="str">
        <f t="shared" si="138"/>
        <v/>
      </c>
      <c r="N86" s="48" t="str">
        <f t="shared" si="139"/>
        <v/>
      </c>
      <c r="O86" s="84" t="str">
        <f t="shared" si="140"/>
        <v/>
      </c>
      <c r="P86" s="82" t="str">
        <f t="shared" si="141"/>
        <v/>
      </c>
      <c r="Q86" s="48" t="str">
        <f t="shared" si="142"/>
        <v/>
      </c>
      <c r="R86" s="48" t="str">
        <f t="shared" si="143"/>
        <v/>
      </c>
      <c r="S86" s="84" t="str">
        <f t="shared" si="144"/>
        <v/>
      </c>
      <c r="T86" s="82" t="str">
        <f t="shared" si="145"/>
        <v/>
      </c>
      <c r="U86" s="48" t="str">
        <f t="shared" si="146"/>
        <v/>
      </c>
      <c r="V86" s="48" t="str">
        <f t="shared" si="147"/>
        <v/>
      </c>
      <c r="W86" s="84" t="str">
        <f t="shared" si="148"/>
        <v/>
      </c>
      <c r="X86" s="82" t="str">
        <f t="shared" si="149"/>
        <v/>
      </c>
      <c r="Y86" s="48" t="str">
        <f t="shared" si="150"/>
        <v/>
      </c>
      <c r="Z86" s="48" t="str">
        <f t="shared" si="151"/>
        <v/>
      </c>
      <c r="AA86" s="84" t="str">
        <f t="shared" si="152"/>
        <v/>
      </c>
      <c r="AB86" s="82" t="str">
        <f t="shared" si="153"/>
        <v/>
      </c>
      <c r="AC86" s="48" t="str">
        <f t="shared" si="154"/>
        <v/>
      </c>
      <c r="AD86" s="48" t="str">
        <f t="shared" si="155"/>
        <v/>
      </c>
      <c r="AE86" s="84" t="str">
        <f t="shared" si="156"/>
        <v/>
      </c>
      <c r="AF86" s="82" t="str">
        <f t="shared" si="157"/>
        <v/>
      </c>
      <c r="AG86" s="48" t="str">
        <f t="shared" si="158"/>
        <v/>
      </c>
      <c r="AH86" s="48" t="str">
        <f t="shared" si="159"/>
        <v/>
      </c>
      <c r="AI86" s="84" t="str">
        <f t="shared" si="160"/>
        <v/>
      </c>
      <c r="AJ86" s="82" t="str">
        <f t="shared" si="161"/>
        <v/>
      </c>
      <c r="AK86" s="48" t="str">
        <f t="shared" si="162"/>
        <v/>
      </c>
      <c r="AL86" s="48" t="str">
        <f t="shared" si="163"/>
        <v/>
      </c>
      <c r="AM86" s="84" t="str">
        <f t="shared" si="164"/>
        <v/>
      </c>
      <c r="AN86" s="82" t="str">
        <f t="shared" si="165"/>
        <v/>
      </c>
      <c r="AO86" s="48" t="str">
        <f t="shared" si="166"/>
        <v/>
      </c>
      <c r="AP86" s="48" t="str">
        <f t="shared" si="167"/>
        <v/>
      </c>
      <c r="AQ86" s="84" t="str">
        <f t="shared" si="168"/>
        <v/>
      </c>
      <c r="AR86" s="82" t="str">
        <f t="shared" si="169"/>
        <v/>
      </c>
      <c r="AS86" s="48" t="str">
        <f t="shared" si="170"/>
        <v/>
      </c>
      <c r="AT86" s="48" t="str">
        <f t="shared" si="171"/>
        <v/>
      </c>
      <c r="AU86" s="84" t="str">
        <f t="shared" si="172"/>
        <v/>
      </c>
      <c r="AV86" s="82" t="str">
        <f t="shared" si="173"/>
        <v/>
      </c>
      <c r="AW86" s="48" t="str">
        <f t="shared" si="174"/>
        <v/>
      </c>
      <c r="AX86" s="48" t="str">
        <f t="shared" si="175"/>
        <v/>
      </c>
      <c r="AY86" s="84" t="str">
        <f t="shared" si="176"/>
        <v/>
      </c>
      <c r="AZ86" s="82" t="str">
        <f t="shared" si="177"/>
        <v/>
      </c>
      <c r="BA86" s="48" t="str">
        <f t="shared" si="178"/>
        <v/>
      </c>
      <c r="BB86" s="48" t="str">
        <f t="shared" si="179"/>
        <v/>
      </c>
      <c r="BC86" s="84" t="str">
        <f t="shared" si="180"/>
        <v/>
      </c>
      <c r="BD86" s="82" t="str">
        <f t="shared" si="181"/>
        <v/>
      </c>
      <c r="BE86" s="48" t="str">
        <f t="shared" si="182"/>
        <v/>
      </c>
      <c r="BF86" s="48" t="str">
        <f t="shared" si="183"/>
        <v/>
      </c>
      <c r="BG86" s="84" t="str">
        <f t="shared" si="184"/>
        <v/>
      </c>
      <c r="BH86" s="87" t="str">
        <f t="shared" si="185"/>
        <v/>
      </c>
      <c r="BI86" s="49" t="str">
        <f t="shared" si="186"/>
        <v/>
      </c>
      <c r="BJ86" s="49" t="str">
        <f t="shared" si="187"/>
        <v/>
      </c>
      <c r="BK86" s="89" t="str">
        <f t="shared" si="188"/>
        <v/>
      </c>
      <c r="BL86" s="87" t="str">
        <f t="shared" si="189"/>
        <v/>
      </c>
      <c r="BM86" s="49" t="str">
        <f t="shared" si="190"/>
        <v/>
      </c>
      <c r="BN86" s="49" t="str">
        <f t="shared" si="191"/>
        <v/>
      </c>
      <c r="BO86" s="89" t="str">
        <f t="shared" si="192"/>
        <v/>
      </c>
      <c r="BP86" s="87" t="str">
        <f t="shared" si="193"/>
        <v/>
      </c>
      <c r="BQ86" s="49" t="str">
        <f t="shared" si="194"/>
        <v/>
      </c>
      <c r="BR86" s="49" t="str">
        <f t="shared" si="195"/>
        <v/>
      </c>
      <c r="BS86" s="89" t="str">
        <f t="shared" si="196"/>
        <v/>
      </c>
      <c r="BT86" s="87"/>
    </row>
    <row r="87" spans="2:72">
      <c r="B87" s="81">
        <f>Weekly!B79</f>
        <v>0</v>
      </c>
      <c r="C87" s="90">
        <f>Weekly!C79</f>
        <v>0</v>
      </c>
      <c r="D87" s="90">
        <f>Weekly!D80</f>
        <v>0</v>
      </c>
      <c r="E87" s="91" t="e">
        <f>VLOOKUP(B87,Team!$B$4:$E$183,4,FALSE)</f>
        <v>#N/A</v>
      </c>
      <c r="F87" s="92" t="str">
        <f>Weekly!Y79</f>
        <v/>
      </c>
      <c r="G87" s="92" t="str">
        <f>Weekly!Z79</f>
        <v/>
      </c>
      <c r="H87" s="48" t="str">
        <f t="shared" si="133"/>
        <v/>
      </c>
      <c r="I87" s="48" t="str">
        <f t="shared" si="134"/>
        <v/>
      </c>
      <c r="J87" s="48" t="str">
        <f t="shared" si="135"/>
        <v/>
      </c>
      <c r="K87" s="84" t="str">
        <f t="shared" si="136"/>
        <v/>
      </c>
      <c r="L87" s="82" t="str">
        <f t="shared" si="137"/>
        <v/>
      </c>
      <c r="M87" s="48" t="str">
        <f t="shared" si="138"/>
        <v/>
      </c>
      <c r="N87" s="48" t="str">
        <f t="shared" si="139"/>
        <v/>
      </c>
      <c r="O87" s="84" t="str">
        <f t="shared" si="140"/>
        <v/>
      </c>
      <c r="P87" s="82" t="str">
        <f t="shared" si="141"/>
        <v/>
      </c>
      <c r="Q87" s="48" t="str">
        <f t="shared" si="142"/>
        <v/>
      </c>
      <c r="R87" s="48" t="str">
        <f t="shared" si="143"/>
        <v/>
      </c>
      <c r="S87" s="84" t="str">
        <f t="shared" si="144"/>
        <v/>
      </c>
      <c r="T87" s="82" t="str">
        <f t="shared" si="145"/>
        <v/>
      </c>
      <c r="U87" s="48" t="str">
        <f t="shared" si="146"/>
        <v/>
      </c>
      <c r="V87" s="48" t="str">
        <f t="shared" si="147"/>
        <v/>
      </c>
      <c r="W87" s="84" t="str">
        <f t="shared" si="148"/>
        <v/>
      </c>
      <c r="X87" s="82" t="str">
        <f t="shared" si="149"/>
        <v/>
      </c>
      <c r="Y87" s="48" t="str">
        <f t="shared" si="150"/>
        <v/>
      </c>
      <c r="Z87" s="48" t="str">
        <f t="shared" si="151"/>
        <v/>
      </c>
      <c r="AA87" s="84" t="str">
        <f t="shared" si="152"/>
        <v/>
      </c>
      <c r="AB87" s="82" t="str">
        <f t="shared" si="153"/>
        <v/>
      </c>
      <c r="AC87" s="48" t="str">
        <f t="shared" si="154"/>
        <v/>
      </c>
      <c r="AD87" s="48" t="str">
        <f t="shared" si="155"/>
        <v/>
      </c>
      <c r="AE87" s="84" t="str">
        <f t="shared" si="156"/>
        <v/>
      </c>
      <c r="AF87" s="82" t="str">
        <f t="shared" si="157"/>
        <v/>
      </c>
      <c r="AG87" s="48" t="str">
        <f t="shared" si="158"/>
        <v/>
      </c>
      <c r="AH87" s="48" t="str">
        <f t="shared" si="159"/>
        <v/>
      </c>
      <c r="AI87" s="84" t="str">
        <f t="shared" si="160"/>
        <v/>
      </c>
      <c r="AJ87" s="82" t="str">
        <f t="shared" si="161"/>
        <v/>
      </c>
      <c r="AK87" s="48" t="str">
        <f t="shared" si="162"/>
        <v/>
      </c>
      <c r="AL87" s="48" t="str">
        <f t="shared" si="163"/>
        <v/>
      </c>
      <c r="AM87" s="84" t="str">
        <f t="shared" si="164"/>
        <v/>
      </c>
      <c r="AN87" s="82" t="str">
        <f t="shared" si="165"/>
        <v/>
      </c>
      <c r="AO87" s="48" t="str">
        <f t="shared" si="166"/>
        <v/>
      </c>
      <c r="AP87" s="48" t="str">
        <f t="shared" si="167"/>
        <v/>
      </c>
      <c r="AQ87" s="84" t="str">
        <f t="shared" si="168"/>
        <v/>
      </c>
      <c r="AR87" s="82" t="str">
        <f t="shared" si="169"/>
        <v/>
      </c>
      <c r="AS87" s="48" t="str">
        <f t="shared" si="170"/>
        <v/>
      </c>
      <c r="AT87" s="48" t="str">
        <f t="shared" si="171"/>
        <v/>
      </c>
      <c r="AU87" s="84" t="str">
        <f t="shared" si="172"/>
        <v/>
      </c>
      <c r="AV87" s="82" t="str">
        <f t="shared" si="173"/>
        <v/>
      </c>
      <c r="AW87" s="48" t="str">
        <f t="shared" si="174"/>
        <v/>
      </c>
      <c r="AX87" s="48" t="str">
        <f t="shared" si="175"/>
        <v/>
      </c>
      <c r="AY87" s="84" t="str">
        <f t="shared" si="176"/>
        <v/>
      </c>
      <c r="AZ87" s="82" t="str">
        <f t="shared" si="177"/>
        <v/>
      </c>
      <c r="BA87" s="48" t="str">
        <f t="shared" si="178"/>
        <v/>
      </c>
      <c r="BB87" s="48" t="str">
        <f t="shared" si="179"/>
        <v/>
      </c>
      <c r="BC87" s="84" t="str">
        <f t="shared" si="180"/>
        <v/>
      </c>
      <c r="BD87" s="82" t="str">
        <f t="shared" si="181"/>
        <v/>
      </c>
      <c r="BE87" s="48" t="str">
        <f t="shared" si="182"/>
        <v/>
      </c>
      <c r="BF87" s="48" t="str">
        <f t="shared" si="183"/>
        <v/>
      </c>
      <c r="BG87" s="84" t="str">
        <f t="shared" si="184"/>
        <v/>
      </c>
      <c r="BH87" s="87" t="str">
        <f t="shared" si="185"/>
        <v/>
      </c>
      <c r="BI87" s="49" t="str">
        <f t="shared" si="186"/>
        <v/>
      </c>
      <c r="BJ87" s="49" t="str">
        <f t="shared" si="187"/>
        <v/>
      </c>
      <c r="BK87" s="89" t="str">
        <f t="shared" si="188"/>
        <v/>
      </c>
      <c r="BL87" s="87" t="str">
        <f t="shared" si="189"/>
        <v/>
      </c>
      <c r="BM87" s="49" t="str">
        <f t="shared" si="190"/>
        <v/>
      </c>
      <c r="BN87" s="49" t="str">
        <f t="shared" si="191"/>
        <v/>
      </c>
      <c r="BO87" s="89" t="str">
        <f t="shared" si="192"/>
        <v/>
      </c>
      <c r="BP87" s="87" t="str">
        <f t="shared" si="193"/>
        <v/>
      </c>
      <c r="BQ87" s="49" t="str">
        <f t="shared" si="194"/>
        <v/>
      </c>
      <c r="BR87" s="49" t="str">
        <f t="shared" si="195"/>
        <v/>
      </c>
      <c r="BS87" s="89" t="str">
        <f t="shared" si="196"/>
        <v/>
      </c>
      <c r="BT87" s="87"/>
    </row>
    <row r="88" spans="2:72">
      <c r="B88" s="81">
        <f>Weekly!B80</f>
        <v>0</v>
      </c>
      <c r="C88" s="90">
        <f>Weekly!C80</f>
        <v>0</v>
      </c>
      <c r="D88" s="90">
        <f>Weekly!D81</f>
        <v>0</v>
      </c>
      <c r="E88" s="91" t="e">
        <f>VLOOKUP(B88,Team!$B$4:$E$183,4,FALSE)</f>
        <v>#N/A</v>
      </c>
      <c r="F88" s="92" t="str">
        <f>Weekly!Y80</f>
        <v/>
      </c>
      <c r="G88" s="92" t="str">
        <f>Weekly!Z80</f>
        <v/>
      </c>
      <c r="H88" s="48" t="str">
        <f t="shared" si="133"/>
        <v/>
      </c>
      <c r="I88" s="48" t="str">
        <f t="shared" si="134"/>
        <v/>
      </c>
      <c r="J88" s="48" t="str">
        <f t="shared" si="135"/>
        <v/>
      </c>
      <c r="K88" s="84" t="str">
        <f t="shared" si="136"/>
        <v/>
      </c>
      <c r="L88" s="82" t="str">
        <f t="shared" si="137"/>
        <v/>
      </c>
      <c r="M88" s="48" t="str">
        <f t="shared" si="138"/>
        <v/>
      </c>
      <c r="N88" s="48" t="str">
        <f t="shared" si="139"/>
        <v/>
      </c>
      <c r="O88" s="84" t="str">
        <f t="shared" si="140"/>
        <v/>
      </c>
      <c r="P88" s="82" t="str">
        <f t="shared" si="141"/>
        <v/>
      </c>
      <c r="Q88" s="48" t="str">
        <f t="shared" si="142"/>
        <v/>
      </c>
      <c r="R88" s="48" t="str">
        <f t="shared" si="143"/>
        <v/>
      </c>
      <c r="S88" s="84" t="str">
        <f t="shared" si="144"/>
        <v/>
      </c>
      <c r="T88" s="82" t="str">
        <f t="shared" si="145"/>
        <v/>
      </c>
      <c r="U88" s="48" t="str">
        <f t="shared" si="146"/>
        <v/>
      </c>
      <c r="V88" s="48" t="str">
        <f t="shared" si="147"/>
        <v/>
      </c>
      <c r="W88" s="84" t="str">
        <f t="shared" si="148"/>
        <v/>
      </c>
      <c r="X88" s="82" t="str">
        <f t="shared" si="149"/>
        <v/>
      </c>
      <c r="Y88" s="48" t="str">
        <f t="shared" si="150"/>
        <v/>
      </c>
      <c r="Z88" s="48" t="str">
        <f t="shared" si="151"/>
        <v/>
      </c>
      <c r="AA88" s="84" t="str">
        <f t="shared" si="152"/>
        <v/>
      </c>
      <c r="AB88" s="82" t="str">
        <f t="shared" si="153"/>
        <v/>
      </c>
      <c r="AC88" s="48" t="str">
        <f t="shared" si="154"/>
        <v/>
      </c>
      <c r="AD88" s="48" t="str">
        <f t="shared" si="155"/>
        <v/>
      </c>
      <c r="AE88" s="84" t="str">
        <f t="shared" si="156"/>
        <v/>
      </c>
      <c r="AF88" s="82" t="str">
        <f t="shared" si="157"/>
        <v/>
      </c>
      <c r="AG88" s="48" t="str">
        <f t="shared" si="158"/>
        <v/>
      </c>
      <c r="AH88" s="48" t="str">
        <f t="shared" si="159"/>
        <v/>
      </c>
      <c r="AI88" s="84" t="str">
        <f t="shared" si="160"/>
        <v/>
      </c>
      <c r="AJ88" s="82" t="str">
        <f t="shared" si="161"/>
        <v/>
      </c>
      <c r="AK88" s="48" t="str">
        <f t="shared" si="162"/>
        <v/>
      </c>
      <c r="AL88" s="48" t="str">
        <f t="shared" si="163"/>
        <v/>
      </c>
      <c r="AM88" s="84" t="str">
        <f t="shared" si="164"/>
        <v/>
      </c>
      <c r="AN88" s="82" t="str">
        <f t="shared" si="165"/>
        <v/>
      </c>
      <c r="AO88" s="48" t="str">
        <f t="shared" si="166"/>
        <v/>
      </c>
      <c r="AP88" s="48" t="str">
        <f t="shared" si="167"/>
        <v/>
      </c>
      <c r="AQ88" s="84" t="str">
        <f t="shared" si="168"/>
        <v/>
      </c>
      <c r="AR88" s="82" t="str">
        <f t="shared" si="169"/>
        <v/>
      </c>
      <c r="AS88" s="48" t="str">
        <f t="shared" si="170"/>
        <v/>
      </c>
      <c r="AT88" s="48" t="str">
        <f t="shared" si="171"/>
        <v/>
      </c>
      <c r="AU88" s="84" t="str">
        <f t="shared" si="172"/>
        <v/>
      </c>
      <c r="AV88" s="82" t="str">
        <f t="shared" si="173"/>
        <v/>
      </c>
      <c r="AW88" s="48" t="str">
        <f t="shared" si="174"/>
        <v/>
      </c>
      <c r="AX88" s="48" t="str">
        <f t="shared" si="175"/>
        <v/>
      </c>
      <c r="AY88" s="84" t="str">
        <f t="shared" si="176"/>
        <v/>
      </c>
      <c r="AZ88" s="82" t="str">
        <f t="shared" si="177"/>
        <v/>
      </c>
      <c r="BA88" s="48" t="str">
        <f t="shared" si="178"/>
        <v/>
      </c>
      <c r="BB88" s="48" t="str">
        <f t="shared" si="179"/>
        <v/>
      </c>
      <c r="BC88" s="84" t="str">
        <f t="shared" si="180"/>
        <v/>
      </c>
      <c r="BD88" s="82" t="str">
        <f t="shared" si="181"/>
        <v/>
      </c>
      <c r="BE88" s="48" t="str">
        <f t="shared" si="182"/>
        <v/>
      </c>
      <c r="BF88" s="48" t="str">
        <f t="shared" si="183"/>
        <v/>
      </c>
      <c r="BG88" s="84" t="str">
        <f t="shared" si="184"/>
        <v/>
      </c>
      <c r="BH88" s="87" t="str">
        <f t="shared" si="185"/>
        <v/>
      </c>
      <c r="BI88" s="49" t="str">
        <f t="shared" si="186"/>
        <v/>
      </c>
      <c r="BJ88" s="49" t="str">
        <f t="shared" si="187"/>
        <v/>
      </c>
      <c r="BK88" s="89" t="str">
        <f t="shared" si="188"/>
        <v/>
      </c>
      <c r="BL88" s="87" t="str">
        <f t="shared" si="189"/>
        <v/>
      </c>
      <c r="BM88" s="49" t="str">
        <f t="shared" si="190"/>
        <v/>
      </c>
      <c r="BN88" s="49" t="str">
        <f t="shared" si="191"/>
        <v/>
      </c>
      <c r="BO88" s="89" t="str">
        <f t="shared" si="192"/>
        <v/>
      </c>
      <c r="BP88" s="87" t="str">
        <f t="shared" si="193"/>
        <v/>
      </c>
      <c r="BQ88" s="49" t="str">
        <f t="shared" si="194"/>
        <v/>
      </c>
      <c r="BR88" s="49" t="str">
        <f t="shared" si="195"/>
        <v/>
      </c>
      <c r="BS88" s="89" t="str">
        <f t="shared" si="196"/>
        <v/>
      </c>
      <c r="BT88" s="87"/>
    </row>
    <row r="89" spans="2:72">
      <c r="B89" s="81">
        <f>Weekly!B81</f>
        <v>0</v>
      </c>
      <c r="C89" s="90">
        <f>Weekly!C81</f>
        <v>0</v>
      </c>
      <c r="D89" s="90">
        <f>Weekly!D82</f>
        <v>0</v>
      </c>
      <c r="E89" s="91" t="e">
        <f>VLOOKUP(B89,Team!$B$4:$E$183,4,FALSE)</f>
        <v>#N/A</v>
      </c>
      <c r="F89" s="92" t="str">
        <f>Weekly!Y81</f>
        <v/>
      </c>
      <c r="G89" s="92" t="str">
        <f>Weekly!Z81</f>
        <v/>
      </c>
      <c r="H89" s="48" t="str">
        <f t="shared" si="133"/>
        <v/>
      </c>
      <c r="I89" s="48" t="str">
        <f t="shared" si="134"/>
        <v/>
      </c>
      <c r="J89" s="48" t="str">
        <f t="shared" si="135"/>
        <v/>
      </c>
      <c r="K89" s="84" t="str">
        <f t="shared" si="136"/>
        <v/>
      </c>
      <c r="L89" s="82" t="str">
        <f t="shared" si="137"/>
        <v/>
      </c>
      <c r="M89" s="48" t="str">
        <f t="shared" si="138"/>
        <v/>
      </c>
      <c r="N89" s="48" t="str">
        <f t="shared" si="139"/>
        <v/>
      </c>
      <c r="O89" s="84" t="str">
        <f t="shared" si="140"/>
        <v/>
      </c>
      <c r="P89" s="82" t="str">
        <f t="shared" si="141"/>
        <v/>
      </c>
      <c r="Q89" s="48" t="str">
        <f t="shared" si="142"/>
        <v/>
      </c>
      <c r="R89" s="48" t="str">
        <f t="shared" si="143"/>
        <v/>
      </c>
      <c r="S89" s="84" t="str">
        <f t="shared" si="144"/>
        <v/>
      </c>
      <c r="T89" s="82" t="str">
        <f t="shared" si="145"/>
        <v/>
      </c>
      <c r="U89" s="48" t="str">
        <f t="shared" si="146"/>
        <v/>
      </c>
      <c r="V89" s="48" t="str">
        <f t="shared" si="147"/>
        <v/>
      </c>
      <c r="W89" s="84" t="str">
        <f t="shared" si="148"/>
        <v/>
      </c>
      <c r="X89" s="82" t="str">
        <f t="shared" si="149"/>
        <v/>
      </c>
      <c r="Y89" s="48" t="str">
        <f t="shared" si="150"/>
        <v/>
      </c>
      <c r="Z89" s="48" t="str">
        <f t="shared" si="151"/>
        <v/>
      </c>
      <c r="AA89" s="84" t="str">
        <f t="shared" si="152"/>
        <v/>
      </c>
      <c r="AB89" s="82" t="str">
        <f t="shared" si="153"/>
        <v/>
      </c>
      <c r="AC89" s="48" t="str">
        <f t="shared" si="154"/>
        <v/>
      </c>
      <c r="AD89" s="48" t="str">
        <f t="shared" si="155"/>
        <v/>
      </c>
      <c r="AE89" s="84" t="str">
        <f t="shared" si="156"/>
        <v/>
      </c>
      <c r="AF89" s="82" t="str">
        <f t="shared" si="157"/>
        <v/>
      </c>
      <c r="AG89" s="48" t="str">
        <f t="shared" si="158"/>
        <v/>
      </c>
      <c r="AH89" s="48" t="str">
        <f t="shared" si="159"/>
        <v/>
      </c>
      <c r="AI89" s="84" t="str">
        <f t="shared" si="160"/>
        <v/>
      </c>
      <c r="AJ89" s="82" t="str">
        <f t="shared" si="161"/>
        <v/>
      </c>
      <c r="AK89" s="48" t="str">
        <f t="shared" si="162"/>
        <v/>
      </c>
      <c r="AL89" s="48" t="str">
        <f t="shared" si="163"/>
        <v/>
      </c>
      <c r="AM89" s="84" t="str">
        <f t="shared" si="164"/>
        <v/>
      </c>
      <c r="AN89" s="82" t="str">
        <f t="shared" si="165"/>
        <v/>
      </c>
      <c r="AO89" s="48" t="str">
        <f t="shared" si="166"/>
        <v/>
      </c>
      <c r="AP89" s="48" t="str">
        <f t="shared" si="167"/>
        <v/>
      </c>
      <c r="AQ89" s="84" t="str">
        <f t="shared" si="168"/>
        <v/>
      </c>
      <c r="AR89" s="82" t="str">
        <f t="shared" si="169"/>
        <v/>
      </c>
      <c r="AS89" s="48" t="str">
        <f t="shared" si="170"/>
        <v/>
      </c>
      <c r="AT89" s="48" t="str">
        <f t="shared" si="171"/>
        <v/>
      </c>
      <c r="AU89" s="84" t="str">
        <f t="shared" si="172"/>
        <v/>
      </c>
      <c r="AV89" s="82" t="str">
        <f t="shared" si="173"/>
        <v/>
      </c>
      <c r="AW89" s="48" t="str">
        <f t="shared" si="174"/>
        <v/>
      </c>
      <c r="AX89" s="48" t="str">
        <f t="shared" si="175"/>
        <v/>
      </c>
      <c r="AY89" s="84" t="str">
        <f t="shared" si="176"/>
        <v/>
      </c>
      <c r="AZ89" s="82" t="str">
        <f t="shared" si="177"/>
        <v/>
      </c>
      <c r="BA89" s="48" t="str">
        <f t="shared" si="178"/>
        <v/>
      </c>
      <c r="BB89" s="48" t="str">
        <f t="shared" si="179"/>
        <v/>
      </c>
      <c r="BC89" s="84" t="str">
        <f t="shared" si="180"/>
        <v/>
      </c>
      <c r="BD89" s="82" t="str">
        <f t="shared" si="181"/>
        <v/>
      </c>
      <c r="BE89" s="48" t="str">
        <f t="shared" si="182"/>
        <v/>
      </c>
      <c r="BF89" s="48" t="str">
        <f t="shared" si="183"/>
        <v/>
      </c>
      <c r="BG89" s="84" t="str">
        <f t="shared" si="184"/>
        <v/>
      </c>
      <c r="BH89" s="87" t="str">
        <f t="shared" si="185"/>
        <v/>
      </c>
      <c r="BI89" s="49" t="str">
        <f t="shared" si="186"/>
        <v/>
      </c>
      <c r="BJ89" s="49" t="str">
        <f t="shared" si="187"/>
        <v/>
      </c>
      <c r="BK89" s="89" t="str">
        <f t="shared" si="188"/>
        <v/>
      </c>
      <c r="BL89" s="87" t="str">
        <f t="shared" si="189"/>
        <v/>
      </c>
      <c r="BM89" s="49" t="str">
        <f t="shared" si="190"/>
        <v/>
      </c>
      <c r="BN89" s="49" t="str">
        <f t="shared" si="191"/>
        <v/>
      </c>
      <c r="BO89" s="89" t="str">
        <f t="shared" si="192"/>
        <v/>
      </c>
      <c r="BP89" s="87" t="str">
        <f t="shared" si="193"/>
        <v/>
      </c>
      <c r="BQ89" s="49" t="str">
        <f t="shared" si="194"/>
        <v/>
      </c>
      <c r="BR89" s="49" t="str">
        <f t="shared" si="195"/>
        <v/>
      </c>
      <c r="BS89" s="89" t="str">
        <f t="shared" si="196"/>
        <v/>
      </c>
      <c r="BT89" s="87"/>
    </row>
    <row r="90" spans="2:72">
      <c r="B90" s="81">
        <f>Weekly!B82</f>
        <v>0</v>
      </c>
      <c r="C90" s="90">
        <f>Weekly!C82</f>
        <v>0</v>
      </c>
      <c r="D90" s="90">
        <f>Weekly!D83</f>
        <v>0</v>
      </c>
      <c r="E90" s="91" t="e">
        <f>VLOOKUP(B90,Team!$B$4:$E$183,4,FALSE)</f>
        <v>#N/A</v>
      </c>
      <c r="F90" s="92" t="str">
        <f>Weekly!Y82</f>
        <v/>
      </c>
      <c r="G90" s="92" t="str">
        <f>Weekly!Z82</f>
        <v/>
      </c>
      <c r="H90" s="48" t="str">
        <f t="shared" si="133"/>
        <v/>
      </c>
      <c r="I90" s="48" t="str">
        <f t="shared" si="134"/>
        <v/>
      </c>
      <c r="J90" s="48" t="str">
        <f t="shared" si="135"/>
        <v/>
      </c>
      <c r="K90" s="84" t="str">
        <f t="shared" si="136"/>
        <v/>
      </c>
      <c r="L90" s="82" t="str">
        <f t="shared" si="137"/>
        <v/>
      </c>
      <c r="M90" s="48" t="str">
        <f t="shared" si="138"/>
        <v/>
      </c>
      <c r="N90" s="48" t="str">
        <f t="shared" si="139"/>
        <v/>
      </c>
      <c r="O90" s="84" t="str">
        <f t="shared" si="140"/>
        <v/>
      </c>
      <c r="P90" s="82" t="str">
        <f t="shared" si="141"/>
        <v/>
      </c>
      <c r="Q90" s="48" t="str">
        <f t="shared" si="142"/>
        <v/>
      </c>
      <c r="R90" s="48" t="str">
        <f t="shared" si="143"/>
        <v/>
      </c>
      <c r="S90" s="84" t="str">
        <f t="shared" si="144"/>
        <v/>
      </c>
      <c r="T90" s="82" t="str">
        <f t="shared" si="145"/>
        <v/>
      </c>
      <c r="U90" s="48" t="str">
        <f t="shared" si="146"/>
        <v/>
      </c>
      <c r="V90" s="48" t="str">
        <f t="shared" si="147"/>
        <v/>
      </c>
      <c r="W90" s="84" t="str">
        <f t="shared" si="148"/>
        <v/>
      </c>
      <c r="X90" s="82" t="str">
        <f t="shared" si="149"/>
        <v/>
      </c>
      <c r="Y90" s="48" t="str">
        <f t="shared" si="150"/>
        <v/>
      </c>
      <c r="Z90" s="48" t="str">
        <f t="shared" si="151"/>
        <v/>
      </c>
      <c r="AA90" s="84" t="str">
        <f t="shared" si="152"/>
        <v/>
      </c>
      <c r="AB90" s="82" t="str">
        <f t="shared" si="153"/>
        <v/>
      </c>
      <c r="AC90" s="48" t="str">
        <f t="shared" si="154"/>
        <v/>
      </c>
      <c r="AD90" s="48" t="str">
        <f t="shared" si="155"/>
        <v/>
      </c>
      <c r="AE90" s="84" t="str">
        <f t="shared" si="156"/>
        <v/>
      </c>
      <c r="AF90" s="82" t="str">
        <f t="shared" si="157"/>
        <v/>
      </c>
      <c r="AG90" s="48" t="str">
        <f t="shared" si="158"/>
        <v/>
      </c>
      <c r="AH90" s="48" t="str">
        <f t="shared" si="159"/>
        <v/>
      </c>
      <c r="AI90" s="84" t="str">
        <f t="shared" si="160"/>
        <v/>
      </c>
      <c r="AJ90" s="82" t="str">
        <f t="shared" si="161"/>
        <v/>
      </c>
      <c r="AK90" s="48" t="str">
        <f t="shared" si="162"/>
        <v/>
      </c>
      <c r="AL90" s="48" t="str">
        <f t="shared" si="163"/>
        <v/>
      </c>
      <c r="AM90" s="84" t="str">
        <f t="shared" si="164"/>
        <v/>
      </c>
      <c r="AN90" s="82" t="str">
        <f t="shared" si="165"/>
        <v/>
      </c>
      <c r="AO90" s="48" t="str">
        <f t="shared" si="166"/>
        <v/>
      </c>
      <c r="AP90" s="48" t="str">
        <f t="shared" si="167"/>
        <v/>
      </c>
      <c r="AQ90" s="84" t="str">
        <f t="shared" si="168"/>
        <v/>
      </c>
      <c r="AR90" s="82" t="str">
        <f t="shared" si="169"/>
        <v/>
      </c>
      <c r="AS90" s="48" t="str">
        <f t="shared" si="170"/>
        <v/>
      </c>
      <c r="AT90" s="48" t="str">
        <f t="shared" si="171"/>
        <v/>
      </c>
      <c r="AU90" s="84" t="str">
        <f t="shared" si="172"/>
        <v/>
      </c>
      <c r="AV90" s="82" t="str">
        <f t="shared" si="173"/>
        <v/>
      </c>
      <c r="AW90" s="48" t="str">
        <f t="shared" si="174"/>
        <v/>
      </c>
      <c r="AX90" s="48" t="str">
        <f t="shared" si="175"/>
        <v/>
      </c>
      <c r="AY90" s="84" t="str">
        <f t="shared" si="176"/>
        <v/>
      </c>
      <c r="AZ90" s="82" t="str">
        <f t="shared" si="177"/>
        <v/>
      </c>
      <c r="BA90" s="48" t="str">
        <f t="shared" si="178"/>
        <v/>
      </c>
      <c r="BB90" s="48" t="str">
        <f t="shared" si="179"/>
        <v/>
      </c>
      <c r="BC90" s="84" t="str">
        <f t="shared" si="180"/>
        <v/>
      </c>
      <c r="BD90" s="82" t="str">
        <f t="shared" si="181"/>
        <v/>
      </c>
      <c r="BE90" s="48" t="str">
        <f t="shared" si="182"/>
        <v/>
      </c>
      <c r="BF90" s="48" t="str">
        <f t="shared" si="183"/>
        <v/>
      </c>
      <c r="BG90" s="84" t="str">
        <f t="shared" si="184"/>
        <v/>
      </c>
      <c r="BH90" s="87" t="str">
        <f t="shared" si="185"/>
        <v/>
      </c>
      <c r="BI90" s="49" t="str">
        <f t="shared" si="186"/>
        <v/>
      </c>
      <c r="BJ90" s="49" t="str">
        <f t="shared" si="187"/>
        <v/>
      </c>
      <c r="BK90" s="89" t="str">
        <f t="shared" si="188"/>
        <v/>
      </c>
      <c r="BL90" s="87" t="str">
        <f t="shared" si="189"/>
        <v/>
      </c>
      <c r="BM90" s="49" t="str">
        <f t="shared" si="190"/>
        <v/>
      </c>
      <c r="BN90" s="49" t="str">
        <f t="shared" si="191"/>
        <v/>
      </c>
      <c r="BO90" s="89" t="str">
        <f t="shared" si="192"/>
        <v/>
      </c>
      <c r="BP90" s="87" t="str">
        <f t="shared" si="193"/>
        <v/>
      </c>
      <c r="BQ90" s="49" t="str">
        <f t="shared" si="194"/>
        <v/>
      </c>
      <c r="BR90" s="49" t="str">
        <f t="shared" si="195"/>
        <v/>
      </c>
      <c r="BS90" s="89" t="str">
        <f t="shared" si="196"/>
        <v/>
      </c>
      <c r="BT90" s="87"/>
    </row>
    <row r="91" spans="2:72">
      <c r="B91" s="81">
        <f>Weekly!B83</f>
        <v>0</v>
      </c>
      <c r="C91" s="90">
        <f>Weekly!C83</f>
        <v>0</v>
      </c>
      <c r="D91" s="90">
        <f>Weekly!D84</f>
        <v>0</v>
      </c>
      <c r="E91" s="91" t="e">
        <f>VLOOKUP(B91,Team!$B$4:$E$183,4,FALSE)</f>
        <v>#N/A</v>
      </c>
      <c r="F91" s="92" t="str">
        <f>Weekly!Y83</f>
        <v/>
      </c>
      <c r="G91" s="92" t="str">
        <f>Weekly!Z83</f>
        <v/>
      </c>
      <c r="H91" s="48" t="str">
        <f t="shared" si="133"/>
        <v/>
      </c>
      <c r="I91" s="48" t="str">
        <f t="shared" si="134"/>
        <v/>
      </c>
      <c r="J91" s="48" t="str">
        <f t="shared" si="135"/>
        <v/>
      </c>
      <c r="K91" s="84" t="str">
        <f t="shared" si="136"/>
        <v/>
      </c>
      <c r="L91" s="82" t="str">
        <f t="shared" si="137"/>
        <v/>
      </c>
      <c r="M91" s="48" t="str">
        <f t="shared" si="138"/>
        <v/>
      </c>
      <c r="N91" s="48" t="str">
        <f t="shared" si="139"/>
        <v/>
      </c>
      <c r="O91" s="84" t="str">
        <f t="shared" si="140"/>
        <v/>
      </c>
      <c r="P91" s="82" t="str">
        <f t="shared" si="141"/>
        <v/>
      </c>
      <c r="Q91" s="48" t="str">
        <f t="shared" si="142"/>
        <v/>
      </c>
      <c r="R91" s="48" t="str">
        <f t="shared" si="143"/>
        <v/>
      </c>
      <c r="S91" s="84" t="str">
        <f t="shared" si="144"/>
        <v/>
      </c>
      <c r="T91" s="82" t="str">
        <f t="shared" si="145"/>
        <v/>
      </c>
      <c r="U91" s="48" t="str">
        <f t="shared" si="146"/>
        <v/>
      </c>
      <c r="V91" s="48" t="str">
        <f t="shared" si="147"/>
        <v/>
      </c>
      <c r="W91" s="84" t="str">
        <f t="shared" si="148"/>
        <v/>
      </c>
      <c r="X91" s="82" t="str">
        <f t="shared" si="149"/>
        <v/>
      </c>
      <c r="Y91" s="48" t="str">
        <f t="shared" si="150"/>
        <v/>
      </c>
      <c r="Z91" s="48" t="str">
        <f t="shared" si="151"/>
        <v/>
      </c>
      <c r="AA91" s="84" t="str">
        <f t="shared" si="152"/>
        <v/>
      </c>
      <c r="AB91" s="82" t="str">
        <f t="shared" si="153"/>
        <v/>
      </c>
      <c r="AC91" s="48" t="str">
        <f t="shared" si="154"/>
        <v/>
      </c>
      <c r="AD91" s="48" t="str">
        <f t="shared" si="155"/>
        <v/>
      </c>
      <c r="AE91" s="84" t="str">
        <f t="shared" si="156"/>
        <v/>
      </c>
      <c r="AF91" s="82" t="str">
        <f t="shared" si="157"/>
        <v/>
      </c>
      <c r="AG91" s="48" t="str">
        <f t="shared" si="158"/>
        <v/>
      </c>
      <c r="AH91" s="48" t="str">
        <f t="shared" si="159"/>
        <v/>
      </c>
      <c r="AI91" s="84" t="str">
        <f t="shared" si="160"/>
        <v/>
      </c>
      <c r="AJ91" s="82" t="str">
        <f t="shared" si="161"/>
        <v/>
      </c>
      <c r="AK91" s="48" t="str">
        <f t="shared" si="162"/>
        <v/>
      </c>
      <c r="AL91" s="48" t="str">
        <f t="shared" si="163"/>
        <v/>
      </c>
      <c r="AM91" s="84" t="str">
        <f t="shared" si="164"/>
        <v/>
      </c>
      <c r="AN91" s="82" t="str">
        <f t="shared" si="165"/>
        <v/>
      </c>
      <c r="AO91" s="48" t="str">
        <f t="shared" si="166"/>
        <v/>
      </c>
      <c r="AP91" s="48" t="str">
        <f t="shared" si="167"/>
        <v/>
      </c>
      <c r="AQ91" s="84" t="str">
        <f t="shared" si="168"/>
        <v/>
      </c>
      <c r="AR91" s="82" t="str">
        <f t="shared" si="169"/>
        <v/>
      </c>
      <c r="AS91" s="48" t="str">
        <f t="shared" si="170"/>
        <v/>
      </c>
      <c r="AT91" s="48" t="str">
        <f t="shared" si="171"/>
        <v/>
      </c>
      <c r="AU91" s="84" t="str">
        <f t="shared" si="172"/>
        <v/>
      </c>
      <c r="AV91" s="82" t="str">
        <f t="shared" si="173"/>
        <v/>
      </c>
      <c r="AW91" s="48" t="str">
        <f t="shared" si="174"/>
        <v/>
      </c>
      <c r="AX91" s="48" t="str">
        <f t="shared" si="175"/>
        <v/>
      </c>
      <c r="AY91" s="84" t="str">
        <f t="shared" si="176"/>
        <v/>
      </c>
      <c r="AZ91" s="82" t="str">
        <f t="shared" si="177"/>
        <v/>
      </c>
      <c r="BA91" s="48" t="str">
        <f t="shared" si="178"/>
        <v/>
      </c>
      <c r="BB91" s="48" t="str">
        <f t="shared" si="179"/>
        <v/>
      </c>
      <c r="BC91" s="84" t="str">
        <f t="shared" si="180"/>
        <v/>
      </c>
      <c r="BD91" s="82" t="str">
        <f t="shared" si="181"/>
        <v/>
      </c>
      <c r="BE91" s="48" t="str">
        <f t="shared" si="182"/>
        <v/>
      </c>
      <c r="BF91" s="48" t="str">
        <f t="shared" si="183"/>
        <v/>
      </c>
      <c r="BG91" s="84" t="str">
        <f t="shared" si="184"/>
        <v/>
      </c>
      <c r="BH91" s="87" t="str">
        <f t="shared" si="185"/>
        <v/>
      </c>
      <c r="BI91" s="49" t="str">
        <f t="shared" si="186"/>
        <v/>
      </c>
      <c r="BJ91" s="49" t="str">
        <f t="shared" si="187"/>
        <v/>
      </c>
      <c r="BK91" s="89" t="str">
        <f t="shared" si="188"/>
        <v/>
      </c>
      <c r="BL91" s="87" t="str">
        <f t="shared" si="189"/>
        <v/>
      </c>
      <c r="BM91" s="49" t="str">
        <f t="shared" si="190"/>
        <v/>
      </c>
      <c r="BN91" s="49" t="str">
        <f t="shared" si="191"/>
        <v/>
      </c>
      <c r="BO91" s="89" t="str">
        <f t="shared" si="192"/>
        <v/>
      </c>
      <c r="BP91" s="87" t="str">
        <f t="shared" si="193"/>
        <v/>
      </c>
      <c r="BQ91" s="49" t="str">
        <f t="shared" si="194"/>
        <v/>
      </c>
      <c r="BR91" s="49" t="str">
        <f t="shared" si="195"/>
        <v/>
      </c>
      <c r="BS91" s="89" t="str">
        <f t="shared" si="196"/>
        <v/>
      </c>
      <c r="BT91" s="87"/>
    </row>
    <row r="92" spans="2:72">
      <c r="B92" s="81">
        <f>Weekly!B84</f>
        <v>0</v>
      </c>
      <c r="C92" s="90">
        <f>Weekly!C84</f>
        <v>0</v>
      </c>
      <c r="D92" s="90">
        <f>Weekly!D85</f>
        <v>0</v>
      </c>
      <c r="E92" s="91" t="e">
        <f>VLOOKUP(B92,Team!$B$4:$E$183,4,FALSE)</f>
        <v>#N/A</v>
      </c>
      <c r="F92" s="92" t="str">
        <f>Weekly!Y84</f>
        <v/>
      </c>
      <c r="G92" s="92" t="str">
        <f>Weekly!Z84</f>
        <v/>
      </c>
      <c r="H92" s="48" t="str">
        <f t="shared" si="133"/>
        <v/>
      </c>
      <c r="I92" s="48" t="str">
        <f t="shared" si="134"/>
        <v/>
      </c>
      <c r="J92" s="48" t="str">
        <f t="shared" si="135"/>
        <v/>
      </c>
      <c r="K92" s="84" t="str">
        <f t="shared" si="136"/>
        <v/>
      </c>
      <c r="L92" s="82" t="str">
        <f t="shared" si="137"/>
        <v/>
      </c>
      <c r="M92" s="48" t="str">
        <f t="shared" si="138"/>
        <v/>
      </c>
      <c r="N92" s="48" t="str">
        <f t="shared" si="139"/>
        <v/>
      </c>
      <c r="O92" s="84" t="str">
        <f t="shared" si="140"/>
        <v/>
      </c>
      <c r="P92" s="82" t="str">
        <f t="shared" si="141"/>
        <v/>
      </c>
      <c r="Q92" s="48" t="str">
        <f t="shared" si="142"/>
        <v/>
      </c>
      <c r="R92" s="48" t="str">
        <f t="shared" si="143"/>
        <v/>
      </c>
      <c r="S92" s="84" t="str">
        <f t="shared" si="144"/>
        <v/>
      </c>
      <c r="T92" s="82" t="str">
        <f t="shared" si="145"/>
        <v/>
      </c>
      <c r="U92" s="48" t="str">
        <f t="shared" si="146"/>
        <v/>
      </c>
      <c r="V92" s="48" t="str">
        <f t="shared" si="147"/>
        <v/>
      </c>
      <c r="W92" s="84" t="str">
        <f t="shared" si="148"/>
        <v/>
      </c>
      <c r="X92" s="82" t="str">
        <f t="shared" si="149"/>
        <v/>
      </c>
      <c r="Y92" s="48" t="str">
        <f t="shared" si="150"/>
        <v/>
      </c>
      <c r="Z92" s="48" t="str">
        <f t="shared" si="151"/>
        <v/>
      </c>
      <c r="AA92" s="84" t="str">
        <f t="shared" si="152"/>
        <v/>
      </c>
      <c r="AB92" s="82" t="str">
        <f t="shared" si="153"/>
        <v/>
      </c>
      <c r="AC92" s="48" t="str">
        <f t="shared" si="154"/>
        <v/>
      </c>
      <c r="AD92" s="48" t="str">
        <f t="shared" si="155"/>
        <v/>
      </c>
      <c r="AE92" s="84" t="str">
        <f t="shared" si="156"/>
        <v/>
      </c>
      <c r="AF92" s="82" t="str">
        <f t="shared" si="157"/>
        <v/>
      </c>
      <c r="AG92" s="48" t="str">
        <f t="shared" si="158"/>
        <v/>
      </c>
      <c r="AH92" s="48" t="str">
        <f t="shared" si="159"/>
        <v/>
      </c>
      <c r="AI92" s="84" t="str">
        <f t="shared" si="160"/>
        <v/>
      </c>
      <c r="AJ92" s="82" t="str">
        <f t="shared" si="161"/>
        <v/>
      </c>
      <c r="AK92" s="48" t="str">
        <f t="shared" si="162"/>
        <v/>
      </c>
      <c r="AL92" s="48" t="str">
        <f t="shared" si="163"/>
        <v/>
      </c>
      <c r="AM92" s="84" t="str">
        <f t="shared" si="164"/>
        <v/>
      </c>
      <c r="AN92" s="82" t="str">
        <f t="shared" si="165"/>
        <v/>
      </c>
      <c r="AO92" s="48" t="str">
        <f t="shared" si="166"/>
        <v/>
      </c>
      <c r="AP92" s="48" t="str">
        <f t="shared" si="167"/>
        <v/>
      </c>
      <c r="AQ92" s="84" t="str">
        <f t="shared" si="168"/>
        <v/>
      </c>
      <c r="AR92" s="82" t="str">
        <f t="shared" si="169"/>
        <v/>
      </c>
      <c r="AS92" s="48" t="str">
        <f t="shared" si="170"/>
        <v/>
      </c>
      <c r="AT92" s="48" t="str">
        <f t="shared" si="171"/>
        <v/>
      </c>
      <c r="AU92" s="84" t="str">
        <f t="shared" si="172"/>
        <v/>
      </c>
      <c r="AV92" s="82" t="str">
        <f t="shared" si="173"/>
        <v/>
      </c>
      <c r="AW92" s="48" t="str">
        <f t="shared" si="174"/>
        <v/>
      </c>
      <c r="AX92" s="48" t="str">
        <f t="shared" si="175"/>
        <v/>
      </c>
      <c r="AY92" s="84" t="str">
        <f t="shared" si="176"/>
        <v/>
      </c>
      <c r="AZ92" s="82" t="str">
        <f t="shared" si="177"/>
        <v/>
      </c>
      <c r="BA92" s="48" t="str">
        <f t="shared" si="178"/>
        <v/>
      </c>
      <c r="BB92" s="48" t="str">
        <f t="shared" si="179"/>
        <v/>
      </c>
      <c r="BC92" s="84" t="str">
        <f t="shared" si="180"/>
        <v/>
      </c>
      <c r="BD92" s="82" t="str">
        <f t="shared" si="181"/>
        <v/>
      </c>
      <c r="BE92" s="48" t="str">
        <f t="shared" si="182"/>
        <v/>
      </c>
      <c r="BF92" s="48" t="str">
        <f t="shared" si="183"/>
        <v/>
      </c>
      <c r="BG92" s="84" t="str">
        <f t="shared" si="184"/>
        <v/>
      </c>
      <c r="BH92" s="87" t="str">
        <f t="shared" si="185"/>
        <v/>
      </c>
      <c r="BI92" s="49" t="str">
        <f t="shared" si="186"/>
        <v/>
      </c>
      <c r="BJ92" s="49" t="str">
        <f t="shared" si="187"/>
        <v/>
      </c>
      <c r="BK92" s="89" t="str">
        <f t="shared" si="188"/>
        <v/>
      </c>
      <c r="BL92" s="87" t="str">
        <f t="shared" si="189"/>
        <v/>
      </c>
      <c r="BM92" s="49" t="str">
        <f t="shared" si="190"/>
        <v/>
      </c>
      <c r="BN92" s="49" t="str">
        <f t="shared" si="191"/>
        <v/>
      </c>
      <c r="BO92" s="89" t="str">
        <f t="shared" si="192"/>
        <v/>
      </c>
      <c r="BP92" s="87" t="str">
        <f t="shared" si="193"/>
        <v/>
      </c>
      <c r="BQ92" s="49" t="str">
        <f t="shared" si="194"/>
        <v/>
      </c>
      <c r="BR92" s="49" t="str">
        <f t="shared" si="195"/>
        <v/>
      </c>
      <c r="BS92" s="89" t="str">
        <f t="shared" si="196"/>
        <v/>
      </c>
      <c r="BT92" s="87"/>
    </row>
    <row r="93" spans="2:72">
      <c r="B93" s="81">
        <f>Weekly!B85</f>
        <v>0</v>
      </c>
      <c r="C93" s="90">
        <f>Weekly!C85</f>
        <v>0</v>
      </c>
      <c r="D93" s="90">
        <f>Weekly!D86</f>
        <v>0</v>
      </c>
      <c r="E93" s="91" t="e">
        <f>VLOOKUP(B93,Team!$B$4:$E$183,4,FALSE)</f>
        <v>#N/A</v>
      </c>
      <c r="F93" s="92" t="str">
        <f>Weekly!Y85</f>
        <v/>
      </c>
      <c r="G93" s="92" t="str">
        <f>Weekly!Z85</f>
        <v/>
      </c>
      <c r="H93" s="48" t="str">
        <f t="shared" si="133"/>
        <v/>
      </c>
      <c r="I93" s="48" t="str">
        <f t="shared" si="134"/>
        <v/>
      </c>
      <c r="J93" s="48" t="str">
        <f t="shared" si="135"/>
        <v/>
      </c>
      <c r="K93" s="84" t="str">
        <f t="shared" si="136"/>
        <v/>
      </c>
      <c r="L93" s="82" t="str">
        <f t="shared" si="137"/>
        <v/>
      </c>
      <c r="M93" s="48" t="str">
        <f t="shared" si="138"/>
        <v/>
      </c>
      <c r="N93" s="48" t="str">
        <f t="shared" si="139"/>
        <v/>
      </c>
      <c r="O93" s="84" t="str">
        <f t="shared" si="140"/>
        <v/>
      </c>
      <c r="P93" s="82" t="str">
        <f t="shared" si="141"/>
        <v/>
      </c>
      <c r="Q93" s="48" t="str">
        <f t="shared" si="142"/>
        <v/>
      </c>
      <c r="R93" s="48" t="str">
        <f t="shared" si="143"/>
        <v/>
      </c>
      <c r="S93" s="84" t="str">
        <f t="shared" si="144"/>
        <v/>
      </c>
      <c r="T93" s="82" t="str">
        <f t="shared" si="145"/>
        <v/>
      </c>
      <c r="U93" s="48" t="str">
        <f t="shared" si="146"/>
        <v/>
      </c>
      <c r="V93" s="48" t="str">
        <f t="shared" si="147"/>
        <v/>
      </c>
      <c r="W93" s="84" t="str">
        <f t="shared" si="148"/>
        <v/>
      </c>
      <c r="X93" s="82" t="str">
        <f t="shared" si="149"/>
        <v/>
      </c>
      <c r="Y93" s="48" t="str">
        <f t="shared" si="150"/>
        <v/>
      </c>
      <c r="Z93" s="48" t="str">
        <f t="shared" si="151"/>
        <v/>
      </c>
      <c r="AA93" s="84" t="str">
        <f t="shared" si="152"/>
        <v/>
      </c>
      <c r="AB93" s="82" t="str">
        <f t="shared" si="153"/>
        <v/>
      </c>
      <c r="AC93" s="48" t="str">
        <f t="shared" si="154"/>
        <v/>
      </c>
      <c r="AD93" s="48" t="str">
        <f t="shared" si="155"/>
        <v/>
      </c>
      <c r="AE93" s="84" t="str">
        <f t="shared" si="156"/>
        <v/>
      </c>
      <c r="AF93" s="82" t="str">
        <f t="shared" si="157"/>
        <v/>
      </c>
      <c r="AG93" s="48" t="str">
        <f t="shared" si="158"/>
        <v/>
      </c>
      <c r="AH93" s="48" t="str">
        <f t="shared" si="159"/>
        <v/>
      </c>
      <c r="AI93" s="84" t="str">
        <f t="shared" si="160"/>
        <v/>
      </c>
      <c r="AJ93" s="82" t="str">
        <f t="shared" si="161"/>
        <v/>
      </c>
      <c r="AK93" s="48" t="str">
        <f t="shared" si="162"/>
        <v/>
      </c>
      <c r="AL93" s="48" t="str">
        <f t="shared" si="163"/>
        <v/>
      </c>
      <c r="AM93" s="84" t="str">
        <f t="shared" si="164"/>
        <v/>
      </c>
      <c r="AN93" s="82" t="str">
        <f t="shared" si="165"/>
        <v/>
      </c>
      <c r="AO93" s="48" t="str">
        <f t="shared" si="166"/>
        <v/>
      </c>
      <c r="AP93" s="48" t="str">
        <f t="shared" si="167"/>
        <v/>
      </c>
      <c r="AQ93" s="84" t="str">
        <f t="shared" si="168"/>
        <v/>
      </c>
      <c r="AR93" s="82" t="str">
        <f t="shared" si="169"/>
        <v/>
      </c>
      <c r="AS93" s="48" t="str">
        <f t="shared" si="170"/>
        <v/>
      </c>
      <c r="AT93" s="48" t="str">
        <f t="shared" si="171"/>
        <v/>
      </c>
      <c r="AU93" s="84" t="str">
        <f t="shared" si="172"/>
        <v/>
      </c>
      <c r="AV93" s="82" t="str">
        <f t="shared" si="173"/>
        <v/>
      </c>
      <c r="AW93" s="48" t="str">
        <f t="shared" si="174"/>
        <v/>
      </c>
      <c r="AX93" s="48" t="str">
        <f t="shared" si="175"/>
        <v/>
      </c>
      <c r="AY93" s="84" t="str">
        <f t="shared" si="176"/>
        <v/>
      </c>
      <c r="AZ93" s="82" t="str">
        <f t="shared" si="177"/>
        <v/>
      </c>
      <c r="BA93" s="48" t="str">
        <f t="shared" si="178"/>
        <v/>
      </c>
      <c r="BB93" s="48" t="str">
        <f t="shared" si="179"/>
        <v/>
      </c>
      <c r="BC93" s="84" t="str">
        <f t="shared" si="180"/>
        <v/>
      </c>
      <c r="BD93" s="82" t="str">
        <f t="shared" si="181"/>
        <v/>
      </c>
      <c r="BE93" s="48" t="str">
        <f t="shared" si="182"/>
        <v/>
      </c>
      <c r="BF93" s="48" t="str">
        <f t="shared" si="183"/>
        <v/>
      </c>
      <c r="BG93" s="84" t="str">
        <f t="shared" si="184"/>
        <v/>
      </c>
      <c r="BH93" s="87" t="str">
        <f t="shared" si="185"/>
        <v/>
      </c>
      <c r="BI93" s="49" t="str">
        <f t="shared" si="186"/>
        <v/>
      </c>
      <c r="BJ93" s="49" t="str">
        <f t="shared" si="187"/>
        <v/>
      </c>
      <c r="BK93" s="89" t="str">
        <f t="shared" si="188"/>
        <v/>
      </c>
      <c r="BL93" s="87" t="str">
        <f t="shared" si="189"/>
        <v/>
      </c>
      <c r="BM93" s="49" t="str">
        <f t="shared" si="190"/>
        <v/>
      </c>
      <c r="BN93" s="49" t="str">
        <f t="shared" si="191"/>
        <v/>
      </c>
      <c r="BO93" s="89" t="str">
        <f t="shared" si="192"/>
        <v/>
      </c>
      <c r="BP93" s="87" t="str">
        <f t="shared" si="193"/>
        <v/>
      </c>
      <c r="BQ93" s="49" t="str">
        <f t="shared" si="194"/>
        <v/>
      </c>
      <c r="BR93" s="49" t="str">
        <f t="shared" si="195"/>
        <v/>
      </c>
      <c r="BS93" s="89" t="str">
        <f t="shared" si="196"/>
        <v/>
      </c>
      <c r="BT93" s="87"/>
    </row>
    <row r="94" spans="2:72">
      <c r="B94" s="81">
        <f>Weekly!B86</f>
        <v>0</v>
      </c>
      <c r="C94" s="90">
        <f>Weekly!C86</f>
        <v>0</v>
      </c>
      <c r="D94" s="90">
        <f>Weekly!D87</f>
        <v>0</v>
      </c>
      <c r="E94" s="91" t="e">
        <f>VLOOKUP(B94,Team!$B$4:$E$183,4,FALSE)</f>
        <v>#N/A</v>
      </c>
      <c r="F94" s="92" t="str">
        <f>Weekly!Y86</f>
        <v/>
      </c>
      <c r="G94" s="92" t="str">
        <f>Weekly!Z86</f>
        <v/>
      </c>
      <c r="H94" s="48" t="str">
        <f t="shared" si="133"/>
        <v/>
      </c>
      <c r="I94" s="48" t="str">
        <f t="shared" si="134"/>
        <v/>
      </c>
      <c r="J94" s="48" t="str">
        <f t="shared" si="135"/>
        <v/>
      </c>
      <c r="K94" s="84" t="str">
        <f t="shared" si="136"/>
        <v/>
      </c>
      <c r="L94" s="82" t="str">
        <f t="shared" si="137"/>
        <v/>
      </c>
      <c r="M94" s="48" t="str">
        <f t="shared" si="138"/>
        <v/>
      </c>
      <c r="N94" s="48" t="str">
        <f t="shared" si="139"/>
        <v/>
      </c>
      <c r="O94" s="84" t="str">
        <f t="shared" si="140"/>
        <v/>
      </c>
      <c r="P94" s="82" t="str">
        <f t="shared" si="141"/>
        <v/>
      </c>
      <c r="Q94" s="48" t="str">
        <f t="shared" si="142"/>
        <v/>
      </c>
      <c r="R94" s="48" t="str">
        <f t="shared" si="143"/>
        <v/>
      </c>
      <c r="S94" s="84" t="str">
        <f t="shared" si="144"/>
        <v/>
      </c>
      <c r="T94" s="82" t="str">
        <f t="shared" si="145"/>
        <v/>
      </c>
      <c r="U94" s="48" t="str">
        <f t="shared" si="146"/>
        <v/>
      </c>
      <c r="V94" s="48" t="str">
        <f t="shared" si="147"/>
        <v/>
      </c>
      <c r="W94" s="84" t="str">
        <f t="shared" si="148"/>
        <v/>
      </c>
      <c r="X94" s="82" t="str">
        <f t="shared" si="149"/>
        <v/>
      </c>
      <c r="Y94" s="48" t="str">
        <f t="shared" si="150"/>
        <v/>
      </c>
      <c r="Z94" s="48" t="str">
        <f t="shared" si="151"/>
        <v/>
      </c>
      <c r="AA94" s="84" t="str">
        <f t="shared" si="152"/>
        <v/>
      </c>
      <c r="AB94" s="82" t="str">
        <f t="shared" si="153"/>
        <v/>
      </c>
      <c r="AC94" s="48" t="str">
        <f t="shared" si="154"/>
        <v/>
      </c>
      <c r="AD94" s="48" t="str">
        <f t="shared" si="155"/>
        <v/>
      </c>
      <c r="AE94" s="84" t="str">
        <f t="shared" si="156"/>
        <v/>
      </c>
      <c r="AF94" s="82" t="str">
        <f t="shared" si="157"/>
        <v/>
      </c>
      <c r="AG94" s="48" t="str">
        <f t="shared" si="158"/>
        <v/>
      </c>
      <c r="AH94" s="48" t="str">
        <f t="shared" si="159"/>
        <v/>
      </c>
      <c r="AI94" s="84" t="str">
        <f t="shared" si="160"/>
        <v/>
      </c>
      <c r="AJ94" s="82" t="str">
        <f t="shared" si="161"/>
        <v/>
      </c>
      <c r="AK94" s="48" t="str">
        <f t="shared" si="162"/>
        <v/>
      </c>
      <c r="AL94" s="48" t="str">
        <f t="shared" si="163"/>
        <v/>
      </c>
      <c r="AM94" s="84" t="str">
        <f t="shared" si="164"/>
        <v/>
      </c>
      <c r="AN94" s="82" t="str">
        <f t="shared" si="165"/>
        <v/>
      </c>
      <c r="AO94" s="48" t="str">
        <f t="shared" si="166"/>
        <v/>
      </c>
      <c r="AP94" s="48" t="str">
        <f t="shared" si="167"/>
        <v/>
      </c>
      <c r="AQ94" s="84" t="str">
        <f t="shared" si="168"/>
        <v/>
      </c>
      <c r="AR94" s="82" t="str">
        <f t="shared" si="169"/>
        <v/>
      </c>
      <c r="AS94" s="48" t="str">
        <f t="shared" si="170"/>
        <v/>
      </c>
      <c r="AT94" s="48" t="str">
        <f t="shared" si="171"/>
        <v/>
      </c>
      <c r="AU94" s="84" t="str">
        <f t="shared" si="172"/>
        <v/>
      </c>
      <c r="AV94" s="82" t="str">
        <f t="shared" si="173"/>
        <v/>
      </c>
      <c r="AW94" s="48" t="str">
        <f t="shared" si="174"/>
        <v/>
      </c>
      <c r="AX94" s="48" t="str">
        <f t="shared" si="175"/>
        <v/>
      </c>
      <c r="AY94" s="84" t="str">
        <f t="shared" si="176"/>
        <v/>
      </c>
      <c r="AZ94" s="82" t="str">
        <f t="shared" si="177"/>
        <v/>
      </c>
      <c r="BA94" s="48" t="str">
        <f t="shared" si="178"/>
        <v/>
      </c>
      <c r="BB94" s="48" t="str">
        <f t="shared" si="179"/>
        <v/>
      </c>
      <c r="BC94" s="84" t="str">
        <f t="shared" si="180"/>
        <v/>
      </c>
      <c r="BD94" s="82" t="str">
        <f t="shared" si="181"/>
        <v/>
      </c>
      <c r="BE94" s="48" t="str">
        <f t="shared" si="182"/>
        <v/>
      </c>
      <c r="BF94" s="48" t="str">
        <f t="shared" si="183"/>
        <v/>
      </c>
      <c r="BG94" s="84" t="str">
        <f t="shared" si="184"/>
        <v/>
      </c>
      <c r="BH94" s="87" t="str">
        <f t="shared" si="185"/>
        <v/>
      </c>
      <c r="BI94" s="49" t="str">
        <f t="shared" si="186"/>
        <v/>
      </c>
      <c r="BJ94" s="49" t="str">
        <f t="shared" si="187"/>
        <v/>
      </c>
      <c r="BK94" s="89" t="str">
        <f t="shared" si="188"/>
        <v/>
      </c>
      <c r="BL94" s="87" t="str">
        <f t="shared" si="189"/>
        <v/>
      </c>
      <c r="BM94" s="49" t="str">
        <f t="shared" si="190"/>
        <v/>
      </c>
      <c r="BN94" s="49" t="str">
        <f t="shared" si="191"/>
        <v/>
      </c>
      <c r="BO94" s="89" t="str">
        <f t="shared" si="192"/>
        <v/>
      </c>
      <c r="BP94" s="87" t="str">
        <f t="shared" si="193"/>
        <v/>
      </c>
      <c r="BQ94" s="49" t="str">
        <f t="shared" si="194"/>
        <v/>
      </c>
      <c r="BR94" s="49" t="str">
        <f t="shared" si="195"/>
        <v/>
      </c>
      <c r="BS94" s="89" t="str">
        <f t="shared" si="196"/>
        <v/>
      </c>
      <c r="BT94" s="87"/>
    </row>
    <row r="95" spans="2:72">
      <c r="B95" s="81">
        <f>Weekly!B87</f>
        <v>0</v>
      </c>
      <c r="C95" s="90">
        <f>Weekly!C87</f>
        <v>0</v>
      </c>
      <c r="D95" s="90">
        <f>Weekly!D88</f>
        <v>0</v>
      </c>
      <c r="E95" s="91" t="e">
        <f>VLOOKUP(B95,Team!$B$4:$E$183,4,FALSE)</f>
        <v>#N/A</v>
      </c>
      <c r="F95" s="92" t="str">
        <f>Weekly!Y87</f>
        <v/>
      </c>
      <c r="G95" s="92" t="str">
        <f>Weekly!Z87</f>
        <v/>
      </c>
      <c r="H95" s="48" t="str">
        <f t="shared" si="133"/>
        <v/>
      </c>
      <c r="I95" s="48" t="str">
        <f t="shared" si="134"/>
        <v/>
      </c>
      <c r="J95" s="48" t="str">
        <f t="shared" si="135"/>
        <v/>
      </c>
      <c r="K95" s="84" t="str">
        <f t="shared" si="136"/>
        <v/>
      </c>
      <c r="L95" s="82" t="str">
        <f t="shared" si="137"/>
        <v/>
      </c>
      <c r="M95" s="48" t="str">
        <f t="shared" si="138"/>
        <v/>
      </c>
      <c r="N95" s="48" t="str">
        <f t="shared" si="139"/>
        <v/>
      </c>
      <c r="O95" s="84" t="str">
        <f t="shared" si="140"/>
        <v/>
      </c>
      <c r="P95" s="82" t="str">
        <f t="shared" si="141"/>
        <v/>
      </c>
      <c r="Q95" s="48" t="str">
        <f t="shared" si="142"/>
        <v/>
      </c>
      <c r="R95" s="48" t="str">
        <f t="shared" si="143"/>
        <v/>
      </c>
      <c r="S95" s="84" t="str">
        <f t="shared" si="144"/>
        <v/>
      </c>
      <c r="T95" s="82" t="str">
        <f t="shared" si="145"/>
        <v/>
      </c>
      <c r="U95" s="48" t="str">
        <f t="shared" si="146"/>
        <v/>
      </c>
      <c r="V95" s="48" t="str">
        <f t="shared" si="147"/>
        <v/>
      </c>
      <c r="W95" s="84" t="str">
        <f t="shared" si="148"/>
        <v/>
      </c>
      <c r="X95" s="82" t="str">
        <f t="shared" si="149"/>
        <v/>
      </c>
      <c r="Y95" s="48" t="str">
        <f t="shared" si="150"/>
        <v/>
      </c>
      <c r="Z95" s="48" t="str">
        <f t="shared" si="151"/>
        <v/>
      </c>
      <c r="AA95" s="84" t="str">
        <f t="shared" si="152"/>
        <v/>
      </c>
      <c r="AB95" s="82" t="str">
        <f t="shared" si="153"/>
        <v/>
      </c>
      <c r="AC95" s="48" t="str">
        <f t="shared" si="154"/>
        <v/>
      </c>
      <c r="AD95" s="48" t="str">
        <f t="shared" si="155"/>
        <v/>
      </c>
      <c r="AE95" s="84" t="str">
        <f t="shared" si="156"/>
        <v/>
      </c>
      <c r="AF95" s="82" t="str">
        <f t="shared" si="157"/>
        <v/>
      </c>
      <c r="AG95" s="48" t="str">
        <f t="shared" si="158"/>
        <v/>
      </c>
      <c r="AH95" s="48" t="str">
        <f t="shared" si="159"/>
        <v/>
      </c>
      <c r="AI95" s="84" t="str">
        <f t="shared" si="160"/>
        <v/>
      </c>
      <c r="AJ95" s="82" t="str">
        <f t="shared" si="161"/>
        <v/>
      </c>
      <c r="AK95" s="48" t="str">
        <f t="shared" si="162"/>
        <v/>
      </c>
      <c r="AL95" s="48" t="str">
        <f t="shared" si="163"/>
        <v/>
      </c>
      <c r="AM95" s="84" t="str">
        <f t="shared" si="164"/>
        <v/>
      </c>
      <c r="AN95" s="82" t="str">
        <f t="shared" si="165"/>
        <v/>
      </c>
      <c r="AO95" s="48" t="str">
        <f t="shared" si="166"/>
        <v/>
      </c>
      <c r="AP95" s="48" t="str">
        <f t="shared" si="167"/>
        <v/>
      </c>
      <c r="AQ95" s="84" t="str">
        <f t="shared" si="168"/>
        <v/>
      </c>
      <c r="AR95" s="82" t="str">
        <f t="shared" si="169"/>
        <v/>
      </c>
      <c r="AS95" s="48" t="str">
        <f t="shared" si="170"/>
        <v/>
      </c>
      <c r="AT95" s="48" t="str">
        <f t="shared" si="171"/>
        <v/>
      </c>
      <c r="AU95" s="84" t="str">
        <f t="shared" si="172"/>
        <v/>
      </c>
      <c r="AV95" s="82" t="str">
        <f t="shared" si="173"/>
        <v/>
      </c>
      <c r="AW95" s="48" t="str">
        <f t="shared" si="174"/>
        <v/>
      </c>
      <c r="AX95" s="48" t="str">
        <f t="shared" si="175"/>
        <v/>
      </c>
      <c r="AY95" s="84" t="str">
        <f t="shared" si="176"/>
        <v/>
      </c>
      <c r="AZ95" s="82" t="str">
        <f t="shared" si="177"/>
        <v/>
      </c>
      <c r="BA95" s="48" t="str">
        <f t="shared" si="178"/>
        <v/>
      </c>
      <c r="BB95" s="48" t="str">
        <f t="shared" si="179"/>
        <v/>
      </c>
      <c r="BC95" s="84" t="str">
        <f t="shared" si="180"/>
        <v/>
      </c>
      <c r="BD95" s="82" t="str">
        <f t="shared" si="181"/>
        <v/>
      </c>
      <c r="BE95" s="48" t="str">
        <f t="shared" si="182"/>
        <v/>
      </c>
      <c r="BF95" s="48" t="str">
        <f t="shared" si="183"/>
        <v/>
      </c>
      <c r="BG95" s="84" t="str">
        <f t="shared" si="184"/>
        <v/>
      </c>
      <c r="BH95" s="87" t="str">
        <f t="shared" si="185"/>
        <v/>
      </c>
      <c r="BI95" s="49" t="str">
        <f t="shared" si="186"/>
        <v/>
      </c>
      <c r="BJ95" s="49" t="str">
        <f t="shared" si="187"/>
        <v/>
      </c>
      <c r="BK95" s="89" t="str">
        <f t="shared" si="188"/>
        <v/>
      </c>
      <c r="BL95" s="87" t="str">
        <f t="shared" si="189"/>
        <v/>
      </c>
      <c r="BM95" s="49" t="str">
        <f t="shared" si="190"/>
        <v/>
      </c>
      <c r="BN95" s="49" t="str">
        <f t="shared" si="191"/>
        <v/>
      </c>
      <c r="BO95" s="89" t="str">
        <f t="shared" si="192"/>
        <v/>
      </c>
      <c r="BP95" s="87" t="str">
        <f t="shared" si="193"/>
        <v/>
      </c>
      <c r="BQ95" s="49" t="str">
        <f t="shared" si="194"/>
        <v/>
      </c>
      <c r="BR95" s="49" t="str">
        <f t="shared" si="195"/>
        <v/>
      </c>
      <c r="BS95" s="89" t="str">
        <f t="shared" si="196"/>
        <v/>
      </c>
      <c r="BT95" s="87"/>
    </row>
    <row r="96" spans="2:72">
      <c r="B96" s="81">
        <f>Weekly!B88</f>
        <v>0</v>
      </c>
      <c r="C96" s="90">
        <f>Weekly!C88</f>
        <v>0</v>
      </c>
      <c r="D96" s="90">
        <f>Weekly!D89</f>
        <v>0</v>
      </c>
      <c r="E96" s="91" t="e">
        <f>VLOOKUP(B96,Team!$B$4:$E$183,4,FALSE)</f>
        <v>#N/A</v>
      </c>
      <c r="F96" s="92" t="str">
        <f>Weekly!Y88</f>
        <v/>
      </c>
      <c r="G96" s="92" t="str">
        <f>Weekly!Z88</f>
        <v/>
      </c>
      <c r="H96" s="48" t="str">
        <f t="shared" si="133"/>
        <v/>
      </c>
      <c r="I96" s="48" t="str">
        <f t="shared" si="134"/>
        <v/>
      </c>
      <c r="J96" s="48" t="str">
        <f t="shared" si="135"/>
        <v/>
      </c>
      <c r="K96" s="84" t="str">
        <f t="shared" si="136"/>
        <v/>
      </c>
      <c r="L96" s="82" t="str">
        <f t="shared" si="137"/>
        <v/>
      </c>
      <c r="M96" s="48" t="str">
        <f t="shared" si="138"/>
        <v/>
      </c>
      <c r="N96" s="48" t="str">
        <f t="shared" si="139"/>
        <v/>
      </c>
      <c r="O96" s="84" t="str">
        <f t="shared" si="140"/>
        <v/>
      </c>
      <c r="P96" s="82" t="str">
        <f t="shared" si="141"/>
        <v/>
      </c>
      <c r="Q96" s="48" t="str">
        <f t="shared" si="142"/>
        <v/>
      </c>
      <c r="R96" s="48" t="str">
        <f t="shared" si="143"/>
        <v/>
      </c>
      <c r="S96" s="84" t="str">
        <f t="shared" si="144"/>
        <v/>
      </c>
      <c r="T96" s="82" t="str">
        <f t="shared" si="145"/>
        <v/>
      </c>
      <c r="U96" s="48" t="str">
        <f t="shared" si="146"/>
        <v/>
      </c>
      <c r="V96" s="48" t="str">
        <f t="shared" si="147"/>
        <v/>
      </c>
      <c r="W96" s="84" t="str">
        <f t="shared" si="148"/>
        <v/>
      </c>
      <c r="X96" s="82" t="str">
        <f t="shared" si="149"/>
        <v/>
      </c>
      <c r="Y96" s="48" t="str">
        <f t="shared" si="150"/>
        <v/>
      </c>
      <c r="Z96" s="48" t="str">
        <f t="shared" si="151"/>
        <v/>
      </c>
      <c r="AA96" s="84" t="str">
        <f t="shared" si="152"/>
        <v/>
      </c>
      <c r="AB96" s="82" t="str">
        <f t="shared" si="153"/>
        <v/>
      </c>
      <c r="AC96" s="48" t="str">
        <f t="shared" si="154"/>
        <v/>
      </c>
      <c r="AD96" s="48" t="str">
        <f t="shared" si="155"/>
        <v/>
      </c>
      <c r="AE96" s="84" t="str">
        <f t="shared" si="156"/>
        <v/>
      </c>
      <c r="AF96" s="82" t="str">
        <f t="shared" si="157"/>
        <v/>
      </c>
      <c r="AG96" s="48" t="str">
        <f t="shared" si="158"/>
        <v/>
      </c>
      <c r="AH96" s="48" t="str">
        <f t="shared" si="159"/>
        <v/>
      </c>
      <c r="AI96" s="84" t="str">
        <f t="shared" si="160"/>
        <v/>
      </c>
      <c r="AJ96" s="82" t="str">
        <f t="shared" si="161"/>
        <v/>
      </c>
      <c r="AK96" s="48" t="str">
        <f t="shared" si="162"/>
        <v/>
      </c>
      <c r="AL96" s="48" t="str">
        <f t="shared" si="163"/>
        <v/>
      </c>
      <c r="AM96" s="84" t="str">
        <f t="shared" si="164"/>
        <v/>
      </c>
      <c r="AN96" s="82" t="str">
        <f t="shared" si="165"/>
        <v/>
      </c>
      <c r="AO96" s="48" t="str">
        <f t="shared" si="166"/>
        <v/>
      </c>
      <c r="AP96" s="48" t="str">
        <f t="shared" si="167"/>
        <v/>
      </c>
      <c r="AQ96" s="84" t="str">
        <f t="shared" si="168"/>
        <v/>
      </c>
      <c r="AR96" s="82" t="str">
        <f t="shared" si="169"/>
        <v/>
      </c>
      <c r="AS96" s="48" t="str">
        <f t="shared" si="170"/>
        <v/>
      </c>
      <c r="AT96" s="48" t="str">
        <f t="shared" si="171"/>
        <v/>
      </c>
      <c r="AU96" s="84" t="str">
        <f t="shared" si="172"/>
        <v/>
      </c>
      <c r="AV96" s="82" t="str">
        <f t="shared" si="173"/>
        <v/>
      </c>
      <c r="AW96" s="48" t="str">
        <f t="shared" si="174"/>
        <v/>
      </c>
      <c r="AX96" s="48" t="str">
        <f t="shared" si="175"/>
        <v/>
      </c>
      <c r="AY96" s="84" t="str">
        <f t="shared" si="176"/>
        <v/>
      </c>
      <c r="AZ96" s="82" t="str">
        <f t="shared" si="177"/>
        <v/>
      </c>
      <c r="BA96" s="48" t="str">
        <f t="shared" si="178"/>
        <v/>
      </c>
      <c r="BB96" s="48" t="str">
        <f t="shared" si="179"/>
        <v/>
      </c>
      <c r="BC96" s="84" t="str">
        <f t="shared" si="180"/>
        <v/>
      </c>
      <c r="BD96" s="82" t="str">
        <f t="shared" si="181"/>
        <v/>
      </c>
      <c r="BE96" s="48" t="str">
        <f t="shared" si="182"/>
        <v/>
      </c>
      <c r="BF96" s="48" t="str">
        <f t="shared" si="183"/>
        <v/>
      </c>
      <c r="BG96" s="84" t="str">
        <f t="shared" si="184"/>
        <v/>
      </c>
      <c r="BH96" s="87" t="str">
        <f t="shared" si="185"/>
        <v/>
      </c>
      <c r="BI96" s="49" t="str">
        <f t="shared" si="186"/>
        <v/>
      </c>
      <c r="BJ96" s="49" t="str">
        <f t="shared" si="187"/>
        <v/>
      </c>
      <c r="BK96" s="89" t="str">
        <f t="shared" si="188"/>
        <v/>
      </c>
      <c r="BL96" s="87" t="str">
        <f t="shared" si="189"/>
        <v/>
      </c>
      <c r="BM96" s="49" t="str">
        <f t="shared" si="190"/>
        <v/>
      </c>
      <c r="BN96" s="49" t="str">
        <f t="shared" si="191"/>
        <v/>
      </c>
      <c r="BO96" s="89" t="str">
        <f t="shared" si="192"/>
        <v/>
      </c>
      <c r="BP96" s="87" t="str">
        <f t="shared" si="193"/>
        <v/>
      </c>
      <c r="BQ96" s="49" t="str">
        <f t="shared" si="194"/>
        <v/>
      </c>
      <c r="BR96" s="49" t="str">
        <f t="shared" si="195"/>
        <v/>
      </c>
      <c r="BS96" s="89" t="str">
        <f t="shared" si="196"/>
        <v/>
      </c>
      <c r="BT96" s="87"/>
    </row>
    <row r="97" spans="2:72">
      <c r="B97" s="81">
        <f>Weekly!B89</f>
        <v>0</v>
      </c>
      <c r="C97" s="90">
        <f>Weekly!C89</f>
        <v>0</v>
      </c>
      <c r="D97" s="90">
        <f>Weekly!D90</f>
        <v>0</v>
      </c>
      <c r="E97" s="91" t="e">
        <f>VLOOKUP(B97,Team!$B$4:$E$183,4,FALSE)</f>
        <v>#N/A</v>
      </c>
      <c r="F97" s="92" t="str">
        <f>Weekly!Y89</f>
        <v/>
      </c>
      <c r="G97" s="92" t="str">
        <f>Weekly!Z89</f>
        <v/>
      </c>
      <c r="H97" s="48" t="str">
        <f t="shared" si="133"/>
        <v/>
      </c>
      <c r="I97" s="48" t="str">
        <f t="shared" si="134"/>
        <v/>
      </c>
      <c r="J97" s="48" t="str">
        <f t="shared" si="135"/>
        <v/>
      </c>
      <c r="K97" s="84" t="str">
        <f t="shared" si="136"/>
        <v/>
      </c>
      <c r="L97" s="82" t="str">
        <f t="shared" si="137"/>
        <v/>
      </c>
      <c r="M97" s="48" t="str">
        <f t="shared" si="138"/>
        <v/>
      </c>
      <c r="N97" s="48" t="str">
        <f t="shared" si="139"/>
        <v/>
      </c>
      <c r="O97" s="84" t="str">
        <f t="shared" si="140"/>
        <v/>
      </c>
      <c r="P97" s="82" t="str">
        <f t="shared" si="141"/>
        <v/>
      </c>
      <c r="Q97" s="48" t="str">
        <f t="shared" si="142"/>
        <v/>
      </c>
      <c r="R97" s="48" t="str">
        <f t="shared" si="143"/>
        <v/>
      </c>
      <c r="S97" s="84" t="str">
        <f t="shared" si="144"/>
        <v/>
      </c>
      <c r="T97" s="82" t="str">
        <f t="shared" si="145"/>
        <v/>
      </c>
      <c r="U97" s="48" t="str">
        <f t="shared" si="146"/>
        <v/>
      </c>
      <c r="V97" s="48" t="str">
        <f t="shared" si="147"/>
        <v/>
      </c>
      <c r="W97" s="84" t="str">
        <f t="shared" si="148"/>
        <v/>
      </c>
      <c r="X97" s="82" t="str">
        <f t="shared" si="149"/>
        <v/>
      </c>
      <c r="Y97" s="48" t="str">
        <f t="shared" si="150"/>
        <v/>
      </c>
      <c r="Z97" s="48" t="str">
        <f t="shared" si="151"/>
        <v/>
      </c>
      <c r="AA97" s="84" t="str">
        <f t="shared" si="152"/>
        <v/>
      </c>
      <c r="AB97" s="82" t="str">
        <f t="shared" si="153"/>
        <v/>
      </c>
      <c r="AC97" s="48" t="str">
        <f t="shared" si="154"/>
        <v/>
      </c>
      <c r="AD97" s="48" t="str">
        <f t="shared" si="155"/>
        <v/>
      </c>
      <c r="AE97" s="84" t="str">
        <f t="shared" si="156"/>
        <v/>
      </c>
      <c r="AF97" s="82" t="str">
        <f t="shared" si="157"/>
        <v/>
      </c>
      <c r="AG97" s="48" t="str">
        <f t="shared" si="158"/>
        <v/>
      </c>
      <c r="AH97" s="48" t="str">
        <f t="shared" si="159"/>
        <v/>
      </c>
      <c r="AI97" s="84" t="str">
        <f t="shared" si="160"/>
        <v/>
      </c>
      <c r="AJ97" s="82" t="str">
        <f t="shared" si="161"/>
        <v/>
      </c>
      <c r="AK97" s="48" t="str">
        <f t="shared" si="162"/>
        <v/>
      </c>
      <c r="AL97" s="48" t="str">
        <f t="shared" si="163"/>
        <v/>
      </c>
      <c r="AM97" s="84" t="str">
        <f t="shared" si="164"/>
        <v/>
      </c>
      <c r="AN97" s="82" t="str">
        <f t="shared" si="165"/>
        <v/>
      </c>
      <c r="AO97" s="48" t="str">
        <f t="shared" si="166"/>
        <v/>
      </c>
      <c r="AP97" s="48" t="str">
        <f t="shared" si="167"/>
        <v/>
      </c>
      <c r="AQ97" s="84" t="str">
        <f t="shared" si="168"/>
        <v/>
      </c>
      <c r="AR97" s="82" t="str">
        <f t="shared" si="169"/>
        <v/>
      </c>
      <c r="AS97" s="48" t="str">
        <f t="shared" si="170"/>
        <v/>
      </c>
      <c r="AT97" s="48" t="str">
        <f t="shared" si="171"/>
        <v/>
      </c>
      <c r="AU97" s="84" t="str">
        <f t="shared" si="172"/>
        <v/>
      </c>
      <c r="AV97" s="82" t="str">
        <f t="shared" si="173"/>
        <v/>
      </c>
      <c r="AW97" s="48" t="str">
        <f t="shared" si="174"/>
        <v/>
      </c>
      <c r="AX97" s="48" t="str">
        <f t="shared" si="175"/>
        <v/>
      </c>
      <c r="AY97" s="84" t="str">
        <f t="shared" si="176"/>
        <v/>
      </c>
      <c r="AZ97" s="82" t="str">
        <f t="shared" si="177"/>
        <v/>
      </c>
      <c r="BA97" s="48" t="str">
        <f t="shared" si="178"/>
        <v/>
      </c>
      <c r="BB97" s="48" t="str">
        <f t="shared" si="179"/>
        <v/>
      </c>
      <c r="BC97" s="84" t="str">
        <f t="shared" si="180"/>
        <v/>
      </c>
      <c r="BD97" s="82" t="str">
        <f t="shared" si="181"/>
        <v/>
      </c>
      <c r="BE97" s="48" t="str">
        <f t="shared" si="182"/>
        <v/>
      </c>
      <c r="BF97" s="48" t="str">
        <f t="shared" si="183"/>
        <v/>
      </c>
      <c r="BG97" s="84" t="str">
        <f t="shared" si="184"/>
        <v/>
      </c>
      <c r="BH97" s="87" t="str">
        <f t="shared" si="185"/>
        <v/>
      </c>
      <c r="BI97" s="49" t="str">
        <f t="shared" si="186"/>
        <v/>
      </c>
      <c r="BJ97" s="49" t="str">
        <f t="shared" si="187"/>
        <v/>
      </c>
      <c r="BK97" s="89" t="str">
        <f t="shared" si="188"/>
        <v/>
      </c>
      <c r="BL97" s="87" t="str">
        <f t="shared" si="189"/>
        <v/>
      </c>
      <c r="BM97" s="49" t="str">
        <f t="shared" si="190"/>
        <v/>
      </c>
      <c r="BN97" s="49" t="str">
        <f t="shared" si="191"/>
        <v/>
      </c>
      <c r="BO97" s="89" t="str">
        <f t="shared" si="192"/>
        <v/>
      </c>
      <c r="BP97" s="87" t="str">
        <f t="shared" si="193"/>
        <v/>
      </c>
      <c r="BQ97" s="49" t="str">
        <f t="shared" si="194"/>
        <v/>
      </c>
      <c r="BR97" s="49" t="str">
        <f t="shared" si="195"/>
        <v/>
      </c>
      <c r="BS97" s="89" t="str">
        <f t="shared" si="196"/>
        <v/>
      </c>
      <c r="BT97" s="87"/>
    </row>
    <row r="98" spans="2:72">
      <c r="B98" s="81">
        <f>Weekly!B90</f>
        <v>0</v>
      </c>
      <c r="C98" s="90">
        <f>Weekly!C90</f>
        <v>0</v>
      </c>
      <c r="D98" s="90">
        <f>Weekly!D91</f>
        <v>0</v>
      </c>
      <c r="E98" s="91" t="e">
        <f>VLOOKUP(B98,Team!$B$4:$E$183,4,FALSE)</f>
        <v>#N/A</v>
      </c>
      <c r="F98" s="92" t="str">
        <f>Weekly!Y90</f>
        <v/>
      </c>
      <c r="G98" s="92" t="str">
        <f>Weekly!Z90</f>
        <v/>
      </c>
      <c r="H98" s="48" t="str">
        <f t="shared" si="133"/>
        <v/>
      </c>
      <c r="I98" s="48" t="str">
        <f t="shared" si="134"/>
        <v/>
      </c>
      <c r="J98" s="48" t="str">
        <f t="shared" si="135"/>
        <v/>
      </c>
      <c r="K98" s="84" t="str">
        <f t="shared" si="136"/>
        <v/>
      </c>
      <c r="L98" s="82" t="str">
        <f t="shared" si="137"/>
        <v/>
      </c>
      <c r="M98" s="48" t="str">
        <f t="shared" si="138"/>
        <v/>
      </c>
      <c r="N98" s="48" t="str">
        <f t="shared" si="139"/>
        <v/>
      </c>
      <c r="O98" s="84" t="str">
        <f t="shared" si="140"/>
        <v/>
      </c>
      <c r="P98" s="82" t="str">
        <f t="shared" si="141"/>
        <v/>
      </c>
      <c r="Q98" s="48" t="str">
        <f t="shared" si="142"/>
        <v/>
      </c>
      <c r="R98" s="48" t="str">
        <f t="shared" si="143"/>
        <v/>
      </c>
      <c r="S98" s="84" t="str">
        <f t="shared" si="144"/>
        <v/>
      </c>
      <c r="T98" s="82" t="str">
        <f t="shared" si="145"/>
        <v/>
      </c>
      <c r="U98" s="48" t="str">
        <f t="shared" si="146"/>
        <v/>
      </c>
      <c r="V98" s="48" t="str">
        <f t="shared" si="147"/>
        <v/>
      </c>
      <c r="W98" s="84" t="str">
        <f t="shared" si="148"/>
        <v/>
      </c>
      <c r="X98" s="82" t="str">
        <f t="shared" si="149"/>
        <v/>
      </c>
      <c r="Y98" s="48" t="str">
        <f t="shared" si="150"/>
        <v/>
      </c>
      <c r="Z98" s="48" t="str">
        <f t="shared" si="151"/>
        <v/>
      </c>
      <c r="AA98" s="84" t="str">
        <f t="shared" si="152"/>
        <v/>
      </c>
      <c r="AB98" s="82" t="str">
        <f t="shared" si="153"/>
        <v/>
      </c>
      <c r="AC98" s="48" t="str">
        <f t="shared" si="154"/>
        <v/>
      </c>
      <c r="AD98" s="48" t="str">
        <f t="shared" si="155"/>
        <v/>
      </c>
      <c r="AE98" s="84" t="str">
        <f t="shared" si="156"/>
        <v/>
      </c>
      <c r="AF98" s="82" t="str">
        <f t="shared" si="157"/>
        <v/>
      </c>
      <c r="AG98" s="48" t="str">
        <f t="shared" si="158"/>
        <v/>
      </c>
      <c r="AH98" s="48" t="str">
        <f t="shared" si="159"/>
        <v/>
      </c>
      <c r="AI98" s="84" t="str">
        <f t="shared" si="160"/>
        <v/>
      </c>
      <c r="AJ98" s="82" t="str">
        <f t="shared" si="161"/>
        <v/>
      </c>
      <c r="AK98" s="48" t="str">
        <f t="shared" si="162"/>
        <v/>
      </c>
      <c r="AL98" s="48" t="str">
        <f t="shared" si="163"/>
        <v/>
      </c>
      <c r="AM98" s="84" t="str">
        <f t="shared" si="164"/>
        <v/>
      </c>
      <c r="AN98" s="82" t="str">
        <f t="shared" si="165"/>
        <v/>
      </c>
      <c r="AO98" s="48" t="str">
        <f t="shared" si="166"/>
        <v/>
      </c>
      <c r="AP98" s="48" t="str">
        <f t="shared" si="167"/>
        <v/>
      </c>
      <c r="AQ98" s="84" t="str">
        <f t="shared" si="168"/>
        <v/>
      </c>
      <c r="AR98" s="82" t="str">
        <f t="shared" si="169"/>
        <v/>
      </c>
      <c r="AS98" s="48" t="str">
        <f t="shared" si="170"/>
        <v/>
      </c>
      <c r="AT98" s="48" t="str">
        <f t="shared" si="171"/>
        <v/>
      </c>
      <c r="AU98" s="84" t="str">
        <f t="shared" si="172"/>
        <v/>
      </c>
      <c r="AV98" s="82" t="str">
        <f t="shared" si="173"/>
        <v/>
      </c>
      <c r="AW98" s="48" t="str">
        <f t="shared" si="174"/>
        <v/>
      </c>
      <c r="AX98" s="48" t="str">
        <f t="shared" si="175"/>
        <v/>
      </c>
      <c r="AY98" s="84" t="str">
        <f t="shared" si="176"/>
        <v/>
      </c>
      <c r="AZ98" s="82" t="str">
        <f t="shared" si="177"/>
        <v/>
      </c>
      <c r="BA98" s="48" t="str">
        <f t="shared" si="178"/>
        <v/>
      </c>
      <c r="BB98" s="48" t="str">
        <f t="shared" si="179"/>
        <v/>
      </c>
      <c r="BC98" s="84" t="str">
        <f t="shared" si="180"/>
        <v/>
      </c>
      <c r="BD98" s="82" t="str">
        <f t="shared" si="181"/>
        <v/>
      </c>
      <c r="BE98" s="48" t="str">
        <f t="shared" si="182"/>
        <v/>
      </c>
      <c r="BF98" s="48" t="str">
        <f t="shared" si="183"/>
        <v/>
      </c>
      <c r="BG98" s="84" t="str">
        <f t="shared" si="184"/>
        <v/>
      </c>
      <c r="BH98" s="87" t="str">
        <f t="shared" si="185"/>
        <v/>
      </c>
      <c r="BI98" s="49" t="str">
        <f t="shared" si="186"/>
        <v/>
      </c>
      <c r="BJ98" s="49" t="str">
        <f t="shared" si="187"/>
        <v/>
      </c>
      <c r="BK98" s="89" t="str">
        <f t="shared" si="188"/>
        <v/>
      </c>
      <c r="BL98" s="87" t="str">
        <f t="shared" si="189"/>
        <v/>
      </c>
      <c r="BM98" s="49" t="str">
        <f t="shared" si="190"/>
        <v/>
      </c>
      <c r="BN98" s="49" t="str">
        <f t="shared" si="191"/>
        <v/>
      </c>
      <c r="BO98" s="89" t="str">
        <f t="shared" si="192"/>
        <v/>
      </c>
      <c r="BP98" s="87" t="str">
        <f t="shared" si="193"/>
        <v/>
      </c>
      <c r="BQ98" s="49" t="str">
        <f t="shared" si="194"/>
        <v/>
      </c>
      <c r="BR98" s="49" t="str">
        <f t="shared" si="195"/>
        <v/>
      </c>
      <c r="BS98" s="89" t="str">
        <f t="shared" si="196"/>
        <v/>
      </c>
      <c r="BT98" s="87"/>
    </row>
    <row r="99" spans="2:72">
      <c r="B99" s="81">
        <f>Weekly!B91</f>
        <v>0</v>
      </c>
      <c r="C99" s="90">
        <f>Weekly!C91</f>
        <v>0</v>
      </c>
      <c r="D99" s="90">
        <f>Weekly!D92</f>
        <v>0</v>
      </c>
      <c r="E99" s="91" t="e">
        <f>VLOOKUP(B99,Team!$B$4:$E$183,4,FALSE)</f>
        <v>#N/A</v>
      </c>
      <c r="F99" s="92" t="str">
        <f>Weekly!Y91</f>
        <v/>
      </c>
      <c r="G99" s="92" t="str">
        <f>Weekly!Z91</f>
        <v/>
      </c>
      <c r="H99" s="48" t="str">
        <f t="shared" si="133"/>
        <v/>
      </c>
      <c r="I99" s="48" t="str">
        <f t="shared" si="134"/>
        <v/>
      </c>
      <c r="J99" s="48" t="str">
        <f t="shared" si="135"/>
        <v/>
      </c>
      <c r="K99" s="84" t="str">
        <f t="shared" si="136"/>
        <v/>
      </c>
      <c r="L99" s="82" t="str">
        <f t="shared" si="137"/>
        <v/>
      </c>
      <c r="M99" s="48" t="str">
        <f t="shared" si="138"/>
        <v/>
      </c>
      <c r="N99" s="48" t="str">
        <f t="shared" si="139"/>
        <v/>
      </c>
      <c r="O99" s="84" t="str">
        <f t="shared" si="140"/>
        <v/>
      </c>
      <c r="P99" s="82" t="str">
        <f t="shared" si="141"/>
        <v/>
      </c>
      <c r="Q99" s="48" t="str">
        <f t="shared" si="142"/>
        <v/>
      </c>
      <c r="R99" s="48" t="str">
        <f t="shared" si="143"/>
        <v/>
      </c>
      <c r="S99" s="84" t="str">
        <f t="shared" si="144"/>
        <v/>
      </c>
      <c r="T99" s="82" t="str">
        <f t="shared" si="145"/>
        <v/>
      </c>
      <c r="U99" s="48" t="str">
        <f t="shared" si="146"/>
        <v/>
      </c>
      <c r="V99" s="48" t="str">
        <f t="shared" si="147"/>
        <v/>
      </c>
      <c r="W99" s="84" t="str">
        <f t="shared" si="148"/>
        <v/>
      </c>
      <c r="X99" s="82" t="str">
        <f t="shared" si="149"/>
        <v/>
      </c>
      <c r="Y99" s="48" t="str">
        <f t="shared" si="150"/>
        <v/>
      </c>
      <c r="Z99" s="48" t="str">
        <f t="shared" si="151"/>
        <v/>
      </c>
      <c r="AA99" s="84" t="str">
        <f t="shared" si="152"/>
        <v/>
      </c>
      <c r="AB99" s="82" t="str">
        <f t="shared" si="153"/>
        <v/>
      </c>
      <c r="AC99" s="48" t="str">
        <f t="shared" si="154"/>
        <v/>
      </c>
      <c r="AD99" s="48" t="str">
        <f t="shared" si="155"/>
        <v/>
      </c>
      <c r="AE99" s="84" t="str">
        <f t="shared" si="156"/>
        <v/>
      </c>
      <c r="AF99" s="82" t="str">
        <f t="shared" si="157"/>
        <v/>
      </c>
      <c r="AG99" s="48" t="str">
        <f t="shared" si="158"/>
        <v/>
      </c>
      <c r="AH99" s="48" t="str">
        <f t="shared" si="159"/>
        <v/>
      </c>
      <c r="AI99" s="84" t="str">
        <f t="shared" si="160"/>
        <v/>
      </c>
      <c r="AJ99" s="82" t="str">
        <f t="shared" si="161"/>
        <v/>
      </c>
      <c r="AK99" s="48" t="str">
        <f t="shared" si="162"/>
        <v/>
      </c>
      <c r="AL99" s="48" t="str">
        <f t="shared" si="163"/>
        <v/>
      </c>
      <c r="AM99" s="84" t="str">
        <f t="shared" si="164"/>
        <v/>
      </c>
      <c r="AN99" s="82" t="str">
        <f t="shared" si="165"/>
        <v/>
      </c>
      <c r="AO99" s="48" t="str">
        <f t="shared" si="166"/>
        <v/>
      </c>
      <c r="AP99" s="48" t="str">
        <f t="shared" si="167"/>
        <v/>
      </c>
      <c r="AQ99" s="84" t="str">
        <f t="shared" si="168"/>
        <v/>
      </c>
      <c r="AR99" s="82" t="str">
        <f t="shared" si="169"/>
        <v/>
      </c>
      <c r="AS99" s="48" t="str">
        <f t="shared" si="170"/>
        <v/>
      </c>
      <c r="AT99" s="48" t="str">
        <f t="shared" si="171"/>
        <v/>
      </c>
      <c r="AU99" s="84" t="str">
        <f t="shared" si="172"/>
        <v/>
      </c>
      <c r="AV99" s="82" t="str">
        <f t="shared" si="173"/>
        <v/>
      </c>
      <c r="AW99" s="48" t="str">
        <f t="shared" si="174"/>
        <v/>
      </c>
      <c r="AX99" s="48" t="str">
        <f t="shared" si="175"/>
        <v/>
      </c>
      <c r="AY99" s="84" t="str">
        <f t="shared" si="176"/>
        <v/>
      </c>
      <c r="AZ99" s="82" t="str">
        <f t="shared" si="177"/>
        <v/>
      </c>
      <c r="BA99" s="48" t="str">
        <f t="shared" si="178"/>
        <v/>
      </c>
      <c r="BB99" s="48" t="str">
        <f t="shared" si="179"/>
        <v/>
      </c>
      <c r="BC99" s="84" t="str">
        <f t="shared" si="180"/>
        <v/>
      </c>
      <c r="BD99" s="82" t="str">
        <f t="shared" si="181"/>
        <v/>
      </c>
      <c r="BE99" s="48" t="str">
        <f t="shared" si="182"/>
        <v/>
      </c>
      <c r="BF99" s="48" t="str">
        <f t="shared" si="183"/>
        <v/>
      </c>
      <c r="BG99" s="84" t="str">
        <f t="shared" si="184"/>
        <v/>
      </c>
      <c r="BH99" s="87" t="str">
        <f t="shared" si="185"/>
        <v/>
      </c>
      <c r="BI99" s="49" t="str">
        <f t="shared" si="186"/>
        <v/>
      </c>
      <c r="BJ99" s="49" t="str">
        <f t="shared" si="187"/>
        <v/>
      </c>
      <c r="BK99" s="89" t="str">
        <f t="shared" si="188"/>
        <v/>
      </c>
      <c r="BL99" s="87" t="str">
        <f t="shared" si="189"/>
        <v/>
      </c>
      <c r="BM99" s="49" t="str">
        <f t="shared" si="190"/>
        <v/>
      </c>
      <c r="BN99" s="49" t="str">
        <f t="shared" si="191"/>
        <v/>
      </c>
      <c r="BO99" s="89" t="str">
        <f t="shared" si="192"/>
        <v/>
      </c>
      <c r="BP99" s="87" t="str">
        <f t="shared" si="193"/>
        <v/>
      </c>
      <c r="BQ99" s="49" t="str">
        <f t="shared" si="194"/>
        <v/>
      </c>
      <c r="BR99" s="49" t="str">
        <f t="shared" si="195"/>
        <v/>
      </c>
      <c r="BS99" s="89" t="str">
        <f t="shared" si="196"/>
        <v/>
      </c>
      <c r="BT99" s="87"/>
    </row>
    <row r="100" spans="2:72">
      <c r="B100" s="81">
        <f>Weekly!B92</f>
        <v>0</v>
      </c>
      <c r="C100" s="90">
        <f>Weekly!C92</f>
        <v>0</v>
      </c>
      <c r="D100" s="90">
        <f>Weekly!D93</f>
        <v>0</v>
      </c>
      <c r="E100" s="91" t="e">
        <f>VLOOKUP(B100,Team!$B$4:$E$183,4,FALSE)</f>
        <v>#N/A</v>
      </c>
      <c r="F100" s="92" t="str">
        <f>Weekly!Y92</f>
        <v/>
      </c>
      <c r="G100" s="92" t="str">
        <f>Weekly!Z92</f>
        <v/>
      </c>
      <c r="H100" s="48" t="str">
        <f t="shared" si="133"/>
        <v/>
      </c>
      <c r="I100" s="48" t="str">
        <f t="shared" si="134"/>
        <v/>
      </c>
      <c r="J100" s="48" t="str">
        <f t="shared" si="135"/>
        <v/>
      </c>
      <c r="K100" s="84" t="str">
        <f t="shared" si="136"/>
        <v/>
      </c>
      <c r="L100" s="82" t="str">
        <f t="shared" si="137"/>
        <v/>
      </c>
      <c r="M100" s="48" t="str">
        <f t="shared" si="138"/>
        <v/>
      </c>
      <c r="N100" s="48" t="str">
        <f t="shared" si="139"/>
        <v/>
      </c>
      <c r="O100" s="84" t="str">
        <f t="shared" si="140"/>
        <v/>
      </c>
      <c r="P100" s="82" t="str">
        <f t="shared" si="141"/>
        <v/>
      </c>
      <c r="Q100" s="48" t="str">
        <f t="shared" si="142"/>
        <v/>
      </c>
      <c r="R100" s="48" t="str">
        <f t="shared" si="143"/>
        <v/>
      </c>
      <c r="S100" s="84" t="str">
        <f t="shared" si="144"/>
        <v/>
      </c>
      <c r="T100" s="82" t="str">
        <f t="shared" si="145"/>
        <v/>
      </c>
      <c r="U100" s="48" t="str">
        <f t="shared" si="146"/>
        <v/>
      </c>
      <c r="V100" s="48" t="str">
        <f t="shared" si="147"/>
        <v/>
      </c>
      <c r="W100" s="84" t="str">
        <f t="shared" si="148"/>
        <v/>
      </c>
      <c r="X100" s="82" t="str">
        <f t="shared" si="149"/>
        <v/>
      </c>
      <c r="Y100" s="48" t="str">
        <f t="shared" si="150"/>
        <v/>
      </c>
      <c r="Z100" s="48" t="str">
        <f t="shared" si="151"/>
        <v/>
      </c>
      <c r="AA100" s="84" t="str">
        <f t="shared" si="152"/>
        <v/>
      </c>
      <c r="AB100" s="82" t="str">
        <f t="shared" si="153"/>
        <v/>
      </c>
      <c r="AC100" s="48" t="str">
        <f t="shared" si="154"/>
        <v/>
      </c>
      <c r="AD100" s="48" t="str">
        <f t="shared" si="155"/>
        <v/>
      </c>
      <c r="AE100" s="84" t="str">
        <f t="shared" si="156"/>
        <v/>
      </c>
      <c r="AF100" s="82" t="str">
        <f t="shared" si="157"/>
        <v/>
      </c>
      <c r="AG100" s="48" t="str">
        <f t="shared" si="158"/>
        <v/>
      </c>
      <c r="AH100" s="48" t="str">
        <f t="shared" si="159"/>
        <v/>
      </c>
      <c r="AI100" s="84" t="str">
        <f t="shared" si="160"/>
        <v/>
      </c>
      <c r="AJ100" s="82" t="str">
        <f t="shared" si="161"/>
        <v/>
      </c>
      <c r="AK100" s="48" t="str">
        <f t="shared" si="162"/>
        <v/>
      </c>
      <c r="AL100" s="48" t="str">
        <f t="shared" si="163"/>
        <v/>
      </c>
      <c r="AM100" s="84" t="str">
        <f t="shared" si="164"/>
        <v/>
      </c>
      <c r="AN100" s="82" t="str">
        <f t="shared" si="165"/>
        <v/>
      </c>
      <c r="AO100" s="48" t="str">
        <f t="shared" si="166"/>
        <v/>
      </c>
      <c r="AP100" s="48" t="str">
        <f t="shared" si="167"/>
        <v/>
      </c>
      <c r="AQ100" s="84" t="str">
        <f t="shared" si="168"/>
        <v/>
      </c>
      <c r="AR100" s="82" t="str">
        <f t="shared" si="169"/>
        <v/>
      </c>
      <c r="AS100" s="48" t="str">
        <f t="shared" si="170"/>
        <v/>
      </c>
      <c r="AT100" s="48" t="str">
        <f t="shared" si="171"/>
        <v/>
      </c>
      <c r="AU100" s="84" t="str">
        <f t="shared" si="172"/>
        <v/>
      </c>
      <c r="AV100" s="82" t="str">
        <f t="shared" si="173"/>
        <v/>
      </c>
      <c r="AW100" s="48" t="str">
        <f t="shared" si="174"/>
        <v/>
      </c>
      <c r="AX100" s="48" t="str">
        <f t="shared" si="175"/>
        <v/>
      </c>
      <c r="AY100" s="84" t="str">
        <f t="shared" si="176"/>
        <v/>
      </c>
      <c r="AZ100" s="82" t="str">
        <f t="shared" si="177"/>
        <v/>
      </c>
      <c r="BA100" s="48" t="str">
        <f t="shared" si="178"/>
        <v/>
      </c>
      <c r="BB100" s="48" t="str">
        <f t="shared" si="179"/>
        <v/>
      </c>
      <c r="BC100" s="84" t="str">
        <f t="shared" si="180"/>
        <v/>
      </c>
      <c r="BD100" s="82" t="str">
        <f t="shared" si="181"/>
        <v/>
      </c>
      <c r="BE100" s="48" t="str">
        <f t="shared" si="182"/>
        <v/>
      </c>
      <c r="BF100" s="48" t="str">
        <f t="shared" si="183"/>
        <v/>
      </c>
      <c r="BG100" s="84" t="str">
        <f t="shared" si="184"/>
        <v/>
      </c>
      <c r="BH100" s="87" t="str">
        <f t="shared" si="185"/>
        <v/>
      </c>
      <c r="BI100" s="49" t="str">
        <f t="shared" si="186"/>
        <v/>
      </c>
      <c r="BJ100" s="49" t="str">
        <f t="shared" si="187"/>
        <v/>
      </c>
      <c r="BK100" s="89" t="str">
        <f t="shared" si="188"/>
        <v/>
      </c>
      <c r="BL100" s="87" t="str">
        <f t="shared" si="189"/>
        <v/>
      </c>
      <c r="BM100" s="49" t="str">
        <f t="shared" si="190"/>
        <v/>
      </c>
      <c r="BN100" s="49" t="str">
        <f t="shared" si="191"/>
        <v/>
      </c>
      <c r="BO100" s="89" t="str">
        <f t="shared" si="192"/>
        <v/>
      </c>
      <c r="BP100" s="87" t="str">
        <f t="shared" si="193"/>
        <v/>
      </c>
      <c r="BQ100" s="49" t="str">
        <f t="shared" si="194"/>
        <v/>
      </c>
      <c r="BR100" s="49" t="str">
        <f t="shared" si="195"/>
        <v/>
      </c>
      <c r="BS100" s="89" t="str">
        <f t="shared" si="196"/>
        <v/>
      </c>
      <c r="BT100" s="87"/>
    </row>
    <row r="101" spans="2:72">
      <c r="B101" s="81">
        <f>Weekly!B93</f>
        <v>0</v>
      </c>
      <c r="C101" s="90">
        <f>Weekly!C93</f>
        <v>0</v>
      </c>
      <c r="D101" s="90">
        <f>Weekly!D94</f>
        <v>0</v>
      </c>
      <c r="E101" s="91" t="e">
        <f>VLOOKUP(B101,Team!$B$4:$E$183,4,FALSE)</f>
        <v>#N/A</v>
      </c>
      <c r="F101" s="92" t="str">
        <f>Weekly!Y93</f>
        <v/>
      </c>
      <c r="G101" s="92" t="str">
        <f>Weekly!Z93</f>
        <v/>
      </c>
      <c r="H101" s="48" t="str">
        <f t="shared" si="133"/>
        <v/>
      </c>
      <c r="I101" s="48" t="str">
        <f t="shared" si="134"/>
        <v/>
      </c>
      <c r="J101" s="48" t="str">
        <f t="shared" si="135"/>
        <v/>
      </c>
      <c r="K101" s="84" t="str">
        <f t="shared" si="136"/>
        <v/>
      </c>
      <c r="L101" s="82" t="str">
        <f t="shared" si="137"/>
        <v/>
      </c>
      <c r="M101" s="48" t="str">
        <f t="shared" si="138"/>
        <v/>
      </c>
      <c r="N101" s="48" t="str">
        <f t="shared" si="139"/>
        <v/>
      </c>
      <c r="O101" s="84" t="str">
        <f t="shared" si="140"/>
        <v/>
      </c>
      <c r="P101" s="82" t="str">
        <f t="shared" si="141"/>
        <v/>
      </c>
      <c r="Q101" s="48" t="str">
        <f t="shared" si="142"/>
        <v/>
      </c>
      <c r="R101" s="48" t="str">
        <f t="shared" si="143"/>
        <v/>
      </c>
      <c r="S101" s="84" t="str">
        <f t="shared" si="144"/>
        <v/>
      </c>
      <c r="T101" s="82" t="str">
        <f t="shared" si="145"/>
        <v/>
      </c>
      <c r="U101" s="48" t="str">
        <f t="shared" si="146"/>
        <v/>
      </c>
      <c r="V101" s="48" t="str">
        <f t="shared" si="147"/>
        <v/>
      </c>
      <c r="W101" s="84" t="str">
        <f t="shared" si="148"/>
        <v/>
      </c>
      <c r="X101" s="82" t="str">
        <f t="shared" si="149"/>
        <v/>
      </c>
      <c r="Y101" s="48" t="str">
        <f t="shared" si="150"/>
        <v/>
      </c>
      <c r="Z101" s="48" t="str">
        <f t="shared" si="151"/>
        <v/>
      </c>
      <c r="AA101" s="84" t="str">
        <f t="shared" si="152"/>
        <v/>
      </c>
      <c r="AB101" s="82" t="str">
        <f t="shared" si="153"/>
        <v/>
      </c>
      <c r="AC101" s="48" t="str">
        <f t="shared" si="154"/>
        <v/>
      </c>
      <c r="AD101" s="48" t="str">
        <f t="shared" si="155"/>
        <v/>
      </c>
      <c r="AE101" s="84" t="str">
        <f t="shared" si="156"/>
        <v/>
      </c>
      <c r="AF101" s="82" t="str">
        <f t="shared" si="157"/>
        <v/>
      </c>
      <c r="AG101" s="48" t="str">
        <f t="shared" si="158"/>
        <v/>
      </c>
      <c r="AH101" s="48" t="str">
        <f t="shared" si="159"/>
        <v/>
      </c>
      <c r="AI101" s="84" t="str">
        <f t="shared" si="160"/>
        <v/>
      </c>
      <c r="AJ101" s="82" t="str">
        <f t="shared" si="161"/>
        <v/>
      </c>
      <c r="AK101" s="48" t="str">
        <f t="shared" si="162"/>
        <v/>
      </c>
      <c r="AL101" s="48" t="str">
        <f t="shared" si="163"/>
        <v/>
      </c>
      <c r="AM101" s="84" t="str">
        <f t="shared" si="164"/>
        <v/>
      </c>
      <c r="AN101" s="82" t="str">
        <f t="shared" si="165"/>
        <v/>
      </c>
      <c r="AO101" s="48" t="str">
        <f t="shared" si="166"/>
        <v/>
      </c>
      <c r="AP101" s="48" t="str">
        <f t="shared" si="167"/>
        <v/>
      </c>
      <c r="AQ101" s="84" t="str">
        <f t="shared" si="168"/>
        <v/>
      </c>
      <c r="AR101" s="82" t="str">
        <f t="shared" si="169"/>
        <v/>
      </c>
      <c r="AS101" s="48" t="str">
        <f t="shared" si="170"/>
        <v/>
      </c>
      <c r="AT101" s="48" t="str">
        <f t="shared" si="171"/>
        <v/>
      </c>
      <c r="AU101" s="84" t="str">
        <f t="shared" si="172"/>
        <v/>
      </c>
      <c r="AV101" s="82" t="str">
        <f t="shared" si="173"/>
        <v/>
      </c>
      <c r="AW101" s="48" t="str">
        <f t="shared" si="174"/>
        <v/>
      </c>
      <c r="AX101" s="48" t="str">
        <f t="shared" si="175"/>
        <v/>
      </c>
      <c r="AY101" s="84" t="str">
        <f t="shared" si="176"/>
        <v/>
      </c>
      <c r="AZ101" s="82" t="str">
        <f t="shared" si="177"/>
        <v/>
      </c>
      <c r="BA101" s="48" t="str">
        <f t="shared" si="178"/>
        <v/>
      </c>
      <c r="BB101" s="48" t="str">
        <f t="shared" si="179"/>
        <v/>
      </c>
      <c r="BC101" s="84" t="str">
        <f t="shared" si="180"/>
        <v/>
      </c>
      <c r="BD101" s="82" t="str">
        <f t="shared" si="181"/>
        <v/>
      </c>
      <c r="BE101" s="48" t="str">
        <f t="shared" si="182"/>
        <v/>
      </c>
      <c r="BF101" s="48" t="str">
        <f t="shared" si="183"/>
        <v/>
      </c>
      <c r="BG101" s="84" t="str">
        <f t="shared" si="184"/>
        <v/>
      </c>
      <c r="BH101" s="87" t="str">
        <f t="shared" si="185"/>
        <v/>
      </c>
      <c r="BI101" s="49" t="str">
        <f t="shared" si="186"/>
        <v/>
      </c>
      <c r="BJ101" s="49" t="str">
        <f t="shared" si="187"/>
        <v/>
      </c>
      <c r="BK101" s="89" t="str">
        <f t="shared" si="188"/>
        <v/>
      </c>
      <c r="BL101" s="87" t="str">
        <f t="shared" si="189"/>
        <v/>
      </c>
      <c r="BM101" s="49" t="str">
        <f t="shared" si="190"/>
        <v/>
      </c>
      <c r="BN101" s="49" t="str">
        <f t="shared" si="191"/>
        <v/>
      </c>
      <c r="BO101" s="89" t="str">
        <f t="shared" si="192"/>
        <v/>
      </c>
      <c r="BP101" s="87" t="str">
        <f t="shared" si="193"/>
        <v/>
      </c>
      <c r="BQ101" s="49" t="str">
        <f t="shared" si="194"/>
        <v/>
      </c>
      <c r="BR101" s="49" t="str">
        <f t="shared" si="195"/>
        <v/>
      </c>
      <c r="BS101" s="89" t="str">
        <f t="shared" si="196"/>
        <v/>
      </c>
      <c r="BT101" s="87"/>
    </row>
    <row r="102" spans="2:72">
      <c r="B102" s="81">
        <f>Weekly!B94</f>
        <v>0</v>
      </c>
      <c r="C102" s="90">
        <f>Weekly!C94</f>
        <v>0</v>
      </c>
      <c r="D102" s="90">
        <f>Weekly!D95</f>
        <v>0</v>
      </c>
      <c r="E102" s="91" t="e">
        <f>VLOOKUP(B102,Team!$B$4:$E$183,4,FALSE)</f>
        <v>#N/A</v>
      </c>
      <c r="F102" s="92" t="str">
        <f>Weekly!Y94</f>
        <v/>
      </c>
      <c r="G102" s="92" t="str">
        <f>Weekly!Z94</f>
        <v/>
      </c>
      <c r="H102" s="48" t="str">
        <f t="shared" si="133"/>
        <v/>
      </c>
      <c r="I102" s="48" t="str">
        <f t="shared" si="134"/>
        <v/>
      </c>
      <c r="J102" s="48" t="str">
        <f t="shared" si="135"/>
        <v/>
      </c>
      <c r="K102" s="84" t="str">
        <f t="shared" si="136"/>
        <v/>
      </c>
      <c r="L102" s="82" t="str">
        <f t="shared" si="137"/>
        <v/>
      </c>
      <c r="M102" s="48" t="str">
        <f t="shared" si="138"/>
        <v/>
      </c>
      <c r="N102" s="48" t="str">
        <f t="shared" si="139"/>
        <v/>
      </c>
      <c r="O102" s="84" t="str">
        <f t="shared" si="140"/>
        <v/>
      </c>
      <c r="P102" s="82" t="str">
        <f t="shared" si="141"/>
        <v/>
      </c>
      <c r="Q102" s="48" t="str">
        <f t="shared" si="142"/>
        <v/>
      </c>
      <c r="R102" s="48" t="str">
        <f t="shared" si="143"/>
        <v/>
      </c>
      <c r="S102" s="84" t="str">
        <f t="shared" si="144"/>
        <v/>
      </c>
      <c r="T102" s="82" t="str">
        <f t="shared" si="145"/>
        <v/>
      </c>
      <c r="U102" s="48" t="str">
        <f t="shared" si="146"/>
        <v/>
      </c>
      <c r="V102" s="48" t="str">
        <f t="shared" si="147"/>
        <v/>
      </c>
      <c r="W102" s="84" t="str">
        <f t="shared" si="148"/>
        <v/>
      </c>
      <c r="X102" s="82" t="str">
        <f t="shared" si="149"/>
        <v/>
      </c>
      <c r="Y102" s="48" t="str">
        <f t="shared" si="150"/>
        <v/>
      </c>
      <c r="Z102" s="48" t="str">
        <f t="shared" si="151"/>
        <v/>
      </c>
      <c r="AA102" s="84" t="str">
        <f t="shared" si="152"/>
        <v/>
      </c>
      <c r="AB102" s="82" t="str">
        <f t="shared" si="153"/>
        <v/>
      </c>
      <c r="AC102" s="48" t="str">
        <f t="shared" si="154"/>
        <v/>
      </c>
      <c r="AD102" s="48" t="str">
        <f t="shared" si="155"/>
        <v/>
      </c>
      <c r="AE102" s="84" t="str">
        <f t="shared" si="156"/>
        <v/>
      </c>
      <c r="AF102" s="82" t="str">
        <f t="shared" si="157"/>
        <v/>
      </c>
      <c r="AG102" s="48" t="str">
        <f t="shared" si="158"/>
        <v/>
      </c>
      <c r="AH102" s="48" t="str">
        <f t="shared" si="159"/>
        <v/>
      </c>
      <c r="AI102" s="84" t="str">
        <f t="shared" si="160"/>
        <v/>
      </c>
      <c r="AJ102" s="82" t="str">
        <f t="shared" si="161"/>
        <v/>
      </c>
      <c r="AK102" s="48" t="str">
        <f t="shared" si="162"/>
        <v/>
      </c>
      <c r="AL102" s="48" t="str">
        <f t="shared" si="163"/>
        <v/>
      </c>
      <c r="AM102" s="84" t="str">
        <f t="shared" si="164"/>
        <v/>
      </c>
      <c r="AN102" s="82" t="str">
        <f t="shared" si="165"/>
        <v/>
      </c>
      <c r="AO102" s="48" t="str">
        <f t="shared" si="166"/>
        <v/>
      </c>
      <c r="AP102" s="48" t="str">
        <f t="shared" si="167"/>
        <v/>
      </c>
      <c r="AQ102" s="84" t="str">
        <f t="shared" si="168"/>
        <v/>
      </c>
      <c r="AR102" s="82" t="str">
        <f t="shared" si="169"/>
        <v/>
      </c>
      <c r="AS102" s="48" t="str">
        <f t="shared" si="170"/>
        <v/>
      </c>
      <c r="AT102" s="48" t="str">
        <f t="shared" si="171"/>
        <v/>
      </c>
      <c r="AU102" s="84" t="str">
        <f t="shared" si="172"/>
        <v/>
      </c>
      <c r="AV102" s="82" t="str">
        <f t="shared" si="173"/>
        <v/>
      </c>
      <c r="AW102" s="48" t="str">
        <f t="shared" si="174"/>
        <v/>
      </c>
      <c r="AX102" s="48" t="str">
        <f t="shared" si="175"/>
        <v/>
      </c>
      <c r="AY102" s="84" t="str">
        <f t="shared" si="176"/>
        <v/>
      </c>
      <c r="AZ102" s="82" t="str">
        <f t="shared" si="177"/>
        <v/>
      </c>
      <c r="BA102" s="48" t="str">
        <f t="shared" si="178"/>
        <v/>
      </c>
      <c r="BB102" s="48" t="str">
        <f t="shared" si="179"/>
        <v/>
      </c>
      <c r="BC102" s="84" t="str">
        <f t="shared" si="180"/>
        <v/>
      </c>
      <c r="BD102" s="82" t="str">
        <f t="shared" si="181"/>
        <v/>
      </c>
      <c r="BE102" s="48" t="str">
        <f t="shared" si="182"/>
        <v/>
      </c>
      <c r="BF102" s="48" t="str">
        <f t="shared" si="183"/>
        <v/>
      </c>
      <c r="BG102" s="84" t="str">
        <f t="shared" si="184"/>
        <v/>
      </c>
      <c r="BH102" s="87" t="str">
        <f t="shared" si="185"/>
        <v/>
      </c>
      <c r="BI102" s="49" t="str">
        <f t="shared" si="186"/>
        <v/>
      </c>
      <c r="BJ102" s="49" t="str">
        <f t="shared" si="187"/>
        <v/>
      </c>
      <c r="BK102" s="89" t="str">
        <f t="shared" si="188"/>
        <v/>
      </c>
      <c r="BL102" s="87" t="str">
        <f t="shared" si="189"/>
        <v/>
      </c>
      <c r="BM102" s="49" t="str">
        <f t="shared" si="190"/>
        <v/>
      </c>
      <c r="BN102" s="49" t="str">
        <f t="shared" si="191"/>
        <v/>
      </c>
      <c r="BO102" s="89" t="str">
        <f t="shared" si="192"/>
        <v/>
      </c>
      <c r="BP102" s="87" t="str">
        <f t="shared" si="193"/>
        <v/>
      </c>
      <c r="BQ102" s="49" t="str">
        <f t="shared" si="194"/>
        <v/>
      </c>
      <c r="BR102" s="49" t="str">
        <f t="shared" si="195"/>
        <v/>
      </c>
      <c r="BS102" s="89" t="str">
        <f t="shared" si="196"/>
        <v/>
      </c>
      <c r="BT102" s="87"/>
    </row>
    <row r="103" spans="2:72">
      <c r="B103" s="81">
        <f>Weekly!B95</f>
        <v>0</v>
      </c>
      <c r="C103" s="90">
        <f>Weekly!C95</f>
        <v>0</v>
      </c>
      <c r="D103" s="90">
        <f>Weekly!D96</f>
        <v>0</v>
      </c>
      <c r="E103" s="91" t="e">
        <f>VLOOKUP(B103,Team!$B$4:$E$183,4,FALSE)</f>
        <v>#N/A</v>
      </c>
      <c r="F103" s="92" t="str">
        <f>Weekly!Y95</f>
        <v/>
      </c>
      <c r="G103" s="92" t="str">
        <f>Weekly!Z95</f>
        <v/>
      </c>
      <c r="H103" s="48" t="str">
        <f t="shared" si="133"/>
        <v/>
      </c>
      <c r="I103" s="48" t="str">
        <f t="shared" si="134"/>
        <v/>
      </c>
      <c r="J103" s="48" t="str">
        <f t="shared" si="135"/>
        <v/>
      </c>
      <c r="K103" s="84" t="str">
        <f t="shared" si="136"/>
        <v/>
      </c>
      <c r="L103" s="82" t="str">
        <f t="shared" si="137"/>
        <v/>
      </c>
      <c r="M103" s="48" t="str">
        <f t="shared" si="138"/>
        <v/>
      </c>
      <c r="N103" s="48" t="str">
        <f t="shared" si="139"/>
        <v/>
      </c>
      <c r="O103" s="84" t="str">
        <f t="shared" si="140"/>
        <v/>
      </c>
      <c r="P103" s="82" t="str">
        <f t="shared" si="141"/>
        <v/>
      </c>
      <c r="Q103" s="48" t="str">
        <f t="shared" si="142"/>
        <v/>
      </c>
      <c r="R103" s="48" t="str">
        <f t="shared" si="143"/>
        <v/>
      </c>
      <c r="S103" s="84" t="str">
        <f t="shared" si="144"/>
        <v/>
      </c>
      <c r="T103" s="82" t="str">
        <f t="shared" si="145"/>
        <v/>
      </c>
      <c r="U103" s="48" t="str">
        <f t="shared" si="146"/>
        <v/>
      </c>
      <c r="V103" s="48" t="str">
        <f t="shared" si="147"/>
        <v/>
      </c>
      <c r="W103" s="84" t="str">
        <f t="shared" si="148"/>
        <v/>
      </c>
      <c r="X103" s="82" t="str">
        <f t="shared" si="149"/>
        <v/>
      </c>
      <c r="Y103" s="48" t="str">
        <f t="shared" si="150"/>
        <v/>
      </c>
      <c r="Z103" s="48" t="str">
        <f t="shared" si="151"/>
        <v/>
      </c>
      <c r="AA103" s="84" t="str">
        <f t="shared" si="152"/>
        <v/>
      </c>
      <c r="AB103" s="82" t="str">
        <f t="shared" si="153"/>
        <v/>
      </c>
      <c r="AC103" s="48" t="str">
        <f t="shared" si="154"/>
        <v/>
      </c>
      <c r="AD103" s="48" t="str">
        <f t="shared" si="155"/>
        <v/>
      </c>
      <c r="AE103" s="84" t="str">
        <f t="shared" si="156"/>
        <v/>
      </c>
      <c r="AF103" s="82" t="str">
        <f t="shared" si="157"/>
        <v/>
      </c>
      <c r="AG103" s="48" t="str">
        <f t="shared" si="158"/>
        <v/>
      </c>
      <c r="AH103" s="48" t="str">
        <f t="shared" si="159"/>
        <v/>
      </c>
      <c r="AI103" s="84" t="str">
        <f t="shared" si="160"/>
        <v/>
      </c>
      <c r="AJ103" s="82" t="str">
        <f t="shared" si="161"/>
        <v/>
      </c>
      <c r="AK103" s="48" t="str">
        <f t="shared" si="162"/>
        <v/>
      </c>
      <c r="AL103" s="48" t="str">
        <f t="shared" si="163"/>
        <v/>
      </c>
      <c r="AM103" s="84" t="str">
        <f t="shared" si="164"/>
        <v/>
      </c>
      <c r="AN103" s="82" t="str">
        <f t="shared" si="165"/>
        <v/>
      </c>
      <c r="AO103" s="48" t="str">
        <f t="shared" si="166"/>
        <v/>
      </c>
      <c r="AP103" s="48" t="str">
        <f t="shared" si="167"/>
        <v/>
      </c>
      <c r="AQ103" s="84" t="str">
        <f t="shared" si="168"/>
        <v/>
      </c>
      <c r="AR103" s="82" t="str">
        <f t="shared" si="169"/>
        <v/>
      </c>
      <c r="AS103" s="48" t="str">
        <f t="shared" si="170"/>
        <v/>
      </c>
      <c r="AT103" s="48" t="str">
        <f t="shared" si="171"/>
        <v/>
      </c>
      <c r="AU103" s="84" t="str">
        <f t="shared" si="172"/>
        <v/>
      </c>
      <c r="AV103" s="82" t="str">
        <f t="shared" si="173"/>
        <v/>
      </c>
      <c r="AW103" s="48" t="str">
        <f t="shared" si="174"/>
        <v/>
      </c>
      <c r="AX103" s="48" t="str">
        <f t="shared" si="175"/>
        <v/>
      </c>
      <c r="AY103" s="84" t="str">
        <f t="shared" si="176"/>
        <v/>
      </c>
      <c r="AZ103" s="82" t="str">
        <f t="shared" si="177"/>
        <v/>
      </c>
      <c r="BA103" s="48" t="str">
        <f t="shared" si="178"/>
        <v/>
      </c>
      <c r="BB103" s="48" t="str">
        <f t="shared" si="179"/>
        <v/>
      </c>
      <c r="BC103" s="84" t="str">
        <f t="shared" si="180"/>
        <v/>
      </c>
      <c r="BD103" s="82" t="str">
        <f t="shared" si="181"/>
        <v/>
      </c>
      <c r="BE103" s="48" t="str">
        <f t="shared" si="182"/>
        <v/>
      </c>
      <c r="BF103" s="48" t="str">
        <f t="shared" si="183"/>
        <v/>
      </c>
      <c r="BG103" s="84" t="str">
        <f t="shared" si="184"/>
        <v/>
      </c>
      <c r="BH103" s="87" t="str">
        <f t="shared" si="185"/>
        <v/>
      </c>
      <c r="BI103" s="49" t="str">
        <f t="shared" si="186"/>
        <v/>
      </c>
      <c r="BJ103" s="49" t="str">
        <f t="shared" si="187"/>
        <v/>
      </c>
      <c r="BK103" s="89" t="str">
        <f t="shared" si="188"/>
        <v/>
      </c>
      <c r="BL103" s="87" t="str">
        <f t="shared" si="189"/>
        <v/>
      </c>
      <c r="BM103" s="49" t="str">
        <f t="shared" si="190"/>
        <v/>
      </c>
      <c r="BN103" s="49" t="str">
        <f t="shared" si="191"/>
        <v/>
      </c>
      <c r="BO103" s="89" t="str">
        <f t="shared" si="192"/>
        <v/>
      </c>
      <c r="BP103" s="87" t="str">
        <f t="shared" si="193"/>
        <v/>
      </c>
      <c r="BQ103" s="49" t="str">
        <f t="shared" si="194"/>
        <v/>
      </c>
      <c r="BR103" s="49" t="str">
        <f t="shared" si="195"/>
        <v/>
      </c>
      <c r="BS103" s="89" t="str">
        <f t="shared" si="196"/>
        <v/>
      </c>
      <c r="BT103" s="87"/>
    </row>
  </sheetData>
  <sheetProtection algorithmName="SHA-512" hashValue="C+EUot9e8bcR+MOEzq/kULg7oXPkdOm1Ff0IvtbA9cZ4LgcPldPuBCCpAq1fwUt9nQuEE7EdZmftC2NIs8fSRQ==" saltValue="4+xVOURvXjedEEnbJqCkKA==" spinCount="100000" sheet="1" formatCells="0" formatColumns="0" sort="0" autoFilter="0"/>
  <autoFilter ref="B16:BS16" xr:uid="{00000000-0009-0000-0000-00000A000000}"/>
  <mergeCells count="39">
    <mergeCell ref="BH5:BK5"/>
    <mergeCell ref="BL5:BO5"/>
    <mergeCell ref="BP5:BS5"/>
    <mergeCell ref="BL14:BO14"/>
    <mergeCell ref="BP14:BS14"/>
    <mergeCell ref="BH14:BK14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AR14:AU14"/>
    <mergeCell ref="AV14:AY14"/>
    <mergeCell ref="AZ14:BC14"/>
    <mergeCell ref="BD14:BG14"/>
    <mergeCell ref="H14:K14"/>
    <mergeCell ref="L14:O14"/>
    <mergeCell ref="P14:S14"/>
    <mergeCell ref="T14:W14"/>
    <mergeCell ref="AT2:AW2"/>
    <mergeCell ref="T2:X2"/>
    <mergeCell ref="Y2:AC2"/>
    <mergeCell ref="AE2:AG2"/>
    <mergeCell ref="AH2:AK2"/>
    <mergeCell ref="AL2:AM2"/>
    <mergeCell ref="AN2:AS2"/>
    <mergeCell ref="X14:AA14"/>
    <mergeCell ref="AB14:AE14"/>
    <mergeCell ref="AF14:AI14"/>
    <mergeCell ref="AJ14:AM14"/>
    <mergeCell ref="AN14:AQ14"/>
  </mergeCells>
  <conditionalFormatting sqref="H16:BJ16">
    <cfRule type="cellIs" dxfId="132" priority="225" operator="equal">
      <formula>"STAFF"</formula>
    </cfRule>
    <cfRule type="cellIs" dxfId="131" priority="224" operator="equal">
      <formula>"HH"</formula>
    </cfRule>
    <cfRule type="cellIs" dxfId="130" priority="223" operator="equal">
      <formula>"HHR"</formula>
    </cfRule>
    <cfRule type="cellIs" dxfId="129" priority="222" operator="equal">
      <formula>"CSYS"</formula>
    </cfRule>
    <cfRule type="cellIs" dxfId="128" priority="221" operator="equal">
      <formula>"SY"</formula>
    </cfRule>
    <cfRule type="cellIs" dxfId="127" priority="219" operator="equal">
      <formula>"TW"</formula>
    </cfRule>
    <cfRule type="cellIs" dxfId="126" priority="220" operator="equal">
      <formula>"AD"</formula>
    </cfRule>
    <cfRule type="cellIs" dxfId="125" priority="217" operator="equal">
      <formula>"F"</formula>
    </cfRule>
    <cfRule type="cellIs" dxfId="124" priority="216" operator="equal">
      <formula>"FFR"</formula>
    </cfRule>
    <cfRule type="cellIs" dxfId="123" priority="215" operator="equal">
      <formula>"FB"</formula>
    </cfRule>
    <cfRule type="cellIs" dxfId="122" priority="214" operator="equal">
      <formula>"CR"</formula>
    </cfRule>
    <cfRule type="cellIs" dxfId="121" priority="213" operator="equal">
      <formula>"KIDS"</formula>
    </cfRule>
    <cfRule type="cellIs" dxfId="120" priority="212" operator="equal">
      <formula>"BIN"</formula>
    </cfRule>
    <cfRule type="cellIs" dxfId="119" priority="211" operator="equal">
      <formula>"TEA"</formula>
    </cfRule>
    <cfRule type="cellIs" dxfId="118" priority="210" operator="equal">
      <formula>"R"</formula>
    </cfRule>
    <cfRule type="cellIs" dxfId="117" priority="209" operator="equal">
      <formula>"R1"</formula>
    </cfRule>
    <cfRule type="cellIs" dxfId="116" priority="235" operator="equal">
      <formula>"H1"</formula>
    </cfRule>
    <cfRule type="cellIs" dxfId="115" priority="208" operator="equal">
      <formula>"R2"</formula>
    </cfRule>
    <cfRule type="cellIs" dxfId="114" priority="207" operator="equal">
      <formula>"R3"</formula>
    </cfRule>
    <cfRule type="cellIs" dxfId="113" priority="206" operator="equal">
      <formula>"R4"</formula>
    </cfRule>
    <cfRule type="cellIs" dxfId="112" priority="205" operator="equal">
      <formula>"R5"</formula>
    </cfRule>
    <cfRule type="cellIs" dxfId="111" priority="204" operator="equal">
      <formula>"R6"</formula>
    </cfRule>
    <cfRule type="cellIs" dxfId="110" priority="218" operator="equal">
      <formula>"PEN"</formula>
    </cfRule>
    <cfRule type="cellIs" dxfId="109" priority="234" operator="equal">
      <formula>"H2"</formula>
    </cfRule>
    <cfRule type="cellIs" dxfId="108" priority="233" operator="equal">
      <formula>"H3"</formula>
    </cfRule>
    <cfRule type="cellIs" dxfId="107" priority="232" operator="equal">
      <formula>"EMB"</formula>
    </cfRule>
    <cfRule type="cellIs" dxfId="106" priority="231" operator="equal">
      <formula>"SM"</formula>
    </cfRule>
    <cfRule type="cellIs" dxfId="105" priority="230" operator="equal">
      <formula>"ASM"</formula>
    </cfRule>
    <cfRule type="cellIs" dxfId="104" priority="229" operator="equal">
      <formula>"H"</formula>
    </cfRule>
    <cfRule type="cellIs" dxfId="103" priority="228" operator="equal">
      <formula>"ACC"</formula>
    </cfRule>
    <cfRule type="cellIs" dxfId="102" priority="227" operator="equal">
      <formula>"MINW"</formula>
    </cfRule>
    <cfRule type="cellIs" dxfId="101" priority="226" operator="equal">
      <formula>"LINW"</formula>
    </cfRule>
  </conditionalFormatting>
  <conditionalFormatting sqref="H6:BS6">
    <cfRule type="cellIs" dxfId="100" priority="45" stopIfTrue="1" operator="equal">
      <formula>$AD$3</formula>
    </cfRule>
    <cfRule type="cellIs" dxfId="99" priority="46" stopIfTrue="1" operator="equal">
      <formula>$AB$3</formula>
    </cfRule>
    <cfRule type="cellIs" dxfId="98" priority="47" stopIfTrue="1" operator="equal">
      <formula>$AC$3</formula>
    </cfRule>
    <cfRule type="cellIs" dxfId="97" priority="48" stopIfTrue="1" operator="equal">
      <formula>$AA$3</formula>
    </cfRule>
    <cfRule type="cellIs" dxfId="96" priority="49" stopIfTrue="1" operator="equal">
      <formula>$Z$3</formula>
    </cfRule>
    <cfRule type="cellIs" dxfId="95" priority="51" stopIfTrue="1" operator="equal">
      <formula>$X$3</formula>
    </cfRule>
    <cfRule type="cellIs" dxfId="94" priority="52" stopIfTrue="1" operator="equal">
      <formula>$W$3</formula>
    </cfRule>
    <cfRule type="cellIs" dxfId="93" priority="53" stopIfTrue="1" operator="equal">
      <formula>$V$3</formula>
    </cfRule>
    <cfRule type="cellIs" dxfId="92" priority="54" stopIfTrue="1" operator="equal">
      <formula>$U$3</formula>
    </cfRule>
    <cfRule type="cellIs" dxfId="91" priority="55" stopIfTrue="1" operator="equal">
      <formula>$T$3</formula>
    </cfRule>
    <cfRule type="containsBlanks" dxfId="90" priority="56" stopIfTrue="1">
      <formula>LEN(TRIM(H6))=0</formula>
    </cfRule>
    <cfRule type="cellIs" dxfId="89" priority="50" stopIfTrue="1" operator="equal">
      <formula>$Y$3</formula>
    </cfRule>
  </conditionalFormatting>
  <conditionalFormatting sqref="H12:BS13">
    <cfRule type="cellIs" dxfId="88" priority="154" operator="equal">
      <formula>"KIDS"</formula>
    </cfRule>
    <cfRule type="cellIs" dxfId="87" priority="155" operator="equal">
      <formula>"CR"</formula>
    </cfRule>
    <cfRule type="cellIs" dxfId="86" priority="156" operator="equal">
      <formula>"FB"</formula>
    </cfRule>
    <cfRule type="cellIs" dxfId="85" priority="157" operator="equal">
      <formula>"FFR"</formula>
    </cfRule>
    <cfRule type="cellIs" dxfId="84" priority="158" operator="equal">
      <formula>"F"</formula>
    </cfRule>
    <cfRule type="cellIs" dxfId="83" priority="160" operator="equal">
      <formula>"TW"</formula>
    </cfRule>
    <cfRule type="cellIs" dxfId="82" priority="161" operator="equal">
      <formula>"AD"</formula>
    </cfRule>
    <cfRule type="cellIs" dxfId="81" priority="162" operator="equal">
      <formula>"SY"</formula>
    </cfRule>
    <cfRule type="cellIs" dxfId="80" priority="163" operator="equal">
      <formula>"CSYS"</formula>
    </cfRule>
    <cfRule type="cellIs" dxfId="79" priority="164" operator="equal">
      <formula>"HHR"</formula>
    </cfRule>
    <cfRule type="cellIs" dxfId="78" priority="165" operator="equal">
      <formula>"HH"</formula>
    </cfRule>
    <cfRule type="cellIs" dxfId="77" priority="166" operator="equal">
      <formula>"STAFF"</formula>
    </cfRule>
    <cfRule type="cellIs" dxfId="76" priority="167" operator="equal">
      <formula>"LINW"</formula>
    </cfRule>
    <cfRule type="cellIs" dxfId="75" priority="168" operator="equal">
      <formula>"MINW"</formula>
    </cfRule>
    <cfRule type="cellIs" dxfId="74" priority="169" operator="equal">
      <formula>"ACC"</formula>
    </cfRule>
    <cfRule type="cellIs" dxfId="73" priority="170" operator="equal">
      <formula>"H"</formula>
    </cfRule>
    <cfRule type="cellIs" dxfId="72" priority="171" operator="equal">
      <formula>"ASM"</formula>
    </cfRule>
    <cfRule type="cellIs" dxfId="71" priority="172" operator="equal">
      <formula>"SM"</formula>
    </cfRule>
    <cfRule type="cellIs" dxfId="70" priority="173" operator="equal">
      <formula>"EMB"</formula>
    </cfRule>
    <cfRule type="cellIs" dxfId="69" priority="174" operator="equal">
      <formula>"H3"</formula>
    </cfRule>
    <cfRule type="cellIs" dxfId="68" priority="175" operator="equal">
      <formula>"H2"</formula>
    </cfRule>
    <cfRule type="cellIs" dxfId="67" priority="176" operator="equal">
      <formula>"H1"</formula>
    </cfRule>
    <cfRule type="cellIs" dxfId="66" priority="159" operator="equal">
      <formula>"PEN"</formula>
    </cfRule>
    <cfRule type="cellIs" dxfId="65" priority="145" operator="equal">
      <formula>"R6"</formula>
    </cfRule>
    <cfRule type="cellIs" dxfId="64" priority="146" operator="equal">
      <formula>"R5"</formula>
    </cfRule>
    <cfRule type="cellIs" dxfId="63" priority="147" operator="equal">
      <formula>"R4"</formula>
    </cfRule>
    <cfRule type="cellIs" dxfId="62" priority="148" operator="equal">
      <formula>"R3"</formula>
    </cfRule>
    <cfRule type="cellIs" dxfId="61" priority="149" operator="equal">
      <formula>"R2"</formula>
    </cfRule>
    <cfRule type="cellIs" dxfId="60" priority="150" operator="equal">
      <formula>"R1"</formula>
    </cfRule>
    <cfRule type="cellIs" dxfId="59" priority="151" operator="equal">
      <formula>"R"</formula>
    </cfRule>
    <cfRule type="cellIs" dxfId="58" priority="152" operator="equal">
      <formula>"TEA"</formula>
    </cfRule>
    <cfRule type="cellIs" dxfId="57" priority="153" operator="equal">
      <formula>"BIN"</formula>
    </cfRule>
  </conditionalFormatting>
  <conditionalFormatting sqref="H15:BS15">
    <cfRule type="cellIs" dxfId="56" priority="62" stopIfTrue="1" operator="equal">
      <formula>$Y$3</formula>
    </cfRule>
    <cfRule type="cellIs" dxfId="55" priority="67" stopIfTrue="1" operator="equal">
      <formula>$T$3</formula>
    </cfRule>
    <cfRule type="containsBlanks" dxfId="54" priority="68" stopIfTrue="1">
      <formula>LEN(TRIM(H15))=0</formula>
    </cfRule>
    <cfRule type="cellIs" dxfId="53" priority="66" stopIfTrue="1" operator="equal">
      <formula>$U$3</formula>
    </cfRule>
    <cfRule type="cellIs" dxfId="52" priority="65" stopIfTrue="1" operator="equal">
      <formula>$V$3</formula>
    </cfRule>
    <cfRule type="cellIs" dxfId="51" priority="64" stopIfTrue="1" operator="equal">
      <formula>$W$3</formula>
    </cfRule>
    <cfRule type="cellIs" dxfId="50" priority="63" stopIfTrue="1" operator="equal">
      <formula>$X$3</formula>
    </cfRule>
    <cfRule type="cellIs" dxfId="49" priority="61" stopIfTrue="1" operator="equal">
      <formula>$Z$3</formula>
    </cfRule>
    <cfRule type="cellIs" dxfId="48" priority="60" stopIfTrue="1" operator="equal">
      <formula>$AA$3</formula>
    </cfRule>
    <cfRule type="cellIs" dxfId="47" priority="59" stopIfTrue="1" operator="equal">
      <formula>$AC$3</formula>
    </cfRule>
    <cfRule type="cellIs" dxfId="46" priority="58" stopIfTrue="1" operator="equal">
      <formula>$AB$3</formula>
    </cfRule>
    <cfRule type="cellIs" dxfId="45" priority="57" stopIfTrue="1" operator="equal">
      <formula>$AD$3</formula>
    </cfRule>
  </conditionalFormatting>
  <conditionalFormatting sqref="H7:BT11">
    <cfRule type="cellIs" dxfId="44" priority="6" operator="equal">
      <formula>"R1"</formula>
    </cfRule>
    <cfRule type="cellIs" dxfId="43" priority="7" operator="equal">
      <formula>"R"</formula>
    </cfRule>
    <cfRule type="cellIs" dxfId="42" priority="8" operator="equal">
      <formula>"TEA"</formula>
    </cfRule>
    <cfRule type="cellIs" dxfId="41" priority="9" operator="equal">
      <formula>"BIN"</formula>
    </cfRule>
    <cfRule type="cellIs" dxfId="40" priority="10" operator="equal">
      <formula>"KIDS"</formula>
    </cfRule>
    <cfRule type="cellIs" dxfId="39" priority="11" operator="equal">
      <formula>"CR"</formula>
    </cfRule>
    <cfRule type="cellIs" dxfId="38" priority="12" operator="equal">
      <formula>"FB"</formula>
    </cfRule>
    <cfRule type="cellIs" dxfId="37" priority="13" operator="equal">
      <formula>"FFR"</formula>
    </cfRule>
    <cfRule type="cellIs" dxfId="36" priority="14" operator="equal">
      <formula>"F"</formula>
    </cfRule>
    <cfRule type="cellIs" dxfId="35" priority="15" operator="equal">
      <formula>"PEN"</formula>
    </cfRule>
    <cfRule type="cellIs" dxfId="34" priority="16" operator="equal">
      <formula>"TW"</formula>
    </cfRule>
    <cfRule type="cellIs" dxfId="33" priority="18" operator="equal">
      <formula>"SY"</formula>
    </cfRule>
    <cfRule type="cellIs" dxfId="32" priority="19" operator="equal">
      <formula>"CSYS"</formula>
    </cfRule>
    <cfRule type="cellIs" dxfId="31" priority="20" operator="equal">
      <formula>"HHR"</formula>
    </cfRule>
    <cfRule type="cellIs" dxfId="30" priority="21" operator="equal">
      <formula>"HH"</formula>
    </cfRule>
    <cfRule type="cellIs" dxfId="29" priority="22" operator="equal">
      <formula>"STAFF"</formula>
    </cfRule>
    <cfRule type="cellIs" dxfId="28" priority="23" operator="equal">
      <formula>"LINW"</formula>
    </cfRule>
    <cfRule type="cellIs" dxfId="27" priority="1" operator="equal">
      <formula>"R6"</formula>
    </cfRule>
    <cfRule type="cellIs" dxfId="26" priority="2" operator="equal">
      <formula>"R5"</formula>
    </cfRule>
    <cfRule type="cellIs" dxfId="25" priority="3" operator="equal">
      <formula>"R4"</formula>
    </cfRule>
    <cfRule type="cellIs" dxfId="24" priority="4" operator="equal">
      <formula>"R3"</formula>
    </cfRule>
    <cfRule type="cellIs" dxfId="23" priority="5" operator="equal">
      <formula>"R2"</formula>
    </cfRule>
    <cfRule type="cellIs" dxfId="22" priority="17" operator="equal">
      <formula>"AD"</formula>
    </cfRule>
    <cfRule type="cellIs" dxfId="21" priority="30" operator="equal">
      <formula>"H3"</formula>
    </cfRule>
    <cfRule type="cellIs" dxfId="20" priority="32" operator="equal">
      <formula>"H1"</formula>
    </cfRule>
    <cfRule type="cellIs" dxfId="19" priority="31" operator="equal">
      <formula>"H2"</formula>
    </cfRule>
    <cfRule type="cellIs" dxfId="18" priority="29" operator="equal">
      <formula>"EMB"</formula>
    </cfRule>
    <cfRule type="cellIs" dxfId="17" priority="28" operator="equal">
      <formula>"SM"</formula>
    </cfRule>
    <cfRule type="cellIs" dxfId="16" priority="27" operator="equal">
      <formula>"ASM"</formula>
    </cfRule>
    <cfRule type="cellIs" dxfId="15" priority="26" operator="equal">
      <formula>"H"</formula>
    </cfRule>
    <cfRule type="cellIs" dxfId="14" priority="25" operator="equal">
      <formula>"ACC"</formula>
    </cfRule>
    <cfRule type="cellIs" dxfId="13" priority="24" operator="equal">
      <formula>"MINW"</formula>
    </cfRule>
  </conditionalFormatting>
  <conditionalFormatting sqref="H17:BT103">
    <cfRule type="cellIs" dxfId="12" priority="35" stopIfTrue="1" operator="equal">
      <formula>$AC$3</formula>
    </cfRule>
    <cfRule type="cellIs" dxfId="11" priority="34" stopIfTrue="1" operator="equal">
      <formula>$AB$3</formula>
    </cfRule>
    <cfRule type="cellIs" dxfId="10" priority="33" stopIfTrue="1" operator="equal">
      <formula>$AD$3</formula>
    </cfRule>
    <cfRule type="cellIs" dxfId="9" priority="42" stopIfTrue="1" operator="equal">
      <formula>$U$3</formula>
    </cfRule>
    <cfRule type="cellIs" dxfId="8" priority="41" stopIfTrue="1" operator="equal">
      <formula>$V$3</formula>
    </cfRule>
    <cfRule type="cellIs" dxfId="7" priority="37" stopIfTrue="1" operator="equal">
      <formula>$Z$3</formula>
    </cfRule>
    <cfRule type="cellIs" dxfId="6" priority="40" stopIfTrue="1" operator="equal">
      <formula>$W$3</formula>
    </cfRule>
    <cfRule type="cellIs" dxfId="5" priority="39" stopIfTrue="1" operator="equal">
      <formula>$X$3</formula>
    </cfRule>
    <cfRule type="containsBlanks" dxfId="4" priority="44" stopIfTrue="1">
      <formula>LEN(TRIM(H17))=0</formula>
    </cfRule>
    <cfRule type="cellIs" dxfId="3" priority="38" stopIfTrue="1" operator="equal">
      <formula>$Y$3</formula>
    </cfRule>
    <cfRule type="cellIs" dxfId="2" priority="43" stopIfTrue="1" operator="equal">
      <formula>$T$3</formula>
    </cfRule>
    <cfRule type="cellIs" dxfId="1" priority="36" stopIfTrue="1" operator="equal">
      <formula>$AA$3</formula>
    </cfRule>
  </conditionalFormatting>
  <conditionalFormatting sqref="T3:AW3">
    <cfRule type="containsBlanks" dxfId="0" priority="188" stopIfTrue="1">
      <formula>LEN(TRIM(T3))=0</formula>
    </cfRule>
  </conditionalFormatting>
  <pageMargins left="0" right="0" top="0" bottom="0" header="0" footer="0"/>
  <pageSetup paperSize="9" scale="48" orientation="landscape" r:id="rId1"/>
  <ignoredErrors>
    <ignoredError sqref="H17:BS19 H21:BS103 H20:AP20 AR20:BS20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751ada-5929-4422-98d3-58dcf36bcade">
      <Terms xmlns="http://schemas.microsoft.com/office/infopath/2007/PartnerControls"/>
    </lcf76f155ced4ddcb4097134ff3c332f>
    <Store xmlns="28751ada-5929-4422-98d3-58dcf36bcade" xsi:nil="true"/>
    <TaxCatchAll xmlns="b15fdbcd-e89f-4d62-a125-44d8fbfae5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31CC2EEFCDC244913FC198101BB4E3" ma:contentTypeVersion="22" ma:contentTypeDescription="Create a new document." ma:contentTypeScope="" ma:versionID="cc11e910a35960d80e3b4eeca1d604c3">
  <xsd:schema xmlns:xsd="http://www.w3.org/2001/XMLSchema" xmlns:xs="http://www.w3.org/2001/XMLSchema" xmlns:p="http://schemas.microsoft.com/office/2006/metadata/properties" xmlns:ns2="b15fdbcd-e89f-4d62-a125-44d8fbfae54e" xmlns:ns3="28751ada-5929-4422-98d3-58dcf36bcade" targetNamespace="http://schemas.microsoft.com/office/2006/metadata/properties" ma:root="true" ma:fieldsID="6c87bda6010a66faccda72b3ed3940aa" ns2:_="" ns3:_="">
    <xsd:import namespace="b15fdbcd-e89f-4d62-a125-44d8fbfae54e"/>
    <xsd:import namespace="28751ada-5929-4422-98d3-58dcf36bcad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Stor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fdbcd-e89f-4d62-a125-44d8fbfae54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6" nillable="true" ma:displayName="Taxonomy Catch All Column" ma:hidden="true" ma:list="{4b6e7fc3-af7e-4816-bc58-a62a39eed00b}" ma:internalName="TaxCatchAll" ma:showField="CatchAllData" ma:web="b15fdbcd-e89f-4d62-a125-44d8fbfae5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51ada-5929-4422-98d3-58dcf36bc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tore" ma:index="22" nillable="true" ma:displayName="Store" ma:format="Dropdown" ma:internalName="Stor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T"/>
                    <xsd:enumeration value="CBR"/>
                    <xsd:enumeration value="Choice 3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08528b2-b050-4943-932d-f165a11dd5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A6425E-A4CE-418C-99BD-B05997C52487}"/>
</file>

<file path=customXml/itemProps2.xml><?xml version="1.0" encoding="utf-8"?>
<ds:datastoreItem xmlns:ds="http://schemas.openxmlformats.org/officeDocument/2006/customXml" ds:itemID="{237DC987-882B-4CB7-B4A1-0D9B901AFD91}"/>
</file>

<file path=customXml/itemProps3.xml><?xml version="1.0" encoding="utf-8"?>
<ds:datastoreItem xmlns:ds="http://schemas.openxmlformats.org/officeDocument/2006/customXml" ds:itemID="{467CF1A1-7FCB-403E-B3E2-54D1229DCE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 Hwa</dc:creator>
  <cp:keywords/>
  <dc:description/>
  <cp:lastModifiedBy>Chatswood Store</cp:lastModifiedBy>
  <cp:revision/>
  <dcterms:created xsi:type="dcterms:W3CDTF">2024-01-08T22:30:12Z</dcterms:created>
  <dcterms:modified xsi:type="dcterms:W3CDTF">2025-11-09T03:16:36Z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0x0101008D31CC2EEFCDC244913FC198101BB4E3</vt:lpwstr>
  </property>
  <property fmtid="{D5CDD505-2E9C-101B-9397-08002B2CF9AE}" pid="3" name="MediaServiceImageTags">
    <vt:lpwstr/>
  </property>
</Properties>
</file>